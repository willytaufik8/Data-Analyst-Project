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166925"/>
  <mc:AlternateContent xmlns:mc="http://schemas.openxmlformats.org/markup-compatibility/2006">
    <mc:Choice Requires="x15">
      <x15ac:absPath xmlns:x15ac="http://schemas.microsoft.com/office/spreadsheetml/2010/11/ac" url="C:\Users\ACER\Documents\Projek\"/>
    </mc:Choice>
  </mc:AlternateContent>
  <xr:revisionPtr revIDLastSave="0" documentId="13_ncr:1_{0187E613-FF8E-434C-A5A9-4ADC3C446DBC}" xr6:coauthVersionLast="47" xr6:coauthVersionMax="47" xr10:uidLastSave="{00000000-0000-0000-0000-000000000000}"/>
  <bookViews>
    <workbookView xWindow="-108" yWindow="-108" windowWidth="23256" windowHeight="13176" activeTab="2" xr2:uid="{E6A5AC7C-7132-4526-85C7-B375E37538F6}"/>
  </bookViews>
  <sheets>
    <sheet name="Pivot" sheetId="2" r:id="rId1"/>
    <sheet name="Dashboard" sheetId="3" r:id="rId2"/>
    <sheet name="Project" sheetId="1" r:id="rId3"/>
  </sheets>
  <definedNames>
    <definedName name="Slicer_country">#N/A</definedName>
    <definedName name="Slicer_Months__orderDate">#N/A</definedName>
    <definedName name="Slicer_Years__orderDate">#N/A</definedName>
  </definedNames>
  <calcPr calcId="18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121" i="1" l="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E502" i="1"/>
  <c r="N85" i="2"/>
  <c r="M85" i="2"/>
  <c r="N86" i="2" l="1"/>
  <c r="N87" i="2"/>
  <c r="N88" i="2"/>
  <c r="N89" i="2"/>
  <c r="N90" i="2"/>
  <c r="N91" i="2"/>
  <c r="N92" i="2"/>
  <c r="N93" i="2"/>
  <c r="N94" i="2"/>
  <c r="N95" i="2"/>
  <c r="N96" i="2"/>
  <c r="L86" i="2"/>
  <c r="M86" i="2"/>
  <c r="L87" i="2"/>
  <c r="M87" i="2"/>
  <c r="L88" i="2"/>
  <c r="M88" i="2"/>
  <c r="L89" i="2"/>
  <c r="M89" i="2"/>
  <c r="L90" i="2"/>
  <c r="M90" i="2"/>
  <c r="L91" i="2"/>
  <c r="M91" i="2"/>
  <c r="L92" i="2"/>
  <c r="M92" i="2"/>
  <c r="L93" i="2"/>
  <c r="M93" i="2"/>
  <c r="L94" i="2"/>
  <c r="M94" i="2"/>
  <c r="L95" i="2"/>
  <c r="M95" i="2"/>
  <c r="L96" i="2"/>
  <c r="M96" i="2"/>
  <c r="L85" i="2"/>
  <c r="E6" i="2" l="1"/>
  <c r="E5" i="2"/>
  <c r="E4" i="2"/>
  <c r="E7" i="2" l="1"/>
</calcChain>
</file>

<file path=xl/sharedStrings.xml><?xml version="1.0" encoding="utf-8"?>
<sst xmlns="http://schemas.openxmlformats.org/spreadsheetml/2006/main" count="12104" uniqueCount="282">
  <si>
    <t>orderDate</t>
  </si>
  <si>
    <t>orderNumber</t>
  </si>
  <si>
    <t>customerNumber</t>
  </si>
  <si>
    <t>customerName</t>
  </si>
  <si>
    <t>country</t>
  </si>
  <si>
    <t>productLine</t>
  </si>
  <si>
    <t>productName</t>
  </si>
  <si>
    <t>quantityOrdered</t>
  </si>
  <si>
    <t>priceEach</t>
  </si>
  <si>
    <t>buyPrice</t>
  </si>
  <si>
    <t>Sales</t>
  </si>
  <si>
    <t>Cost</t>
  </si>
  <si>
    <t>Profit</t>
  </si>
  <si>
    <t>purchaseNumber</t>
  </si>
  <si>
    <t>USA</t>
  </si>
  <si>
    <t>Vintage Cars</t>
  </si>
  <si>
    <t>1917 Grand Touring Sedan</t>
  </si>
  <si>
    <t>1911 Ford Town Car</t>
  </si>
  <si>
    <t>1932 Alfa Romeo 8C2300 Spider Sport</t>
  </si>
  <si>
    <t>1936 Mercedes Benz 500k Roadster</t>
  </si>
  <si>
    <t>Germany</t>
  </si>
  <si>
    <t>1932 Model A Ford J-Coupe</t>
  </si>
  <si>
    <t>1928 Mercedes-Benz SSK</t>
  </si>
  <si>
    <t>1939 Chevrolet Deluxe Coupe</t>
  </si>
  <si>
    <t>1938 Cadillac V-16 Presidential Limousine</t>
  </si>
  <si>
    <t>1937 Lincoln Berline</t>
  </si>
  <si>
    <t>1936 Mercedes-Benz 500K Special Roadster</t>
  </si>
  <si>
    <t>Baane Mini Imports</t>
  </si>
  <si>
    <t>Norway</t>
  </si>
  <si>
    <t>Classic Cars</t>
  </si>
  <si>
    <t>1952 Alpine Renault 1300</t>
  </si>
  <si>
    <t>1962 LanciaA Delta 16V</t>
  </si>
  <si>
    <t>Trucks and Buses</t>
  </si>
  <si>
    <t>1958 Setra Bus</t>
  </si>
  <si>
    <t>1940 Ford Pickup Truck</t>
  </si>
  <si>
    <t>1926 Ford Fire Engine</t>
  </si>
  <si>
    <t>1913 Ford Model T Speedster</t>
  </si>
  <si>
    <t>1934 Ford V8 Coupe</t>
  </si>
  <si>
    <t>18th Century Vintage Horse Carriage</t>
  </si>
  <si>
    <t>1917 Maxwell Touring Car</t>
  </si>
  <si>
    <t>1940s Ford truck</t>
  </si>
  <si>
    <t>1939 Cadillac Limousine</t>
  </si>
  <si>
    <t>1962 Volkswagen Microbus</t>
  </si>
  <si>
    <t>1936 Chrysler Airflow</t>
  </si>
  <si>
    <t>1980 s GM Manhattan Express</t>
  </si>
  <si>
    <t>1996 Peterbilt 379 Stake Bed with Outrigger</t>
  </si>
  <si>
    <t>1982 Camaro Z28</t>
  </si>
  <si>
    <t>Euro+ Shopping Channel</t>
  </si>
  <si>
    <t>Spain</t>
  </si>
  <si>
    <t>1969 Corvair Monza</t>
  </si>
  <si>
    <t>1957 Chevy Pickup</t>
  </si>
  <si>
    <t>1998 Chrysler Plymouth Prowler</t>
  </si>
  <si>
    <t>1964 Mercedes Tour Bus</t>
  </si>
  <si>
    <t>1992 Ferrari 360 Spider red</t>
  </si>
  <si>
    <t>1970 Triumph Spitfire</t>
  </si>
  <si>
    <t>1970 Dodge Coronet</t>
  </si>
  <si>
    <t>1958 Chevy Corvette Limited Edition</t>
  </si>
  <si>
    <t>1992 Porsche Cayenne Turbo Silver</t>
  </si>
  <si>
    <t>1954 Greyhound Scenicruiser</t>
  </si>
  <si>
    <t>Trains</t>
  </si>
  <si>
    <t>1950's Chicago Surface Lines Streetcar</t>
  </si>
  <si>
    <t>Diamond T620 Semi-Skirted Tanker</t>
  </si>
  <si>
    <t>1962 City of Detroit Streetcar</t>
  </si>
  <si>
    <t>Danish Wholesale Imports</t>
  </si>
  <si>
    <t>Denmark</t>
  </si>
  <si>
    <t>1972 Alfa Romeo GTA</t>
  </si>
  <si>
    <t>2001 Ferrari Enzo</t>
  </si>
  <si>
    <t>1969 Ford Falcon</t>
  </si>
  <si>
    <t>1903 Ford Model A</t>
  </si>
  <si>
    <t>Collectable Wooden Train</t>
  </si>
  <si>
    <t>1904 Buick Runabout</t>
  </si>
  <si>
    <t>Ships</t>
  </si>
  <si>
    <t>18th century schooner</t>
  </si>
  <si>
    <t>1912 Ford Model T Delivery Wagon</t>
  </si>
  <si>
    <t>1940 Ford Delivery Sedan</t>
  </si>
  <si>
    <t>The Schooner Bluenose</t>
  </si>
  <si>
    <t>The Mayflower</t>
  </si>
  <si>
    <t>The USS Constitution Ship</t>
  </si>
  <si>
    <t>The Titanic</t>
  </si>
  <si>
    <t>The Queen Mary</t>
  </si>
  <si>
    <t>Pont Yacht</t>
  </si>
  <si>
    <t>Rovelli Gifts</t>
  </si>
  <si>
    <t>Italy</t>
  </si>
  <si>
    <t>Planes</t>
  </si>
  <si>
    <t>1980s Black Hawk Helicopter</t>
  </si>
  <si>
    <t>P-51-D Mustang</t>
  </si>
  <si>
    <t>1999 Yamaha Speed Boat</t>
  </si>
  <si>
    <t>1941 Chevrolet Special Deluxe Cabriolet</t>
  </si>
  <si>
    <t>1928 British Royal Navy Airplane</t>
  </si>
  <si>
    <t>1900s Vintage Bi-Plane</t>
  </si>
  <si>
    <t>1937 Horch 930V Limousine</t>
  </si>
  <si>
    <t>Corsair F4U ( Bird Cage)</t>
  </si>
  <si>
    <t>1900s Vintage Tri-Plane</t>
  </si>
  <si>
    <t>1928 Ford Phaeton Deluxe</t>
  </si>
  <si>
    <t>1930 Buick Marquette Phaeton</t>
  </si>
  <si>
    <t>American Airlines: B767-300</t>
  </si>
  <si>
    <t>HMS Bounty</t>
  </si>
  <si>
    <t>America West Airlines B757-200</t>
  </si>
  <si>
    <t>ATA: B757-300</t>
  </si>
  <si>
    <t>F/A 18 Hornet 1/72</t>
  </si>
  <si>
    <t>American Airlines: MD-11S</t>
  </si>
  <si>
    <t>Boeing X-32A JSF</t>
  </si>
  <si>
    <t>Motorcycles</t>
  </si>
  <si>
    <t>1969 Harley Davidson Ultimate Chopper</t>
  </si>
  <si>
    <t>1996 Moto Guzzi 1100i</t>
  </si>
  <si>
    <t>2003 Harley-Davidson Eagle Drag Bike</t>
  </si>
  <si>
    <t>2002 Suzuki XREO</t>
  </si>
  <si>
    <t>1936 Harley Davidson El Knucklehead</t>
  </si>
  <si>
    <t>1997 BMW R 1100 S</t>
  </si>
  <si>
    <t>1960 BSA Gold Star DBD34</t>
  </si>
  <si>
    <t>1997 BMW F650 ST</t>
  </si>
  <si>
    <t>Philippines</t>
  </si>
  <si>
    <t>1968 Ford Mustang</t>
  </si>
  <si>
    <t>1968 Dodge Charger</t>
  </si>
  <si>
    <t>1970 Plymouth Hemi Cuda</t>
  </si>
  <si>
    <t>1969 Dodge Charger</t>
  </si>
  <si>
    <t>1948 Porsche 356-A Roadster</t>
  </si>
  <si>
    <t>1969 Dodge Super Bee</t>
  </si>
  <si>
    <t>1976 Ford Gran Torino</t>
  </si>
  <si>
    <t>1957 Vespa GS150</t>
  </si>
  <si>
    <t>1957 Corvette Convertible</t>
  </si>
  <si>
    <t>1982 Ducati 900 Monster</t>
  </si>
  <si>
    <t>1971 Alpine Renault 1600s</t>
  </si>
  <si>
    <t>1956 Porsche 356A Coupe</t>
  </si>
  <si>
    <t>1961 Chevrolet Impala</t>
  </si>
  <si>
    <t>1982 Ducati 996 R</t>
  </si>
  <si>
    <t>1974 Ducati 350 Mk3 Desmo</t>
  </si>
  <si>
    <t>2002 Yamaha YZR M1</t>
  </si>
  <si>
    <t>1993 Mazda RX-7</t>
  </si>
  <si>
    <t>1995 Honda Civic</t>
  </si>
  <si>
    <t>1999 Indy 500 Monte Carlo SS</t>
  </si>
  <si>
    <t>1948 Porsche Type 356 Roadster</t>
  </si>
  <si>
    <t>1982 Lamborghini Diablo</t>
  </si>
  <si>
    <t>UK</t>
  </si>
  <si>
    <t>1965 Aston Martin DB5</t>
  </si>
  <si>
    <t>1957 Ford Thunderbird</t>
  </si>
  <si>
    <t>1970 Chevy Chevelle SS 454</t>
  </si>
  <si>
    <t>1966 Shelby Cobra 427 S/C</t>
  </si>
  <si>
    <t>1949 Jaguar XK 120</t>
  </si>
  <si>
    <t>1952 Citroen-15CV</t>
  </si>
  <si>
    <t>1969 Chevrolet Camaro Z28</t>
  </si>
  <si>
    <t>2002 Chevy Corvette</t>
  </si>
  <si>
    <t>Volvo Model Replicas, Co</t>
  </si>
  <si>
    <t>Sweden</t>
  </si>
  <si>
    <t>France</t>
  </si>
  <si>
    <t>Royale Belge</t>
  </si>
  <si>
    <t>Belgium</t>
  </si>
  <si>
    <t>Singapore</t>
  </si>
  <si>
    <t>Enaco Distributors</t>
  </si>
  <si>
    <t>Salzburg Collectables</t>
  </si>
  <si>
    <t>Austria</t>
  </si>
  <si>
    <t>Australia</t>
  </si>
  <si>
    <t>Reims Collectables</t>
  </si>
  <si>
    <t>Marseille Mini Autos</t>
  </si>
  <si>
    <t>Atelier graphique</t>
  </si>
  <si>
    <t>Signal Gift Stores</t>
  </si>
  <si>
    <t>Corrida Auto Replicas, Ltd</t>
  </si>
  <si>
    <t>Muscle Machine Inc</t>
  </si>
  <si>
    <t>Down Under Souveniers, Inc</t>
  </si>
  <si>
    <t>New Zealand</t>
  </si>
  <si>
    <t>Lyon Souveniers</t>
  </si>
  <si>
    <t>Alpha Cognac</t>
  </si>
  <si>
    <t>Kelly's Gift Shop</t>
  </si>
  <si>
    <t>Suominen Souveniers</t>
  </si>
  <si>
    <t>Finland</t>
  </si>
  <si>
    <t>Anna's Decorations, Ltd</t>
  </si>
  <si>
    <t>Australian Gift Network, Co</t>
  </si>
  <si>
    <t>Frau da Collezione</t>
  </si>
  <si>
    <t>Heintze Collectables</t>
  </si>
  <si>
    <t>Mini Auto Werke</t>
  </si>
  <si>
    <t>Scandinavian Gift Ideas</t>
  </si>
  <si>
    <t>Qu bec Home Shopping Network</t>
  </si>
  <si>
    <t>Canada</t>
  </si>
  <si>
    <t>L'ordine Souveniers</t>
  </si>
  <si>
    <t>CAF Imports</t>
  </si>
  <si>
    <t>Daedalus Designs Imports</t>
  </si>
  <si>
    <t>Herkku Gifts</t>
  </si>
  <si>
    <t>Classic Gift Ideas, Inc</t>
  </si>
  <si>
    <t>Double Decker Gift Stores, Ltd</t>
  </si>
  <si>
    <t>Hong Kong</t>
  </si>
  <si>
    <t>Toms Spezialit ten, Ltd</t>
  </si>
  <si>
    <t>Australian Collectables, Ltd</t>
  </si>
  <si>
    <t>Mini Classics</t>
  </si>
  <si>
    <t>Canadian Gift Exchange Network</t>
  </si>
  <si>
    <t>Diecast Collectables</t>
  </si>
  <si>
    <t>Japan</t>
  </si>
  <si>
    <t>Auto Canal+ Petit</t>
  </si>
  <si>
    <t>Handji Gifts&amp; Co</t>
  </si>
  <si>
    <t>Ireland</t>
  </si>
  <si>
    <t>Petit Auto</t>
  </si>
  <si>
    <t>Vida Sport, Ltd</t>
  </si>
  <si>
    <t>Switzerland</t>
  </si>
  <si>
    <t>Extreme Desk Decorations, Ltd</t>
  </si>
  <si>
    <t>Mini Caravy</t>
  </si>
  <si>
    <t>The Sharp Gifts Warehouse</t>
  </si>
  <si>
    <t>Tokyo Collectables, Ltd</t>
  </si>
  <si>
    <t>La Rochelle Gifts</t>
  </si>
  <si>
    <t>Online Mini Collectables</t>
  </si>
  <si>
    <t>Online Diecast Creations Co,</t>
  </si>
  <si>
    <t>Blauer See Auto, Co,</t>
  </si>
  <si>
    <t>Vitachrome Inc,</t>
  </si>
  <si>
    <t>Land of Toys Inc,</t>
  </si>
  <si>
    <t>Cruz &amp; Sons Co,</t>
  </si>
  <si>
    <t>Motor Mint Distributors Inc,</t>
  </si>
  <si>
    <t>AV Stores, Co,</t>
  </si>
  <si>
    <t>Mini Wheels Co,</t>
  </si>
  <si>
    <t>Mini Gifts Distributors Ltd,</t>
  </si>
  <si>
    <t>La Corne D'abondance, Co,</t>
  </si>
  <si>
    <t>Classic Legends Inc,</t>
  </si>
  <si>
    <t>Dragon Souveniers, Ltd,</t>
  </si>
  <si>
    <t>Australian Collectors, Co,</t>
  </si>
  <si>
    <t>Stylish Desk Decors, Co,</t>
  </si>
  <si>
    <t>Gift Ideas Corp,</t>
  </si>
  <si>
    <t>Auto-Moto Classics Inc,</t>
  </si>
  <si>
    <t>Souveniers And Things Co,</t>
  </si>
  <si>
    <t>Technics Stores Inc,</t>
  </si>
  <si>
    <t>Mini Creations Ltd,</t>
  </si>
  <si>
    <t>Toys4GrownUps,com</t>
  </si>
  <si>
    <t>Collectables For Less Inc,</t>
  </si>
  <si>
    <t>Signal Collectibles Ltd,</t>
  </si>
  <si>
    <t>Oulu Toy Supplies, Inc,</t>
  </si>
  <si>
    <t>Boards &amp; Toys Co,</t>
  </si>
  <si>
    <t>Norway Gifts By Mail, Co,</t>
  </si>
  <si>
    <t>Toys of Finland, Co,</t>
  </si>
  <si>
    <t>UK Collectables, Ltd,</t>
  </si>
  <si>
    <t>Corporate Gift Ideas Co,</t>
  </si>
  <si>
    <t>Men 'R' US Retailers, Ltd,</t>
  </si>
  <si>
    <t>FunGiftIdeas,com</t>
  </si>
  <si>
    <t>Gift Depot Inc,</t>
  </si>
  <si>
    <t>Iberia Gift Imports, Corp,</t>
  </si>
  <si>
    <t>King Kong Collectables, Co,</t>
  </si>
  <si>
    <t>Saveley &amp; Henriot, Co,</t>
  </si>
  <si>
    <t>Super Scale Inc,</t>
  </si>
  <si>
    <t>West Coast Collectables Co,</t>
  </si>
  <si>
    <t>GiftsForHim,com</t>
  </si>
  <si>
    <t>Osaka Souveniers Co,</t>
  </si>
  <si>
    <t>Auto Associ s &amp; Cie,</t>
  </si>
  <si>
    <t>Clover Collections, Co,</t>
  </si>
  <si>
    <t>Collectable Mini Designs Co,</t>
  </si>
  <si>
    <t>Cambridge Collectables Co,</t>
  </si>
  <si>
    <t>giftsbymail,co,uk</t>
  </si>
  <si>
    <t>Tekni Collectables Inc,</t>
  </si>
  <si>
    <t>Royal Canadian Collectables, Ltd,</t>
  </si>
  <si>
    <t>Microscale Inc,</t>
  </si>
  <si>
    <t>Gifts4AllAges,com</t>
  </si>
  <si>
    <t>Diecast Classics Inc,</t>
  </si>
  <si>
    <t>Amica Models &amp; Co,</t>
  </si>
  <si>
    <t>Marta's Replicas Co,</t>
  </si>
  <si>
    <t>Bavarian Collectables Imports, Co,</t>
  </si>
  <si>
    <t>Sum of Profit</t>
  </si>
  <si>
    <t>Total Profit</t>
  </si>
  <si>
    <t>Sum of Sales</t>
  </si>
  <si>
    <t>Berapa total keuntungan dan revenuenya</t>
  </si>
  <si>
    <t>Row Labels</t>
  </si>
  <si>
    <t>Grand Total</t>
  </si>
  <si>
    <t>Sum of quantityOrdered</t>
  </si>
  <si>
    <t>Produk apa saja yang paling laku terjual</t>
  </si>
  <si>
    <t>Top 10 Produk Paling laku</t>
  </si>
  <si>
    <t>Jan</t>
  </si>
  <si>
    <t>Feb</t>
  </si>
  <si>
    <t>Mar</t>
  </si>
  <si>
    <t>Apr</t>
  </si>
  <si>
    <t>May</t>
  </si>
  <si>
    <t>Jun</t>
  </si>
  <si>
    <t>Jul</t>
  </si>
  <si>
    <t>Aug</t>
  </si>
  <si>
    <t>Sep</t>
  </si>
  <si>
    <t>Oct</t>
  </si>
  <si>
    <t>Nov</t>
  </si>
  <si>
    <t>Dec</t>
  </si>
  <si>
    <t>Sum of Profit2</t>
  </si>
  <si>
    <t>Overall performance By Country</t>
  </si>
  <si>
    <t>Key metrics Values</t>
  </si>
  <si>
    <t>Count of purchaseNumber</t>
  </si>
  <si>
    <t>Column Labels</t>
  </si>
  <si>
    <t>2003</t>
  </si>
  <si>
    <t>2004</t>
  </si>
  <si>
    <t>2005</t>
  </si>
  <si>
    <t>Monthly Sales</t>
  </si>
  <si>
    <t>Profit Margin</t>
  </si>
  <si>
    <t xml:space="preserve">overall performance sales </t>
  </si>
  <si>
    <t>Top 5 Buyer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</si>
</sst>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409]* #,##0.00_ ;_-[$$-409]* \-#,##0.00\ ;_-[$$-409]* &quot;-&quot;??_ ;_-@_ "/>
    <numFmt numFmtId="165" formatCode="0.0%"/>
    <numFmt numFmtId="166" formatCode="\$\ #,##0.0,\ &quot;K&quot;"/>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3">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4" fontId="0" fillId="0" borderId="0" xfId="0" applyNumberFormat="1"/>
    <xf numFmtId="164" fontId="0" fillId="0" borderId="0" xfId="0" applyNumberFormat="1"/>
    <xf numFmtId="0" fontId="0" fillId="0" borderId="0" xfId="0" pivotButton="1"/>
    <xf numFmtId="0" fontId="0" fillId="0" borderId="0" xfId="0" applyAlignment="1">
      <alignment horizontal="left"/>
    </xf>
    <xf numFmtId="10" fontId="0" fillId="0" borderId="0" xfId="0" applyNumberFormat="1"/>
    <xf numFmtId="9" fontId="0" fillId="0" borderId="0" xfId="0" applyNumberFormat="1"/>
    <xf numFmtId="10" fontId="0" fillId="0" borderId="0" xfId="1" applyNumberFormat="1" applyFont="1"/>
    <xf numFmtId="0" fontId="0" fillId="0" borderId="10" xfId="0" applyBorder="1"/>
    <xf numFmtId="164" fontId="0" fillId="0" borderId="10" xfId="0" applyNumberFormat="1" applyBorder="1"/>
    <xf numFmtId="165" fontId="0" fillId="0" borderId="0" xfId="1" applyNumberFormat="1" applyFont="1"/>
    <xf numFmtId="164" fontId="0" fillId="0" borderId="0" xfId="1" applyNumberFormat="1" applyFont="1"/>
    <xf numFmtId="166" fontId="0" fillId="0" borderId="0" xfId="0" applyNumberFormat="1"/>
    <xf numFmtId="0" fontId="0" fillId="0" borderId="11" xfId="0" applyBorder="1" applyAlignment="1">
      <alignment horizontal="center"/>
    </xf>
    <xf numFmtId="0" fontId="0" fillId="0" borderId="12" xfId="0" applyBorder="1" applyAlignment="1">
      <alignment horizontal="center"/>
    </xf>
    <xf numFmtId="0" fontId="0" fillId="0" borderId="0" xfId="0" applyFill="1" applyBorder="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11">
    <dxf>
      <fill>
        <patternFill>
          <bgColor rgb="FFFF0000"/>
        </patternFill>
      </fill>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64" formatCode="_-[$$-409]* #,##0.00_ ;_-[$$-409]* \-#,##0.00\ ;_-[$$-409]* &quot;-&quot;??_ ;_-@_ "/>
    </dxf>
    <dxf>
      <numFmt numFmtId="19" formatCode="dd/mm/yyyy"/>
    </dxf>
    <dxf>
      <numFmt numFmtId="14" formatCode="0.00%"/>
    </dxf>
    <dxf>
      <numFmt numFmtId="166" formatCode="\$\ #,##0.0,\ &quot;K&quot;"/>
    </dxf>
    <dxf>
      <numFmt numFmtId="164" formatCode="_-[$$-409]* #,##0.00_ ;_-[$$-409]* \-#,##0.00\ ;_-[$$-409]* &quot;-&quot;??_ ;_-@_ "/>
    </dxf>
    <dxf>
      <numFmt numFmtId="13" formatCode="0%"/>
    </dxf>
  </dxfs>
  <tableStyles count="0" defaultTableStyle="TableStyleMedium2" defaultPivotStyle="PivotStyleLight16"/>
  <colors>
    <mruColors>
      <color rgb="FFDC95FF"/>
      <color rgb="FF8C56D4"/>
      <color rgb="FF70FFD2"/>
      <color rgb="FFFFF4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2.0.xlsx]Pivot!PivotTable6</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313-4448-9E48-CEB0F3E5B18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313-4448-9E48-CEB0F3E5B18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313-4448-9E48-CEB0F3E5B18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313-4448-9E48-CEB0F3E5B18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313-4448-9E48-CEB0F3E5B187}"/>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313-4448-9E48-CEB0F3E5B187}"/>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4313-4448-9E48-CEB0F3E5B187}"/>
              </c:ext>
            </c:extLst>
          </c:dPt>
          <c:cat>
            <c:strRef>
              <c:f>Pivot!$A$14:$A$21</c:f>
              <c:strCache>
                <c:ptCount val="7"/>
                <c:pt idx="0">
                  <c:v>Classic Cars</c:v>
                </c:pt>
                <c:pt idx="1">
                  <c:v>Motorcycles</c:v>
                </c:pt>
                <c:pt idx="2">
                  <c:v>Planes</c:v>
                </c:pt>
                <c:pt idx="3">
                  <c:v>Ships</c:v>
                </c:pt>
                <c:pt idx="4">
                  <c:v>Trains</c:v>
                </c:pt>
                <c:pt idx="5">
                  <c:v>Trucks and Buses</c:v>
                </c:pt>
                <c:pt idx="6">
                  <c:v>Vintage Cars</c:v>
                </c:pt>
              </c:strCache>
            </c:strRef>
          </c:cat>
          <c:val>
            <c:numRef>
              <c:f>Pivot!$B$14:$B$21</c:f>
              <c:numCache>
                <c:formatCode>0%</c:formatCode>
                <c:ptCount val="7"/>
                <c:pt idx="0">
                  <c:v>0.33721899996209104</c:v>
                </c:pt>
                <c:pt idx="1">
                  <c:v>0.12110011751772243</c:v>
                </c:pt>
                <c:pt idx="2">
                  <c:v>0.11251374199173585</c:v>
                </c:pt>
                <c:pt idx="3">
                  <c:v>8.0859774820880248E-2</c:v>
                </c:pt>
                <c:pt idx="4">
                  <c:v>2.670685014594943E-2</c:v>
                </c:pt>
                <c:pt idx="5">
                  <c:v>0.10425906971454565</c:v>
                </c:pt>
                <c:pt idx="6">
                  <c:v>0.21734144584707532</c:v>
                </c:pt>
              </c:numCache>
            </c:numRef>
          </c:val>
          <c:extLst>
            <c:ext xmlns:c16="http://schemas.microsoft.com/office/drawing/2014/chart" uri="{C3380CC4-5D6E-409C-BE32-E72D297353CC}">
              <c16:uniqueId val="{00000000-C289-4291-AD4C-F2BDBF20976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2.0.xlsx]Pivot!PivotTable7</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Pivot!$B$24</c:f>
              <c:strCache>
                <c:ptCount val="1"/>
                <c:pt idx="0">
                  <c:v>Total</c:v>
                </c:pt>
              </c:strCache>
            </c:strRef>
          </c:tx>
          <c:spPr>
            <a:solidFill>
              <a:schemeClr val="accent1"/>
            </a:solidFill>
            <a:ln>
              <a:noFill/>
            </a:ln>
            <a:effectLst/>
          </c:spPr>
          <c:invertIfNegative val="0"/>
          <c:cat>
            <c:strRef>
              <c:f>Pivot!$A$25:$A$35</c:f>
              <c:strCache>
                <c:ptCount val="10"/>
                <c:pt idx="0">
                  <c:v>1930 Buick Marquette Phaeton</c:v>
                </c:pt>
                <c:pt idx="1">
                  <c:v>1937 Lincoln Berline</c:v>
                </c:pt>
                <c:pt idx="2">
                  <c:v>1940s Ford truck</c:v>
                </c:pt>
                <c:pt idx="3">
                  <c:v>1941 Chevrolet Special Deluxe Cabriolet</c:v>
                </c:pt>
                <c:pt idx="4">
                  <c:v>1956 Porsche 356A Coupe</c:v>
                </c:pt>
                <c:pt idx="5">
                  <c:v>1957 Chevy Pickup</c:v>
                </c:pt>
                <c:pt idx="6">
                  <c:v>1964 Mercedes Tour Bus</c:v>
                </c:pt>
                <c:pt idx="7">
                  <c:v>1969 Harley Davidson Ultimate Chopper</c:v>
                </c:pt>
                <c:pt idx="8">
                  <c:v>1992 Ferrari 360 Spider red</c:v>
                </c:pt>
                <c:pt idx="9">
                  <c:v>American Airlines: MD-11S</c:v>
                </c:pt>
              </c:strCache>
            </c:strRef>
          </c:cat>
          <c:val>
            <c:numRef>
              <c:f>Pivot!$B$25:$B$35</c:f>
              <c:numCache>
                <c:formatCode>General</c:formatCode>
                <c:ptCount val="10"/>
                <c:pt idx="0">
                  <c:v>1074</c:v>
                </c:pt>
                <c:pt idx="1">
                  <c:v>1111</c:v>
                </c:pt>
                <c:pt idx="2">
                  <c:v>1061</c:v>
                </c:pt>
                <c:pt idx="3">
                  <c:v>1076</c:v>
                </c:pt>
                <c:pt idx="4">
                  <c:v>1052</c:v>
                </c:pt>
                <c:pt idx="5">
                  <c:v>1056</c:v>
                </c:pt>
                <c:pt idx="6">
                  <c:v>1053</c:v>
                </c:pt>
                <c:pt idx="7">
                  <c:v>1057</c:v>
                </c:pt>
                <c:pt idx="8">
                  <c:v>1808</c:v>
                </c:pt>
                <c:pt idx="9">
                  <c:v>1085</c:v>
                </c:pt>
              </c:numCache>
            </c:numRef>
          </c:val>
          <c:extLst>
            <c:ext xmlns:c16="http://schemas.microsoft.com/office/drawing/2014/chart" uri="{C3380CC4-5D6E-409C-BE32-E72D297353CC}">
              <c16:uniqueId val="{00000000-6F5D-4006-90D5-35A1F4C57B36}"/>
            </c:ext>
          </c:extLst>
        </c:ser>
        <c:dLbls>
          <c:showLegendKey val="0"/>
          <c:showVal val="0"/>
          <c:showCatName val="0"/>
          <c:showSerName val="0"/>
          <c:showPercent val="0"/>
          <c:showBubbleSize val="0"/>
        </c:dLbls>
        <c:gapWidth val="182"/>
        <c:axId val="601771192"/>
        <c:axId val="601771552"/>
      </c:barChart>
      <c:catAx>
        <c:axId val="601771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1552"/>
        <c:crosses val="autoZero"/>
        <c:auto val="1"/>
        <c:lblAlgn val="ctr"/>
        <c:lblOffset val="100"/>
        <c:noMultiLvlLbl val="0"/>
      </c:catAx>
      <c:valAx>
        <c:axId val="60177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1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2.0.xlsx]Pivot!PivotTable8</c:name>
    <c:fmtId val="1"/>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Pivot!$B$39:$B$40</c:f>
              <c:strCache>
                <c:ptCount val="1"/>
                <c:pt idx="0">
                  <c:v>2003</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Pivot!$B$41:$B$53</c:f>
              <c:numCache>
                <c:formatCode>\$\ #,##0.0,\ "K"</c:formatCode>
                <c:ptCount val="12"/>
                <c:pt idx="0">
                  <c:v>116692.77</c:v>
                </c:pt>
                <c:pt idx="1">
                  <c:v>128403.63999999998</c:v>
                </c:pt>
                <c:pt idx="2">
                  <c:v>160517.13999999998</c:v>
                </c:pt>
                <c:pt idx="3">
                  <c:v>185848.59000000003</c:v>
                </c:pt>
                <c:pt idx="4">
                  <c:v>179435.55</c:v>
                </c:pt>
                <c:pt idx="5">
                  <c:v>150470.76999999996</c:v>
                </c:pt>
                <c:pt idx="6">
                  <c:v>201940.35999999996</c:v>
                </c:pt>
                <c:pt idx="7">
                  <c:v>178257.10999999996</c:v>
                </c:pt>
                <c:pt idx="8">
                  <c:v>236697.85000000003</c:v>
                </c:pt>
                <c:pt idx="9">
                  <c:v>514336.2100000002</c:v>
                </c:pt>
                <c:pt idx="10">
                  <c:v>988025.15000000049</c:v>
                </c:pt>
                <c:pt idx="11">
                  <c:v>276723.25000000006</c:v>
                </c:pt>
              </c:numCache>
            </c:numRef>
          </c:val>
          <c:smooth val="0"/>
          <c:extLst>
            <c:ext xmlns:c16="http://schemas.microsoft.com/office/drawing/2014/chart" uri="{C3380CC4-5D6E-409C-BE32-E72D297353CC}">
              <c16:uniqueId val="{00000000-8C20-4956-9A63-2ABA6F196B05}"/>
            </c:ext>
          </c:extLst>
        </c:ser>
        <c:ser>
          <c:idx val="1"/>
          <c:order val="1"/>
          <c:tx>
            <c:strRef>
              <c:f>Pivot!$C$39:$C$40</c:f>
              <c:strCache>
                <c:ptCount val="1"/>
                <c:pt idx="0">
                  <c:v>2004</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Pivot!$C$41:$C$53</c:f>
              <c:numCache>
                <c:formatCode>\$\ #,##0.0,\ "K"</c:formatCode>
                <c:ptCount val="12"/>
                <c:pt idx="0">
                  <c:v>292385.21000000014</c:v>
                </c:pt>
                <c:pt idx="1">
                  <c:v>289502.83999999997</c:v>
                </c:pt>
                <c:pt idx="2">
                  <c:v>217691.26</c:v>
                </c:pt>
                <c:pt idx="3">
                  <c:v>187575.77000000005</c:v>
                </c:pt>
                <c:pt idx="4">
                  <c:v>248325.30000000008</c:v>
                </c:pt>
                <c:pt idx="5">
                  <c:v>343370.73999999993</c:v>
                </c:pt>
                <c:pt idx="6">
                  <c:v>325563.49000000011</c:v>
                </c:pt>
                <c:pt idx="7">
                  <c:v>419327.08999999991</c:v>
                </c:pt>
                <c:pt idx="8">
                  <c:v>283799.79999999987</c:v>
                </c:pt>
                <c:pt idx="9">
                  <c:v>500233.85999999987</c:v>
                </c:pt>
                <c:pt idx="10">
                  <c:v>979291.97999999963</c:v>
                </c:pt>
                <c:pt idx="11">
                  <c:v>428838.17000000004</c:v>
                </c:pt>
              </c:numCache>
            </c:numRef>
          </c:val>
          <c:smooth val="0"/>
          <c:extLst>
            <c:ext xmlns:c16="http://schemas.microsoft.com/office/drawing/2014/chart" uri="{C3380CC4-5D6E-409C-BE32-E72D297353CC}">
              <c16:uniqueId val="{00000001-8C20-4956-9A63-2ABA6F196B05}"/>
            </c:ext>
          </c:extLst>
        </c:ser>
        <c:ser>
          <c:idx val="2"/>
          <c:order val="2"/>
          <c:tx>
            <c:strRef>
              <c:f>Pivot!$D$39:$D$40</c:f>
              <c:strCache>
                <c:ptCount val="1"/>
                <c:pt idx="0">
                  <c:v>2005</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Pivot!$A$41:$A$53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Pivot!$D$41:$D$53</c:f>
              <c:numCache>
                <c:formatCode>\$\ #,##0.0,\ "K"</c:formatCode>
                <c:ptCount val="12"/>
                <c:pt idx="0">
                  <c:v>307737.02000000014</c:v>
                </c:pt>
                <c:pt idx="1">
                  <c:v>317192.17</c:v>
                </c:pt>
                <c:pt idx="2">
                  <c:v>359711.95999999985</c:v>
                </c:pt>
                <c:pt idx="3">
                  <c:v>344820.62</c:v>
                </c:pt>
                <c:pt idx="4">
                  <c:v>441474.93999999983</c:v>
                </c:pt>
              </c:numCache>
            </c:numRef>
          </c:val>
          <c:smooth val="0"/>
          <c:extLst>
            <c:ext xmlns:c16="http://schemas.microsoft.com/office/drawing/2014/chart" uri="{C3380CC4-5D6E-409C-BE32-E72D297353CC}">
              <c16:uniqueId val="{00000001-D682-4632-B5DC-5481E16027B4}"/>
            </c:ext>
          </c:extLst>
        </c:ser>
        <c:dLbls>
          <c:showLegendKey val="0"/>
          <c:showVal val="0"/>
          <c:showCatName val="0"/>
          <c:showSerName val="0"/>
          <c:showPercent val="0"/>
          <c:showBubbleSize val="0"/>
        </c:dLbls>
        <c:marker val="1"/>
        <c:smooth val="0"/>
        <c:axId val="601739872"/>
        <c:axId val="601749952"/>
      </c:lineChart>
      <c:catAx>
        <c:axId val="6017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9952"/>
        <c:crosses val="autoZero"/>
        <c:auto val="1"/>
        <c:lblAlgn val="ctr"/>
        <c:lblOffset val="100"/>
        <c:noMultiLvlLbl val="0"/>
      </c:catAx>
      <c:valAx>
        <c:axId val="601749952"/>
        <c:scaling>
          <c:orientation val="minMax"/>
        </c:scaling>
        <c:delete val="0"/>
        <c:axPos val="l"/>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9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2.0.xlsx]Pivot!PivotTable9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Pivot!$B$56</c:f>
              <c:strCache>
                <c:ptCount val="1"/>
                <c:pt idx="0">
                  <c:v>Sum of Profit</c:v>
                </c:pt>
              </c:strCache>
            </c:strRef>
          </c:tx>
          <c:spPr>
            <a:solidFill>
              <a:schemeClr val="accent1"/>
            </a:solidFill>
            <a:ln>
              <a:noFill/>
            </a:ln>
            <a:effectLst/>
          </c:spPr>
          <c:invertIfNegative val="0"/>
          <c:cat>
            <c:strRef>
              <c:f>Pivot!$A$57:$A$78</c:f>
              <c:strCache>
                <c:ptCount val="21"/>
                <c:pt idx="0">
                  <c:v>USA</c:v>
                </c:pt>
                <c:pt idx="1">
                  <c:v>Spain</c:v>
                </c:pt>
                <c:pt idx="2">
                  <c:v>France</c:v>
                </c:pt>
                <c:pt idx="3">
                  <c:v>Australia</c:v>
                </c:pt>
                <c:pt idx="4">
                  <c:v>New Zealand</c:v>
                </c:pt>
                <c:pt idx="5">
                  <c:v>UK</c:v>
                </c:pt>
                <c:pt idx="6">
                  <c:v>Italy</c:v>
                </c:pt>
                <c:pt idx="7">
                  <c:v>Finland</c:v>
                </c:pt>
                <c:pt idx="8">
                  <c:v>Norway</c:v>
                </c:pt>
                <c:pt idx="9">
                  <c:v>Singapore</c:v>
                </c:pt>
                <c:pt idx="10">
                  <c:v>Denmark</c:v>
                </c:pt>
                <c:pt idx="11">
                  <c:v>Canada</c:v>
                </c:pt>
                <c:pt idx="12">
                  <c:v>Germany</c:v>
                </c:pt>
                <c:pt idx="13">
                  <c:v>Austria</c:v>
                </c:pt>
                <c:pt idx="14">
                  <c:v>Sweden</c:v>
                </c:pt>
                <c:pt idx="15">
                  <c:v>Japan</c:v>
                </c:pt>
                <c:pt idx="16">
                  <c:v>Switzerland</c:v>
                </c:pt>
                <c:pt idx="17">
                  <c:v>Belgium</c:v>
                </c:pt>
                <c:pt idx="18">
                  <c:v>Philippines</c:v>
                </c:pt>
                <c:pt idx="19">
                  <c:v>Ireland</c:v>
                </c:pt>
                <c:pt idx="20">
                  <c:v>Hong Kong</c:v>
                </c:pt>
              </c:strCache>
            </c:strRef>
          </c:cat>
          <c:val>
            <c:numRef>
              <c:f>Pivot!$B$57:$B$78</c:f>
              <c:numCache>
                <c:formatCode>_-[$$-409]* #,##0.00_ ;_-[$$-409]* \-#,##0.00\ ;_-[$$-409]* "-"??_ ;_-@_ </c:formatCode>
                <c:ptCount val="21"/>
                <c:pt idx="0">
                  <c:v>1308815.5899999982</c:v>
                </c:pt>
                <c:pt idx="1">
                  <c:v>440004.53999999928</c:v>
                </c:pt>
                <c:pt idx="2">
                  <c:v>413016.11999999988</c:v>
                </c:pt>
                <c:pt idx="3">
                  <c:v>222207.18000000011</c:v>
                </c:pt>
                <c:pt idx="4">
                  <c:v>189506.58000000002</c:v>
                </c:pt>
                <c:pt idx="5">
                  <c:v>172964.25999999998</c:v>
                </c:pt>
                <c:pt idx="6">
                  <c:v>144459.86000000002</c:v>
                </c:pt>
                <c:pt idx="7">
                  <c:v>117239.33000000003</c:v>
                </c:pt>
                <c:pt idx="8">
                  <c:v>107649.34</c:v>
                </c:pt>
                <c:pt idx="9">
                  <c:v>101782.54999999997</c:v>
                </c:pt>
                <c:pt idx="10">
                  <c:v>85629.3</c:v>
                </c:pt>
                <c:pt idx="11">
                  <c:v>78858.780000000028</c:v>
                </c:pt>
                <c:pt idx="12">
                  <c:v>77505.7</c:v>
                </c:pt>
                <c:pt idx="13">
                  <c:v>73082.790000000008</c:v>
                </c:pt>
                <c:pt idx="14">
                  <c:v>71915.919999999984</c:v>
                </c:pt>
                <c:pt idx="15">
                  <c:v>67848.06</c:v>
                </c:pt>
                <c:pt idx="16">
                  <c:v>43393.749999999993</c:v>
                </c:pt>
                <c:pt idx="17">
                  <c:v>37555.950000000004</c:v>
                </c:pt>
                <c:pt idx="18">
                  <c:v>35987.680000000008</c:v>
                </c:pt>
                <c:pt idx="19">
                  <c:v>19588.29</c:v>
                </c:pt>
                <c:pt idx="20">
                  <c:v>16868.68</c:v>
                </c:pt>
              </c:numCache>
            </c:numRef>
          </c:val>
          <c:extLst>
            <c:ext xmlns:c16="http://schemas.microsoft.com/office/drawing/2014/chart" uri="{C3380CC4-5D6E-409C-BE32-E72D297353CC}">
              <c16:uniqueId val="{00000000-FC20-49AB-98E7-8A4143B15177}"/>
            </c:ext>
          </c:extLst>
        </c:ser>
        <c:dLbls>
          <c:showLegendKey val="0"/>
          <c:showVal val="0"/>
          <c:showCatName val="0"/>
          <c:showSerName val="0"/>
          <c:showPercent val="0"/>
          <c:showBubbleSize val="0"/>
        </c:dLbls>
        <c:gapWidth val="219"/>
        <c:overlap val="-27"/>
        <c:axId val="453486864"/>
        <c:axId val="453480744"/>
      </c:barChart>
      <c:lineChart>
        <c:grouping val="standard"/>
        <c:varyColors val="0"/>
        <c:ser>
          <c:idx val="1"/>
          <c:order val="1"/>
          <c:tx>
            <c:strRef>
              <c:f>Pivot!$C$56</c:f>
              <c:strCache>
                <c:ptCount val="1"/>
                <c:pt idx="0">
                  <c:v>Sum of Profit2</c:v>
                </c:pt>
              </c:strCache>
            </c:strRef>
          </c:tx>
          <c:spPr>
            <a:ln w="28575" cap="rnd">
              <a:solidFill>
                <a:schemeClr val="accent2"/>
              </a:solidFill>
              <a:round/>
            </a:ln>
            <a:effectLst/>
          </c:spPr>
          <c:marker>
            <c:symbol val="none"/>
          </c:marker>
          <c:cat>
            <c:strRef>
              <c:f>Pivot!$A$57:$A$78</c:f>
              <c:strCache>
                <c:ptCount val="21"/>
                <c:pt idx="0">
                  <c:v>USA</c:v>
                </c:pt>
                <c:pt idx="1">
                  <c:v>Spain</c:v>
                </c:pt>
                <c:pt idx="2">
                  <c:v>France</c:v>
                </c:pt>
                <c:pt idx="3">
                  <c:v>Australia</c:v>
                </c:pt>
                <c:pt idx="4">
                  <c:v>New Zealand</c:v>
                </c:pt>
                <c:pt idx="5">
                  <c:v>UK</c:v>
                </c:pt>
                <c:pt idx="6">
                  <c:v>Italy</c:v>
                </c:pt>
                <c:pt idx="7">
                  <c:v>Finland</c:v>
                </c:pt>
                <c:pt idx="8">
                  <c:v>Norway</c:v>
                </c:pt>
                <c:pt idx="9">
                  <c:v>Singapore</c:v>
                </c:pt>
                <c:pt idx="10">
                  <c:v>Denmark</c:v>
                </c:pt>
                <c:pt idx="11">
                  <c:v>Canada</c:v>
                </c:pt>
                <c:pt idx="12">
                  <c:v>Germany</c:v>
                </c:pt>
                <c:pt idx="13">
                  <c:v>Austria</c:v>
                </c:pt>
                <c:pt idx="14">
                  <c:v>Sweden</c:v>
                </c:pt>
                <c:pt idx="15">
                  <c:v>Japan</c:v>
                </c:pt>
                <c:pt idx="16">
                  <c:v>Switzerland</c:v>
                </c:pt>
                <c:pt idx="17">
                  <c:v>Belgium</c:v>
                </c:pt>
                <c:pt idx="18">
                  <c:v>Philippines</c:v>
                </c:pt>
                <c:pt idx="19">
                  <c:v>Ireland</c:v>
                </c:pt>
                <c:pt idx="20">
                  <c:v>Hong Kong</c:v>
                </c:pt>
              </c:strCache>
            </c:strRef>
          </c:cat>
          <c:val>
            <c:numRef>
              <c:f>Pivot!$C$57:$C$78</c:f>
              <c:numCache>
                <c:formatCode>0.00%</c:formatCode>
                <c:ptCount val="21"/>
                <c:pt idx="0">
                  <c:v>0.34209528382389887</c:v>
                </c:pt>
                <c:pt idx="1">
                  <c:v>0.45710268375493424</c:v>
                </c:pt>
                <c:pt idx="2">
                  <c:v>0.56505591098937269</c:v>
                </c:pt>
                <c:pt idx="3">
                  <c:v>0.62313592538605966</c:v>
                </c:pt>
                <c:pt idx="4">
                  <c:v>0.67266873028762453</c:v>
                </c:pt>
                <c:pt idx="5">
                  <c:v>0.71787774068464349</c:v>
                </c:pt>
                <c:pt idx="6">
                  <c:v>0.75563633493233329</c:v>
                </c:pt>
                <c:pt idx="7">
                  <c:v>0.78628008809214545</c:v>
                </c:pt>
                <c:pt idx="8">
                  <c:v>0.81441723117183273</c:v>
                </c:pt>
                <c:pt idx="9">
                  <c:v>0.84102092583791643</c:v>
                </c:pt>
                <c:pt idx="10">
                  <c:v>0.86340252024354369</c:v>
                </c:pt>
                <c:pt idx="11">
                  <c:v>0.88401445131483125</c:v>
                </c:pt>
                <c:pt idx="12">
                  <c:v>0.90427271737007442</c:v>
                </c:pt>
                <c:pt idx="13">
                  <c:v>0.92337493312813435</c:v>
                </c:pt>
                <c:pt idx="14">
                  <c:v>0.94217215502236373</c:v>
                </c:pt>
                <c:pt idx="15">
                  <c:v>0.95990612879219095</c:v>
                </c:pt>
                <c:pt idx="16">
                  <c:v>0.97124828985434131</c:v>
                </c:pt>
                <c:pt idx="17">
                  <c:v>0.98106457984407647</c:v>
                </c:pt>
                <c:pt idx="18">
                  <c:v>0.99047095893814252</c:v>
                </c:pt>
                <c:pt idx="19">
                  <c:v>0.99559090225053448</c:v>
                </c:pt>
                <c:pt idx="20">
                  <c:v>1.0000000000000002</c:v>
                </c:pt>
              </c:numCache>
            </c:numRef>
          </c:val>
          <c:smooth val="0"/>
          <c:extLst>
            <c:ext xmlns:c16="http://schemas.microsoft.com/office/drawing/2014/chart" uri="{C3380CC4-5D6E-409C-BE32-E72D297353CC}">
              <c16:uniqueId val="{00000001-FC20-49AB-98E7-8A4143B15177}"/>
            </c:ext>
          </c:extLst>
        </c:ser>
        <c:dLbls>
          <c:showLegendKey val="0"/>
          <c:showVal val="0"/>
          <c:showCatName val="0"/>
          <c:showSerName val="0"/>
          <c:showPercent val="0"/>
          <c:showBubbleSize val="0"/>
        </c:dLbls>
        <c:marker val="1"/>
        <c:smooth val="0"/>
        <c:axId val="601747792"/>
        <c:axId val="601741312"/>
      </c:lineChart>
      <c:catAx>
        <c:axId val="4534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480744"/>
        <c:crosses val="autoZero"/>
        <c:auto val="1"/>
        <c:lblAlgn val="ctr"/>
        <c:lblOffset val="100"/>
        <c:noMultiLvlLbl val="0"/>
      </c:catAx>
      <c:valAx>
        <c:axId val="4534807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486864"/>
        <c:crosses val="autoZero"/>
        <c:crossBetween val="between"/>
      </c:valAx>
      <c:valAx>
        <c:axId val="601741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7792"/>
        <c:crosses val="max"/>
        <c:crossBetween val="between"/>
      </c:valAx>
      <c:catAx>
        <c:axId val="601747792"/>
        <c:scaling>
          <c:orientation val="minMax"/>
        </c:scaling>
        <c:delete val="1"/>
        <c:axPos val="b"/>
        <c:numFmt formatCode="General" sourceLinked="1"/>
        <c:majorTickMark val="out"/>
        <c:minorTickMark val="none"/>
        <c:tickLblPos val="nextTo"/>
        <c:crossAx val="601741312"/>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2.0.xlsx]Pivot!PivotTable13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Pivot!$B$84</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Pivot!$A$85:$A$97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Pivot!$B$85:$B$97</c:f>
              <c:numCache>
                <c:formatCode>_-[$$-409]* #,##0.00_ ;_-[$$-409]* \-#,##0.00\ ;_-[$$-409]* "-"??_ ;_-@_ </c:formatCode>
                <c:ptCount val="12"/>
                <c:pt idx="0">
                  <c:v>286458.37</c:v>
                </c:pt>
                <c:pt idx="1">
                  <c:v>293044.19000000012</c:v>
                </c:pt>
                <c:pt idx="2">
                  <c:v>292030.62</c:v>
                </c:pt>
                <c:pt idx="3">
                  <c:v>285460.81999999989</c:v>
                </c:pt>
                <c:pt idx="4">
                  <c:v>346870.80999999982</c:v>
                </c:pt>
                <c:pt idx="5">
                  <c:v>197251.71999999991</c:v>
                </c:pt>
                <c:pt idx="6">
                  <c:v>210269.38</c:v>
                </c:pt>
                <c:pt idx="7">
                  <c:v>236954.46000000014</c:v>
                </c:pt>
                <c:pt idx="8">
                  <c:v>208539.17999999993</c:v>
                </c:pt>
                <c:pt idx="9">
                  <c:v>403052.13999999996</c:v>
                </c:pt>
                <c:pt idx="10">
                  <c:v>786076.74000000034</c:v>
                </c:pt>
                <c:pt idx="11">
                  <c:v>279871.82</c:v>
                </c:pt>
              </c:numCache>
            </c:numRef>
          </c:val>
          <c:smooth val="0"/>
          <c:extLst>
            <c:ext xmlns:c16="http://schemas.microsoft.com/office/drawing/2014/chart" uri="{C3380CC4-5D6E-409C-BE32-E72D297353CC}">
              <c16:uniqueId val="{00000000-E7DC-4BD6-B4B5-418F1C0226E4}"/>
            </c:ext>
          </c:extLst>
        </c:ser>
        <c:dLbls>
          <c:showLegendKey val="0"/>
          <c:showVal val="0"/>
          <c:showCatName val="0"/>
          <c:showSerName val="0"/>
          <c:showPercent val="0"/>
          <c:showBubbleSize val="0"/>
        </c:dLbls>
        <c:marker val="1"/>
        <c:smooth val="0"/>
        <c:axId val="807017040"/>
        <c:axId val="807018120"/>
      </c:lineChart>
      <c:catAx>
        <c:axId val="807017040"/>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18120"/>
        <c:crosses val="autoZero"/>
        <c:auto val="1"/>
        <c:lblAlgn val="ctr"/>
        <c:lblOffset val="100"/>
        <c:noMultiLvlLbl val="0"/>
      </c:catAx>
      <c:valAx>
        <c:axId val="807018120"/>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701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Project 2.0.xlsx]Pivot!PivotTable2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Pivot!$B$102</c:f>
              <c:strCache>
                <c:ptCount val="1"/>
                <c:pt idx="0">
                  <c:v>Total</c:v>
                </c:pt>
              </c:strCache>
            </c:strRef>
          </c:tx>
          <c:spPr>
            <a:solidFill>
              <a:schemeClr val="accent1"/>
            </a:solidFill>
            <a:ln>
              <a:noFill/>
            </a:ln>
            <a:effectLst/>
          </c:spPr>
          <c:invertIfNegative val="0"/>
          <c:cat>
            <c:strRef>
              <c:f>Pivot!$A$103:$A$108</c:f>
              <c:strCache>
                <c:ptCount val="5"/>
                <c:pt idx="0">
                  <c:v>Australian Collectors, Co,</c:v>
                </c:pt>
                <c:pt idx="1">
                  <c:v>AV Stores, Co,</c:v>
                </c:pt>
                <c:pt idx="2">
                  <c:v>Euro+ Shopping Channel</c:v>
                </c:pt>
                <c:pt idx="3">
                  <c:v>La Rochelle Gifts</c:v>
                </c:pt>
                <c:pt idx="4">
                  <c:v>Mini Gifts Distributors Ltd,</c:v>
                </c:pt>
              </c:strCache>
            </c:strRef>
          </c:cat>
          <c:val>
            <c:numRef>
              <c:f>Pivot!$B$103:$B$108</c:f>
              <c:numCache>
                <c:formatCode>General</c:formatCode>
                <c:ptCount val="5"/>
                <c:pt idx="0">
                  <c:v>55</c:v>
                </c:pt>
                <c:pt idx="1">
                  <c:v>51</c:v>
                </c:pt>
                <c:pt idx="2">
                  <c:v>259</c:v>
                </c:pt>
                <c:pt idx="3">
                  <c:v>53</c:v>
                </c:pt>
                <c:pt idx="4">
                  <c:v>180</c:v>
                </c:pt>
              </c:numCache>
            </c:numRef>
          </c:val>
          <c:extLst>
            <c:ext xmlns:c16="http://schemas.microsoft.com/office/drawing/2014/chart" uri="{C3380CC4-5D6E-409C-BE32-E72D297353CC}">
              <c16:uniqueId val="{00000000-CE6D-4E5F-8F97-121FD59F08A5}"/>
            </c:ext>
          </c:extLst>
        </c:ser>
        <c:dLbls>
          <c:showLegendKey val="0"/>
          <c:showVal val="0"/>
          <c:showCatName val="0"/>
          <c:showSerName val="0"/>
          <c:showPercent val="0"/>
          <c:showBubbleSize val="0"/>
        </c:dLbls>
        <c:gapWidth val="182"/>
        <c:axId val="672374208"/>
        <c:axId val="672376368"/>
      </c:barChart>
      <c:catAx>
        <c:axId val="6723742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76368"/>
        <c:crosses val="autoZero"/>
        <c:auto val="1"/>
        <c:lblAlgn val="ctr"/>
        <c:lblOffset val="100"/>
        <c:noMultiLvlLbl val="0"/>
      </c:catAx>
      <c:valAx>
        <c:axId val="672376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7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0"/>
          <c:order val="0"/>
          <c:spPr>
            <a:solidFill>
              <a:schemeClr val="accent1"/>
            </a:solidFill>
            <a:ln>
              <a:noFill/>
            </a:ln>
            <a:effectLst/>
          </c:spPr>
          <c:cat>
            <c:strRef>
              <c:f>Pivot!$L$85:$L$96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Pivot!$M$85:$M$96</c:f>
              <c:numCache>
                <c:formatCode>_-[$$-409]* #,##0.00_ ;_-[$$-409]* \-#,##0.00\ ;_-[$$-409]* "-"??_ ;_-@_ </c:formatCode>
                <c:ptCount val="12"/>
                <c:pt idx="0">
                  <c:v>286458.37</c:v>
                </c:pt>
                <c:pt idx="1">
                  <c:v>293044.19000000012</c:v>
                </c:pt>
                <c:pt idx="2">
                  <c:v>292030.62</c:v>
                </c:pt>
                <c:pt idx="3">
                  <c:v>285460.81999999989</c:v>
                </c:pt>
                <c:pt idx="4">
                  <c:v>346870.80999999982</c:v>
                </c:pt>
                <c:pt idx="5">
                  <c:v>197251.71999999991</c:v>
                </c:pt>
                <c:pt idx="6">
                  <c:v>210269.38</c:v>
                </c:pt>
                <c:pt idx="7">
                  <c:v>236954.46000000014</c:v>
                </c:pt>
                <c:pt idx="8">
                  <c:v>208539.17999999993</c:v>
                </c:pt>
                <c:pt idx="9">
                  <c:v>403052.13999999996</c:v>
                </c:pt>
                <c:pt idx="10">
                  <c:v>786076.74000000034</c:v>
                </c:pt>
                <c:pt idx="11">
                  <c:v>279871.82</c:v>
                </c:pt>
              </c:numCache>
            </c:numRef>
          </c:val>
          <c:extLst>
            <c:ext xmlns:c16="http://schemas.microsoft.com/office/drawing/2014/chart" uri="{C3380CC4-5D6E-409C-BE32-E72D297353CC}">
              <c16:uniqueId val="{00000000-4E9D-46CC-8C68-8B9D13B8F0EB}"/>
            </c:ext>
          </c:extLst>
        </c:ser>
        <c:dLbls>
          <c:showLegendKey val="0"/>
          <c:showVal val="0"/>
          <c:showCatName val="0"/>
          <c:showSerName val="0"/>
          <c:showPercent val="0"/>
          <c:showBubbleSize val="0"/>
        </c:dLbls>
        <c:axId val="551022976"/>
        <c:axId val="551021536"/>
      </c:areaChart>
      <c:lineChart>
        <c:grouping val="standard"/>
        <c:varyColors val="0"/>
        <c:ser>
          <c:idx val="1"/>
          <c:order val="1"/>
          <c:spPr>
            <a:ln w="28575" cap="rnd">
              <a:solidFill>
                <a:schemeClr val="accent2"/>
              </a:solidFill>
              <a:round/>
            </a:ln>
            <a:effectLst/>
          </c:spPr>
          <c:marker>
            <c:symbol val="none"/>
          </c:marker>
          <c:cat>
            <c:strRef>
              <c:f>Pivot!$L$85:$L$96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Pivot!$N$85:$N$96</c:f>
              <c:numCache>
                <c:formatCode>_-[$$-409]* #,##0.00_ ;_-[$$-409]* \-#,##0.00\ ;_-[$$-409]* "-"??_ ;_-@_ </c:formatCode>
                <c:ptCount val="12"/>
                <c:pt idx="0">
                  <c:v>286458.37</c:v>
                </c:pt>
                <c:pt idx="1">
                  <c:v>293044.19000000012</c:v>
                </c:pt>
                <c:pt idx="2">
                  <c:v>292030.62</c:v>
                </c:pt>
                <c:pt idx="3">
                  <c:v>285460.81999999989</c:v>
                </c:pt>
                <c:pt idx="4">
                  <c:v>346870.80999999982</c:v>
                </c:pt>
                <c:pt idx="5">
                  <c:v>197251.71999999991</c:v>
                </c:pt>
                <c:pt idx="6">
                  <c:v>210269.38</c:v>
                </c:pt>
                <c:pt idx="7">
                  <c:v>236954.46000000014</c:v>
                </c:pt>
                <c:pt idx="8">
                  <c:v>208539.17999999993</c:v>
                </c:pt>
                <c:pt idx="9">
                  <c:v>403052.13999999996</c:v>
                </c:pt>
                <c:pt idx="10">
                  <c:v>786076.74000000034</c:v>
                </c:pt>
                <c:pt idx="11">
                  <c:v>279871.82</c:v>
                </c:pt>
              </c:numCache>
            </c:numRef>
          </c:val>
          <c:smooth val="0"/>
          <c:extLst>
            <c:ext xmlns:c16="http://schemas.microsoft.com/office/drawing/2014/chart" uri="{C3380CC4-5D6E-409C-BE32-E72D297353CC}">
              <c16:uniqueId val="{00000001-4E9D-46CC-8C68-8B9D13B8F0EB}"/>
            </c:ext>
          </c:extLst>
        </c:ser>
        <c:dLbls>
          <c:showLegendKey val="0"/>
          <c:showVal val="0"/>
          <c:showCatName val="0"/>
          <c:showSerName val="0"/>
          <c:showPercent val="0"/>
          <c:showBubbleSize val="0"/>
        </c:dLbls>
        <c:marker val="1"/>
        <c:smooth val="0"/>
        <c:axId val="631907904"/>
        <c:axId val="631907184"/>
      </c:lineChart>
      <c:catAx>
        <c:axId val="551022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21536"/>
        <c:crosses val="autoZero"/>
        <c:auto val="1"/>
        <c:lblAlgn val="ctr"/>
        <c:lblOffset val="100"/>
        <c:noMultiLvlLbl val="0"/>
      </c:catAx>
      <c:valAx>
        <c:axId val="551021536"/>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22976"/>
        <c:crosses val="autoZero"/>
        <c:crossBetween val="between"/>
      </c:valAx>
      <c:valAx>
        <c:axId val="631907184"/>
        <c:scaling>
          <c:orientation val="minMax"/>
        </c:scaling>
        <c:delete val="0"/>
        <c:axPos val="r"/>
        <c:numFmt formatCode="_-[$$-409]* #,##0.00_ ;_-[$$-409]* \-#,##0.00\ ;_-[$$-409]* &quot;-&quot;??_ ;_-@_ "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1907904"/>
        <c:crosses val="max"/>
        <c:crossBetween val="between"/>
      </c:valAx>
      <c:catAx>
        <c:axId val="631907904"/>
        <c:scaling>
          <c:orientation val="minMax"/>
        </c:scaling>
        <c:delete val="1"/>
        <c:axPos val="b"/>
        <c:numFmt formatCode="General" sourceLinked="1"/>
        <c:majorTickMark val="out"/>
        <c:minorTickMark val="none"/>
        <c:tickLblPos val="nextTo"/>
        <c:crossAx val="63190718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2.0.xlsx]Pivot!PivotTable6</c:name>
    <c:fmtId val="15"/>
  </c:pivotSource>
  <c:chart>
    <c:autoTitleDeleted val="1"/>
    <c:pivotFmts>
      <c:pivotFmt>
        <c:idx val="0"/>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w="19050">
            <a:solidFill>
              <a:schemeClr val="lt1"/>
            </a:solidFill>
          </a:ln>
          <a:effectLst/>
        </c:spPr>
      </c:pivotFmt>
      <c:pivotFmt>
        <c:idx val="3"/>
        <c:spPr>
          <a:solidFill>
            <a:schemeClr val="accent4"/>
          </a:solidFill>
          <a:ln w="19050">
            <a:solidFill>
              <a:schemeClr val="lt1"/>
            </a:solidFill>
          </a:ln>
          <a:effectLst/>
        </c:spPr>
      </c:pivotFmt>
      <c:pivotFmt>
        <c:idx val="4"/>
        <c:spPr>
          <a:solidFill>
            <a:schemeClr val="accent4"/>
          </a:solidFill>
          <a:ln w="19050">
            <a:solidFill>
              <a:schemeClr val="lt1"/>
            </a:solidFill>
          </a:ln>
          <a:effectLst/>
        </c:spPr>
      </c:pivotFmt>
      <c:pivotFmt>
        <c:idx val="5"/>
        <c:spPr>
          <a:solidFill>
            <a:schemeClr val="accent4"/>
          </a:solidFill>
          <a:ln w="19050">
            <a:solidFill>
              <a:schemeClr val="lt1"/>
            </a:solidFill>
          </a:ln>
          <a:effectLst/>
        </c:spPr>
      </c:pivotFmt>
      <c:pivotFmt>
        <c:idx val="6"/>
        <c:spPr>
          <a:solidFill>
            <a:schemeClr val="accent4"/>
          </a:solidFill>
          <a:ln w="19050">
            <a:solidFill>
              <a:schemeClr val="lt1"/>
            </a:solidFill>
          </a:ln>
          <a:effectLst/>
        </c:spPr>
      </c:pivotFmt>
      <c:pivotFmt>
        <c:idx val="7"/>
        <c:spPr>
          <a:solidFill>
            <a:schemeClr val="accent4"/>
          </a:solidFill>
          <a:ln w="19050">
            <a:solidFill>
              <a:schemeClr val="lt1"/>
            </a:solidFill>
          </a:ln>
          <a:effectLst/>
        </c:spPr>
      </c:pivotFmt>
      <c:pivotFmt>
        <c:idx val="8"/>
        <c:spPr>
          <a:solidFill>
            <a:schemeClr val="accent4"/>
          </a:solidFill>
          <a:ln w="19050">
            <a:solidFill>
              <a:schemeClr val="lt1"/>
            </a:solidFill>
          </a:ln>
          <a:effectLst/>
        </c:spPr>
      </c:pivotFmt>
      <c:pivotFmt>
        <c:idx val="9"/>
        <c:spPr>
          <a:solidFill>
            <a:schemeClr val="accent4"/>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4">
              <a:shade val="47000"/>
            </a:schemeClr>
          </a:solidFill>
          <a:ln w="19050">
            <a:solidFill>
              <a:schemeClr val="lt1"/>
            </a:solidFill>
          </a:ln>
          <a:effectLst/>
        </c:spPr>
      </c:pivotFmt>
      <c:pivotFmt>
        <c:idx val="11"/>
        <c:spPr>
          <a:solidFill>
            <a:schemeClr val="accent4">
              <a:shade val="65000"/>
            </a:schemeClr>
          </a:solidFill>
          <a:ln w="19050">
            <a:solidFill>
              <a:schemeClr val="lt1"/>
            </a:solidFill>
          </a:ln>
          <a:effectLst/>
        </c:spPr>
      </c:pivotFmt>
      <c:pivotFmt>
        <c:idx val="12"/>
        <c:spPr>
          <a:solidFill>
            <a:schemeClr val="accent4">
              <a:shade val="82000"/>
            </a:schemeClr>
          </a:solidFill>
          <a:ln w="19050">
            <a:solidFill>
              <a:schemeClr val="lt1"/>
            </a:solidFill>
          </a:ln>
          <a:effectLst/>
        </c:spPr>
      </c:pivotFmt>
      <c:pivotFmt>
        <c:idx val="13"/>
        <c:spPr>
          <a:solidFill>
            <a:schemeClr val="accent4"/>
          </a:solidFill>
          <a:ln w="19050">
            <a:solidFill>
              <a:schemeClr val="lt1"/>
            </a:solidFill>
          </a:ln>
          <a:effectLst/>
        </c:spPr>
      </c:pivotFmt>
      <c:pivotFmt>
        <c:idx val="14"/>
        <c:spPr>
          <a:solidFill>
            <a:schemeClr val="accent4">
              <a:tint val="83000"/>
            </a:schemeClr>
          </a:solidFill>
          <a:ln w="19050">
            <a:solidFill>
              <a:schemeClr val="lt1"/>
            </a:solidFill>
          </a:ln>
          <a:effectLst/>
        </c:spPr>
      </c:pivotFmt>
      <c:pivotFmt>
        <c:idx val="15"/>
        <c:spPr>
          <a:solidFill>
            <a:schemeClr val="accent4">
              <a:tint val="65000"/>
            </a:schemeClr>
          </a:solidFill>
          <a:ln w="19050">
            <a:solidFill>
              <a:schemeClr val="lt1"/>
            </a:solidFill>
          </a:ln>
          <a:effectLst/>
        </c:spPr>
      </c:pivotFmt>
      <c:pivotFmt>
        <c:idx val="16"/>
        <c:spPr>
          <a:solidFill>
            <a:schemeClr val="accent4">
              <a:tint val="48000"/>
            </a:schemeClr>
          </a:solidFill>
          <a:ln w="19050">
            <a:solidFill>
              <a:schemeClr val="lt1"/>
            </a:solidFill>
          </a:ln>
          <a:effectLst/>
        </c:spPr>
      </c:pivotFmt>
    </c:pivotFmts>
    <c:plotArea>
      <c:layout/>
      <c:doughnutChart>
        <c:varyColors val="1"/>
        <c:ser>
          <c:idx val="0"/>
          <c:order val="0"/>
          <c:tx>
            <c:strRef>
              <c:f>Pivot!$B$13</c:f>
              <c:strCache>
                <c:ptCount val="1"/>
                <c:pt idx="0">
                  <c:v>Total</c:v>
                </c:pt>
              </c:strCache>
            </c:strRef>
          </c:tx>
          <c:dPt>
            <c:idx val="0"/>
            <c:bubble3D val="0"/>
            <c:spPr>
              <a:solidFill>
                <a:schemeClr val="accent4">
                  <a:shade val="47000"/>
                </a:schemeClr>
              </a:solidFill>
              <a:ln w="19050">
                <a:solidFill>
                  <a:schemeClr val="lt1"/>
                </a:solidFill>
              </a:ln>
              <a:effectLst/>
            </c:spPr>
            <c:extLst>
              <c:ext xmlns:c16="http://schemas.microsoft.com/office/drawing/2014/chart" uri="{C3380CC4-5D6E-409C-BE32-E72D297353CC}">
                <c16:uniqueId val="{00000001-F3AC-44AF-8034-16ACF3DB9C99}"/>
              </c:ext>
            </c:extLst>
          </c:dPt>
          <c:dPt>
            <c:idx val="1"/>
            <c:bubble3D val="0"/>
            <c:spPr>
              <a:solidFill>
                <a:schemeClr val="accent4">
                  <a:shade val="65000"/>
                </a:schemeClr>
              </a:solidFill>
              <a:ln w="19050">
                <a:solidFill>
                  <a:schemeClr val="lt1"/>
                </a:solidFill>
              </a:ln>
              <a:effectLst/>
            </c:spPr>
            <c:extLst>
              <c:ext xmlns:c16="http://schemas.microsoft.com/office/drawing/2014/chart" uri="{C3380CC4-5D6E-409C-BE32-E72D297353CC}">
                <c16:uniqueId val="{00000003-F3AC-44AF-8034-16ACF3DB9C99}"/>
              </c:ext>
            </c:extLst>
          </c:dPt>
          <c:dPt>
            <c:idx val="2"/>
            <c:bubble3D val="0"/>
            <c:spPr>
              <a:solidFill>
                <a:schemeClr val="accent4">
                  <a:shade val="82000"/>
                </a:schemeClr>
              </a:solidFill>
              <a:ln w="19050">
                <a:solidFill>
                  <a:schemeClr val="lt1"/>
                </a:solidFill>
              </a:ln>
              <a:effectLst/>
            </c:spPr>
            <c:extLst>
              <c:ext xmlns:c16="http://schemas.microsoft.com/office/drawing/2014/chart" uri="{C3380CC4-5D6E-409C-BE32-E72D297353CC}">
                <c16:uniqueId val="{00000005-F3AC-44AF-8034-16ACF3DB9C9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3AC-44AF-8034-16ACF3DB9C99}"/>
              </c:ext>
            </c:extLst>
          </c:dPt>
          <c:dPt>
            <c:idx val="4"/>
            <c:bubble3D val="0"/>
            <c:spPr>
              <a:solidFill>
                <a:schemeClr val="accent4">
                  <a:tint val="83000"/>
                </a:schemeClr>
              </a:solidFill>
              <a:ln w="19050">
                <a:solidFill>
                  <a:schemeClr val="lt1"/>
                </a:solidFill>
              </a:ln>
              <a:effectLst/>
            </c:spPr>
            <c:extLst>
              <c:ext xmlns:c16="http://schemas.microsoft.com/office/drawing/2014/chart" uri="{C3380CC4-5D6E-409C-BE32-E72D297353CC}">
                <c16:uniqueId val="{00000009-F3AC-44AF-8034-16ACF3DB9C99}"/>
              </c:ext>
            </c:extLst>
          </c:dPt>
          <c:dPt>
            <c:idx val="5"/>
            <c:bubble3D val="0"/>
            <c:spPr>
              <a:solidFill>
                <a:schemeClr val="accent4">
                  <a:tint val="65000"/>
                </a:schemeClr>
              </a:solidFill>
              <a:ln w="19050">
                <a:solidFill>
                  <a:schemeClr val="lt1"/>
                </a:solidFill>
              </a:ln>
              <a:effectLst/>
            </c:spPr>
            <c:extLst>
              <c:ext xmlns:c16="http://schemas.microsoft.com/office/drawing/2014/chart" uri="{C3380CC4-5D6E-409C-BE32-E72D297353CC}">
                <c16:uniqueId val="{0000000B-F3AC-44AF-8034-16ACF3DB9C99}"/>
              </c:ext>
            </c:extLst>
          </c:dPt>
          <c:dPt>
            <c:idx val="6"/>
            <c:bubble3D val="0"/>
            <c:spPr>
              <a:solidFill>
                <a:schemeClr val="accent4">
                  <a:tint val="48000"/>
                </a:schemeClr>
              </a:solidFill>
              <a:ln w="19050">
                <a:solidFill>
                  <a:schemeClr val="lt1"/>
                </a:solidFill>
              </a:ln>
              <a:effectLst/>
            </c:spPr>
            <c:extLst>
              <c:ext xmlns:c16="http://schemas.microsoft.com/office/drawing/2014/chart" uri="{C3380CC4-5D6E-409C-BE32-E72D297353CC}">
                <c16:uniqueId val="{0000000D-F3AC-44AF-8034-16ACF3DB9C9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Pivot!$A$14:$A$21</c:f>
              <c:strCache>
                <c:ptCount val="7"/>
                <c:pt idx="0">
                  <c:v>Classic Cars</c:v>
                </c:pt>
                <c:pt idx="1">
                  <c:v>Motorcycles</c:v>
                </c:pt>
                <c:pt idx="2">
                  <c:v>Planes</c:v>
                </c:pt>
                <c:pt idx="3">
                  <c:v>Ships</c:v>
                </c:pt>
                <c:pt idx="4">
                  <c:v>Trains</c:v>
                </c:pt>
                <c:pt idx="5">
                  <c:v>Trucks and Buses</c:v>
                </c:pt>
                <c:pt idx="6">
                  <c:v>Vintage Cars</c:v>
                </c:pt>
              </c:strCache>
            </c:strRef>
          </c:cat>
          <c:val>
            <c:numRef>
              <c:f>Pivot!$B$14:$B$21</c:f>
              <c:numCache>
                <c:formatCode>0%</c:formatCode>
                <c:ptCount val="7"/>
                <c:pt idx="0">
                  <c:v>0.33721899996209104</c:v>
                </c:pt>
                <c:pt idx="1">
                  <c:v>0.12110011751772243</c:v>
                </c:pt>
                <c:pt idx="2">
                  <c:v>0.11251374199173585</c:v>
                </c:pt>
                <c:pt idx="3">
                  <c:v>8.0859774820880248E-2</c:v>
                </c:pt>
                <c:pt idx="4">
                  <c:v>2.670685014594943E-2</c:v>
                </c:pt>
                <c:pt idx="5">
                  <c:v>0.10425906971454565</c:v>
                </c:pt>
                <c:pt idx="6">
                  <c:v>0.21734144584707532</c:v>
                </c:pt>
              </c:numCache>
            </c:numRef>
          </c:val>
          <c:extLst>
            <c:ext xmlns:c16="http://schemas.microsoft.com/office/drawing/2014/chart" uri="{C3380CC4-5D6E-409C-BE32-E72D297353CC}">
              <c16:uniqueId val="{0000000E-F3AC-44AF-8034-16ACF3DB9C9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2.0.xlsx]Pivot!PivotTable8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latin typeface="Arial Black" panose="020B0A04020102020204" pitchFamily="34" charset="0"/>
              </a:rPr>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w="28575" cap="rnd">
            <a:solidFill>
              <a:schemeClr val="accent4"/>
            </a:solidFill>
            <a:round/>
          </a:ln>
          <a:effectLst/>
        </c:spPr>
        <c:marker>
          <c:symbol val="circle"/>
          <c:size val="6"/>
          <c:spPr>
            <a:solidFill>
              <a:schemeClr val="accent4">
                <a:shade val="76000"/>
              </a:schemeClr>
            </a:solidFill>
            <a:ln w="9525">
              <a:solidFill>
                <a:schemeClr val="accent4">
                  <a:shade val="76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4"/>
          </a:solidFill>
          <a:ln w="28575" cap="rnd">
            <a:solidFill>
              <a:schemeClr val="accent4"/>
            </a:solidFill>
            <a:round/>
          </a:ln>
          <a:effectLst/>
        </c:spPr>
        <c:marker>
          <c:symbol val="circle"/>
          <c:size val="6"/>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circle"/>
          <c:size val="5"/>
          <c:spPr>
            <a:solidFill>
              <a:schemeClr val="accent4">
                <a:tint val="65000"/>
              </a:schemeClr>
            </a:solidFill>
            <a:ln w="9525">
              <a:solidFill>
                <a:schemeClr val="accent4">
                  <a:tint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4"/>
          </a:solidFill>
          <a:ln w="28575" cap="rnd">
            <a:solidFill>
              <a:schemeClr val="accent4"/>
            </a:solidFill>
            <a:round/>
          </a:ln>
          <a:effectLst/>
        </c:spPr>
        <c:marker>
          <c:spPr>
            <a:solidFill>
              <a:schemeClr val="accent4"/>
            </a:solidFill>
            <a:ln w="9525">
              <a:solidFill>
                <a:schemeClr val="accent4"/>
              </a:solid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4"/>
            </a:solidFill>
            <a:round/>
          </a:ln>
          <a:effectLst/>
        </c:spPr>
        <c:marker>
          <c:symbol val="circle"/>
          <c:size val="5"/>
          <c:spPr>
            <a:solidFill>
              <a:schemeClr val="accent4">
                <a:shade val="65000"/>
              </a:schemeClr>
            </a:solidFill>
            <a:ln w="9525">
              <a:solidFill>
                <a:schemeClr val="accent4">
                  <a:shade val="6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Pivot!$B$39:$B$40</c:f>
              <c:strCache>
                <c:ptCount val="1"/>
                <c:pt idx="0">
                  <c:v>2003</c:v>
                </c:pt>
              </c:strCache>
            </c:strRef>
          </c:tx>
          <c:spPr>
            <a:ln w="28575" cap="rnd">
              <a:solidFill>
                <a:schemeClr val="accent4">
                  <a:shade val="65000"/>
                </a:schemeClr>
              </a:solidFill>
              <a:round/>
            </a:ln>
            <a:effectLst/>
          </c:spPr>
          <c:marker>
            <c:symbol val="circle"/>
            <c:size val="5"/>
            <c:spPr>
              <a:solidFill>
                <a:schemeClr val="accent4">
                  <a:shade val="65000"/>
                </a:schemeClr>
              </a:solidFill>
              <a:ln w="9525">
                <a:solidFill>
                  <a:schemeClr val="accent4">
                    <a:shade val="65000"/>
                  </a:schemeClr>
                </a:solidFill>
              </a:ln>
              <a:effectLst/>
            </c:spPr>
          </c:marker>
          <c:cat>
            <c:strRef>
              <c:f>Pivot!$A$41:$A$53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Pivot!$B$41:$B$53</c:f>
              <c:numCache>
                <c:formatCode>\$\ #,##0.0,\ "K"</c:formatCode>
                <c:ptCount val="12"/>
                <c:pt idx="0">
                  <c:v>116692.77</c:v>
                </c:pt>
                <c:pt idx="1">
                  <c:v>128403.63999999998</c:v>
                </c:pt>
                <c:pt idx="2">
                  <c:v>160517.13999999998</c:v>
                </c:pt>
                <c:pt idx="3">
                  <c:v>185848.59000000003</c:v>
                </c:pt>
                <c:pt idx="4">
                  <c:v>179435.55</c:v>
                </c:pt>
                <c:pt idx="5">
                  <c:v>150470.76999999996</c:v>
                </c:pt>
                <c:pt idx="6">
                  <c:v>201940.35999999996</c:v>
                </c:pt>
                <c:pt idx="7">
                  <c:v>178257.10999999996</c:v>
                </c:pt>
                <c:pt idx="8">
                  <c:v>236697.85000000003</c:v>
                </c:pt>
                <c:pt idx="9">
                  <c:v>514336.2100000002</c:v>
                </c:pt>
                <c:pt idx="10">
                  <c:v>988025.15000000049</c:v>
                </c:pt>
                <c:pt idx="11">
                  <c:v>276723.25000000006</c:v>
                </c:pt>
              </c:numCache>
            </c:numRef>
          </c:val>
          <c:smooth val="0"/>
          <c:extLst>
            <c:ext xmlns:c16="http://schemas.microsoft.com/office/drawing/2014/chart" uri="{C3380CC4-5D6E-409C-BE32-E72D297353CC}">
              <c16:uniqueId val="{00000000-59BA-4676-A687-2F183E5567B6}"/>
            </c:ext>
          </c:extLst>
        </c:ser>
        <c:ser>
          <c:idx val="1"/>
          <c:order val="1"/>
          <c:tx>
            <c:strRef>
              <c:f>Pivot!$C$39:$C$40</c:f>
              <c:strCache>
                <c:ptCount val="1"/>
                <c:pt idx="0">
                  <c:v>2004</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Pivot!$A$41:$A$53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Pivot!$C$41:$C$53</c:f>
              <c:numCache>
                <c:formatCode>\$\ #,##0.0,\ "K"</c:formatCode>
                <c:ptCount val="12"/>
                <c:pt idx="0">
                  <c:v>292385.21000000014</c:v>
                </c:pt>
                <c:pt idx="1">
                  <c:v>289502.83999999997</c:v>
                </c:pt>
                <c:pt idx="2">
                  <c:v>217691.26</c:v>
                </c:pt>
                <c:pt idx="3">
                  <c:v>187575.77000000005</c:v>
                </c:pt>
                <c:pt idx="4">
                  <c:v>248325.30000000008</c:v>
                </c:pt>
                <c:pt idx="5">
                  <c:v>343370.73999999993</c:v>
                </c:pt>
                <c:pt idx="6">
                  <c:v>325563.49000000011</c:v>
                </c:pt>
                <c:pt idx="7">
                  <c:v>419327.08999999991</c:v>
                </c:pt>
                <c:pt idx="8">
                  <c:v>283799.79999999987</c:v>
                </c:pt>
                <c:pt idx="9">
                  <c:v>500233.85999999987</c:v>
                </c:pt>
                <c:pt idx="10">
                  <c:v>979291.97999999963</c:v>
                </c:pt>
                <c:pt idx="11">
                  <c:v>428838.17000000004</c:v>
                </c:pt>
              </c:numCache>
            </c:numRef>
          </c:val>
          <c:smooth val="0"/>
          <c:extLst>
            <c:ext xmlns:c16="http://schemas.microsoft.com/office/drawing/2014/chart" uri="{C3380CC4-5D6E-409C-BE32-E72D297353CC}">
              <c16:uniqueId val="{00000001-59BA-4676-A687-2F183E5567B6}"/>
            </c:ext>
          </c:extLst>
        </c:ser>
        <c:ser>
          <c:idx val="2"/>
          <c:order val="2"/>
          <c:tx>
            <c:strRef>
              <c:f>Pivot!$D$39:$D$40</c:f>
              <c:strCache>
                <c:ptCount val="1"/>
                <c:pt idx="0">
                  <c:v>2005</c:v>
                </c:pt>
              </c:strCache>
            </c:strRef>
          </c:tx>
          <c:spPr>
            <a:ln w="28575" cap="rnd">
              <a:solidFill>
                <a:schemeClr val="accent4">
                  <a:tint val="65000"/>
                </a:schemeClr>
              </a:solidFill>
              <a:round/>
            </a:ln>
            <a:effectLst/>
          </c:spPr>
          <c:marker>
            <c:symbol val="circle"/>
            <c:size val="5"/>
            <c:spPr>
              <a:solidFill>
                <a:schemeClr val="accent4">
                  <a:tint val="65000"/>
                </a:schemeClr>
              </a:solidFill>
              <a:ln w="9525">
                <a:solidFill>
                  <a:schemeClr val="accent4">
                    <a:tint val="65000"/>
                  </a:schemeClr>
                </a:solidFill>
              </a:ln>
              <a:effectLst/>
            </c:spPr>
          </c:marker>
          <c:cat>
            <c:strRef>
              <c:f>Pivot!$A$41:$A$53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Pivot!$D$41:$D$53</c:f>
              <c:numCache>
                <c:formatCode>\$\ #,##0.0,\ "K"</c:formatCode>
                <c:ptCount val="12"/>
                <c:pt idx="0">
                  <c:v>307737.02000000014</c:v>
                </c:pt>
                <c:pt idx="1">
                  <c:v>317192.17</c:v>
                </c:pt>
                <c:pt idx="2">
                  <c:v>359711.95999999985</c:v>
                </c:pt>
                <c:pt idx="3">
                  <c:v>344820.62</c:v>
                </c:pt>
                <c:pt idx="4">
                  <c:v>441474.93999999983</c:v>
                </c:pt>
              </c:numCache>
            </c:numRef>
          </c:val>
          <c:smooth val="0"/>
          <c:extLst>
            <c:ext xmlns:c16="http://schemas.microsoft.com/office/drawing/2014/chart" uri="{C3380CC4-5D6E-409C-BE32-E72D297353CC}">
              <c16:uniqueId val="{00000001-E8A8-4130-9E96-4FC5760F256C}"/>
            </c:ext>
          </c:extLst>
        </c:ser>
        <c:dLbls>
          <c:showLegendKey val="0"/>
          <c:showVal val="0"/>
          <c:showCatName val="0"/>
          <c:showSerName val="0"/>
          <c:showPercent val="0"/>
          <c:showBubbleSize val="0"/>
        </c:dLbls>
        <c:marker val="1"/>
        <c:smooth val="0"/>
        <c:axId val="601739872"/>
        <c:axId val="601749952"/>
      </c:lineChart>
      <c:catAx>
        <c:axId val="601739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9952"/>
        <c:crosses val="autoZero"/>
        <c:auto val="1"/>
        <c:lblAlgn val="ctr"/>
        <c:lblOffset val="100"/>
        <c:noMultiLvlLbl val="0"/>
      </c:catAx>
      <c:valAx>
        <c:axId val="601749952"/>
        <c:scaling>
          <c:orientation val="minMax"/>
        </c:scaling>
        <c:delete val="0"/>
        <c:axPos val="l"/>
        <c:majorGridlines>
          <c:spPr>
            <a:ln w="9525" cap="flat" cmpd="sng" algn="ctr">
              <a:solidFill>
                <a:schemeClr val="tx1">
                  <a:lumMod val="15000"/>
                  <a:lumOff val="85000"/>
                </a:schemeClr>
              </a:solidFill>
              <a:round/>
            </a:ln>
            <a:effectLst/>
          </c:spPr>
        </c:majorGridlines>
        <c:numFmt formatCode="\$\ #,##0.0,\ &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3987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2.0.xlsx]Pivot!PivotTable9</c:name>
    <c:fmtId val="3"/>
  </c:pivotSource>
  <c:chart>
    <c:autoTitleDeleted val="1"/>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diamond"/>
          <c:size val="6"/>
          <c:spPr>
            <a:solidFill>
              <a:schemeClr val="accent4">
                <a:tint val="77000"/>
              </a:schemeClr>
            </a:solidFill>
            <a:ln w="9525">
              <a:solidFill>
                <a:schemeClr val="accent4">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Pivot!$B$56</c:f>
              <c:strCache>
                <c:ptCount val="1"/>
                <c:pt idx="0">
                  <c:v>Sum of Profit</c:v>
                </c:pt>
              </c:strCache>
            </c:strRef>
          </c:tx>
          <c:spPr>
            <a:solidFill>
              <a:schemeClr val="accent4">
                <a:shade val="76000"/>
              </a:schemeClr>
            </a:solidFill>
            <a:ln>
              <a:noFill/>
            </a:ln>
            <a:effectLst/>
          </c:spPr>
          <c:invertIfNegative val="0"/>
          <c:cat>
            <c:strRef>
              <c:f>Pivot!$A$57:$A$78</c:f>
              <c:strCache>
                <c:ptCount val="21"/>
                <c:pt idx="0">
                  <c:v>USA</c:v>
                </c:pt>
                <c:pt idx="1">
                  <c:v>Spain</c:v>
                </c:pt>
                <c:pt idx="2">
                  <c:v>France</c:v>
                </c:pt>
                <c:pt idx="3">
                  <c:v>Australia</c:v>
                </c:pt>
                <c:pt idx="4">
                  <c:v>New Zealand</c:v>
                </c:pt>
                <c:pt idx="5">
                  <c:v>UK</c:v>
                </c:pt>
                <c:pt idx="6">
                  <c:v>Italy</c:v>
                </c:pt>
                <c:pt idx="7">
                  <c:v>Finland</c:v>
                </c:pt>
                <c:pt idx="8">
                  <c:v>Norway</c:v>
                </c:pt>
                <c:pt idx="9">
                  <c:v>Singapore</c:v>
                </c:pt>
                <c:pt idx="10">
                  <c:v>Denmark</c:v>
                </c:pt>
                <c:pt idx="11">
                  <c:v>Canada</c:v>
                </c:pt>
                <c:pt idx="12">
                  <c:v>Germany</c:v>
                </c:pt>
                <c:pt idx="13">
                  <c:v>Austria</c:v>
                </c:pt>
                <c:pt idx="14">
                  <c:v>Sweden</c:v>
                </c:pt>
                <c:pt idx="15">
                  <c:v>Japan</c:v>
                </c:pt>
                <c:pt idx="16">
                  <c:v>Switzerland</c:v>
                </c:pt>
                <c:pt idx="17">
                  <c:v>Belgium</c:v>
                </c:pt>
                <c:pt idx="18">
                  <c:v>Philippines</c:v>
                </c:pt>
                <c:pt idx="19">
                  <c:v>Ireland</c:v>
                </c:pt>
                <c:pt idx="20">
                  <c:v>Hong Kong</c:v>
                </c:pt>
              </c:strCache>
            </c:strRef>
          </c:cat>
          <c:val>
            <c:numRef>
              <c:f>Pivot!$B$57:$B$78</c:f>
              <c:numCache>
                <c:formatCode>_-[$$-409]* #,##0.00_ ;_-[$$-409]* \-#,##0.00\ ;_-[$$-409]* "-"??_ ;_-@_ </c:formatCode>
                <c:ptCount val="21"/>
                <c:pt idx="0">
                  <c:v>1308815.5899999982</c:v>
                </c:pt>
                <c:pt idx="1">
                  <c:v>440004.53999999928</c:v>
                </c:pt>
                <c:pt idx="2">
                  <c:v>413016.11999999988</c:v>
                </c:pt>
                <c:pt idx="3">
                  <c:v>222207.18000000011</c:v>
                </c:pt>
                <c:pt idx="4">
                  <c:v>189506.58000000002</c:v>
                </c:pt>
                <c:pt idx="5">
                  <c:v>172964.25999999998</c:v>
                </c:pt>
                <c:pt idx="6">
                  <c:v>144459.86000000002</c:v>
                </c:pt>
                <c:pt idx="7">
                  <c:v>117239.33000000003</c:v>
                </c:pt>
                <c:pt idx="8">
                  <c:v>107649.34</c:v>
                </c:pt>
                <c:pt idx="9">
                  <c:v>101782.54999999997</c:v>
                </c:pt>
                <c:pt idx="10">
                  <c:v>85629.3</c:v>
                </c:pt>
                <c:pt idx="11">
                  <c:v>78858.780000000028</c:v>
                </c:pt>
                <c:pt idx="12">
                  <c:v>77505.7</c:v>
                </c:pt>
                <c:pt idx="13">
                  <c:v>73082.790000000008</c:v>
                </c:pt>
                <c:pt idx="14">
                  <c:v>71915.919999999984</c:v>
                </c:pt>
                <c:pt idx="15">
                  <c:v>67848.06</c:v>
                </c:pt>
                <c:pt idx="16">
                  <c:v>43393.749999999993</c:v>
                </c:pt>
                <c:pt idx="17">
                  <c:v>37555.950000000004</c:v>
                </c:pt>
                <c:pt idx="18">
                  <c:v>35987.680000000008</c:v>
                </c:pt>
                <c:pt idx="19">
                  <c:v>19588.29</c:v>
                </c:pt>
                <c:pt idx="20">
                  <c:v>16868.68</c:v>
                </c:pt>
              </c:numCache>
            </c:numRef>
          </c:val>
          <c:extLst>
            <c:ext xmlns:c16="http://schemas.microsoft.com/office/drawing/2014/chart" uri="{C3380CC4-5D6E-409C-BE32-E72D297353CC}">
              <c16:uniqueId val="{00000000-A0CA-43BD-9AB5-0BAF7DA1C129}"/>
            </c:ext>
          </c:extLst>
        </c:ser>
        <c:dLbls>
          <c:showLegendKey val="0"/>
          <c:showVal val="0"/>
          <c:showCatName val="0"/>
          <c:showSerName val="0"/>
          <c:showPercent val="0"/>
          <c:showBubbleSize val="0"/>
        </c:dLbls>
        <c:gapWidth val="219"/>
        <c:overlap val="-27"/>
        <c:axId val="453486864"/>
        <c:axId val="453480744"/>
      </c:barChart>
      <c:lineChart>
        <c:grouping val="standard"/>
        <c:varyColors val="0"/>
        <c:ser>
          <c:idx val="1"/>
          <c:order val="1"/>
          <c:tx>
            <c:strRef>
              <c:f>Pivot!$C$56</c:f>
              <c:strCache>
                <c:ptCount val="1"/>
                <c:pt idx="0">
                  <c:v>Sum of Profit2</c:v>
                </c:pt>
              </c:strCache>
            </c:strRef>
          </c:tx>
          <c:spPr>
            <a:ln w="28575" cap="rnd">
              <a:solidFill>
                <a:schemeClr val="accent4">
                  <a:tint val="77000"/>
                </a:schemeClr>
              </a:solidFill>
              <a:round/>
            </a:ln>
            <a:effectLst/>
          </c:spPr>
          <c:marker>
            <c:symbol val="diamond"/>
            <c:size val="6"/>
            <c:spPr>
              <a:solidFill>
                <a:schemeClr val="accent4">
                  <a:tint val="77000"/>
                </a:schemeClr>
              </a:solidFill>
              <a:ln w="9525">
                <a:solidFill>
                  <a:schemeClr val="accent4">
                    <a:tint val="77000"/>
                  </a:schemeClr>
                </a:solidFill>
              </a:ln>
              <a:effectLst/>
            </c:spPr>
          </c:marker>
          <c:cat>
            <c:strRef>
              <c:f>Pivot!$A$57:$A$78</c:f>
              <c:strCache>
                <c:ptCount val="21"/>
                <c:pt idx="0">
                  <c:v>USA</c:v>
                </c:pt>
                <c:pt idx="1">
                  <c:v>Spain</c:v>
                </c:pt>
                <c:pt idx="2">
                  <c:v>France</c:v>
                </c:pt>
                <c:pt idx="3">
                  <c:v>Australia</c:v>
                </c:pt>
                <c:pt idx="4">
                  <c:v>New Zealand</c:v>
                </c:pt>
                <c:pt idx="5">
                  <c:v>UK</c:v>
                </c:pt>
                <c:pt idx="6">
                  <c:v>Italy</c:v>
                </c:pt>
                <c:pt idx="7">
                  <c:v>Finland</c:v>
                </c:pt>
                <c:pt idx="8">
                  <c:v>Norway</c:v>
                </c:pt>
                <c:pt idx="9">
                  <c:v>Singapore</c:v>
                </c:pt>
                <c:pt idx="10">
                  <c:v>Denmark</c:v>
                </c:pt>
                <c:pt idx="11">
                  <c:v>Canada</c:v>
                </c:pt>
                <c:pt idx="12">
                  <c:v>Germany</c:v>
                </c:pt>
                <c:pt idx="13">
                  <c:v>Austria</c:v>
                </c:pt>
                <c:pt idx="14">
                  <c:v>Sweden</c:v>
                </c:pt>
                <c:pt idx="15">
                  <c:v>Japan</c:v>
                </c:pt>
                <c:pt idx="16">
                  <c:v>Switzerland</c:v>
                </c:pt>
                <c:pt idx="17">
                  <c:v>Belgium</c:v>
                </c:pt>
                <c:pt idx="18">
                  <c:v>Philippines</c:v>
                </c:pt>
                <c:pt idx="19">
                  <c:v>Ireland</c:v>
                </c:pt>
                <c:pt idx="20">
                  <c:v>Hong Kong</c:v>
                </c:pt>
              </c:strCache>
            </c:strRef>
          </c:cat>
          <c:val>
            <c:numRef>
              <c:f>Pivot!$C$57:$C$78</c:f>
              <c:numCache>
                <c:formatCode>0.00%</c:formatCode>
                <c:ptCount val="21"/>
                <c:pt idx="0">
                  <c:v>0.34209528382389887</c:v>
                </c:pt>
                <c:pt idx="1">
                  <c:v>0.45710268375493424</c:v>
                </c:pt>
                <c:pt idx="2">
                  <c:v>0.56505591098937269</c:v>
                </c:pt>
                <c:pt idx="3">
                  <c:v>0.62313592538605966</c:v>
                </c:pt>
                <c:pt idx="4">
                  <c:v>0.67266873028762453</c:v>
                </c:pt>
                <c:pt idx="5">
                  <c:v>0.71787774068464349</c:v>
                </c:pt>
                <c:pt idx="6">
                  <c:v>0.75563633493233329</c:v>
                </c:pt>
                <c:pt idx="7">
                  <c:v>0.78628008809214545</c:v>
                </c:pt>
                <c:pt idx="8">
                  <c:v>0.81441723117183273</c:v>
                </c:pt>
                <c:pt idx="9">
                  <c:v>0.84102092583791643</c:v>
                </c:pt>
                <c:pt idx="10">
                  <c:v>0.86340252024354369</c:v>
                </c:pt>
                <c:pt idx="11">
                  <c:v>0.88401445131483125</c:v>
                </c:pt>
                <c:pt idx="12">
                  <c:v>0.90427271737007442</c:v>
                </c:pt>
                <c:pt idx="13">
                  <c:v>0.92337493312813435</c:v>
                </c:pt>
                <c:pt idx="14">
                  <c:v>0.94217215502236373</c:v>
                </c:pt>
                <c:pt idx="15">
                  <c:v>0.95990612879219095</c:v>
                </c:pt>
                <c:pt idx="16">
                  <c:v>0.97124828985434131</c:v>
                </c:pt>
                <c:pt idx="17">
                  <c:v>0.98106457984407647</c:v>
                </c:pt>
                <c:pt idx="18">
                  <c:v>0.99047095893814252</c:v>
                </c:pt>
                <c:pt idx="19">
                  <c:v>0.99559090225053448</c:v>
                </c:pt>
                <c:pt idx="20">
                  <c:v>1.0000000000000002</c:v>
                </c:pt>
              </c:numCache>
            </c:numRef>
          </c:val>
          <c:smooth val="0"/>
          <c:extLst>
            <c:ext xmlns:c16="http://schemas.microsoft.com/office/drawing/2014/chart" uri="{C3380CC4-5D6E-409C-BE32-E72D297353CC}">
              <c16:uniqueId val="{00000001-A0CA-43BD-9AB5-0BAF7DA1C129}"/>
            </c:ext>
          </c:extLst>
        </c:ser>
        <c:dLbls>
          <c:showLegendKey val="0"/>
          <c:showVal val="0"/>
          <c:showCatName val="0"/>
          <c:showSerName val="0"/>
          <c:showPercent val="0"/>
          <c:showBubbleSize val="0"/>
        </c:dLbls>
        <c:marker val="1"/>
        <c:smooth val="0"/>
        <c:axId val="601747792"/>
        <c:axId val="601741312"/>
      </c:lineChart>
      <c:catAx>
        <c:axId val="45348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480744"/>
        <c:crosses val="autoZero"/>
        <c:auto val="1"/>
        <c:lblAlgn val="ctr"/>
        <c:lblOffset val="100"/>
        <c:noMultiLvlLbl val="0"/>
      </c:catAx>
      <c:valAx>
        <c:axId val="453480744"/>
        <c:scaling>
          <c:orientation val="minMax"/>
        </c:scaling>
        <c:delete val="0"/>
        <c:axPos val="l"/>
        <c:majorGridlines>
          <c:spPr>
            <a:ln w="9525" cap="flat" cmpd="sng" algn="ctr">
              <a:solidFill>
                <a:schemeClr val="tx1">
                  <a:lumMod val="15000"/>
                  <a:lumOff val="85000"/>
                </a:schemeClr>
              </a:solidFill>
              <a:round/>
            </a:ln>
            <a:effectLst/>
          </c:spPr>
        </c:majorGridlines>
        <c:numFmt formatCode="_-[$$-409]* #,##0.00_ ;_-[$$-409]* \-#,##0.00\ ;_-[$$-409]* &quot;-&quot;??_ ;_-@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3486864"/>
        <c:crosses val="autoZero"/>
        <c:crossBetween val="between"/>
      </c:valAx>
      <c:valAx>
        <c:axId val="601741312"/>
        <c:scaling>
          <c:orientation val="minMax"/>
        </c:scaling>
        <c:delete val="0"/>
        <c:axPos val="r"/>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47792"/>
        <c:crosses val="max"/>
        <c:crossBetween val="between"/>
      </c:valAx>
      <c:catAx>
        <c:axId val="601747792"/>
        <c:scaling>
          <c:orientation val="minMax"/>
        </c:scaling>
        <c:delete val="1"/>
        <c:axPos val="b"/>
        <c:numFmt formatCode="General" sourceLinked="1"/>
        <c:majorTickMark val="out"/>
        <c:minorTickMark val="none"/>
        <c:tickLblPos val="nextTo"/>
        <c:crossAx val="601741312"/>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2.0.xlsx]Pivot!PivotTable2</c:name>
    <c:fmtId val="3"/>
  </c:pivotSource>
  <c:chart>
    <c:title>
      <c:tx>
        <c:rich>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r>
              <a:rPr lang="en-US" sz="1200" b="1">
                <a:latin typeface="Arial Black" panose="020B0A04020102020204" pitchFamily="34" charset="0"/>
              </a:rPr>
              <a:t>Top</a:t>
            </a:r>
            <a:r>
              <a:rPr lang="en-US" sz="1200" b="1" baseline="0">
                <a:latin typeface="Arial Black" panose="020B0A04020102020204" pitchFamily="34" charset="0"/>
              </a:rPr>
              <a:t> 5 Buyer By Order</a:t>
            </a:r>
            <a:endParaRPr lang="en-US" sz="1200"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Pivot!$B$102</c:f>
              <c:strCache>
                <c:ptCount val="1"/>
                <c:pt idx="0">
                  <c:v>Total</c:v>
                </c:pt>
              </c:strCache>
            </c:strRef>
          </c:tx>
          <c:spPr>
            <a:solidFill>
              <a:srgbClr val="FFC000"/>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Pivot!$A$103:$A$108</c:f>
              <c:strCache>
                <c:ptCount val="5"/>
                <c:pt idx="0">
                  <c:v>Australian Collectors, Co,</c:v>
                </c:pt>
                <c:pt idx="1">
                  <c:v>AV Stores, Co,</c:v>
                </c:pt>
                <c:pt idx="2">
                  <c:v>Euro+ Shopping Channel</c:v>
                </c:pt>
                <c:pt idx="3">
                  <c:v>La Rochelle Gifts</c:v>
                </c:pt>
                <c:pt idx="4">
                  <c:v>Mini Gifts Distributors Ltd,</c:v>
                </c:pt>
              </c:strCache>
            </c:strRef>
          </c:cat>
          <c:val>
            <c:numRef>
              <c:f>Pivot!$B$103:$B$108</c:f>
              <c:numCache>
                <c:formatCode>General</c:formatCode>
                <c:ptCount val="5"/>
                <c:pt idx="0">
                  <c:v>55</c:v>
                </c:pt>
                <c:pt idx="1">
                  <c:v>51</c:v>
                </c:pt>
                <c:pt idx="2">
                  <c:v>259</c:v>
                </c:pt>
                <c:pt idx="3">
                  <c:v>53</c:v>
                </c:pt>
                <c:pt idx="4">
                  <c:v>180</c:v>
                </c:pt>
              </c:numCache>
            </c:numRef>
          </c:val>
          <c:extLst>
            <c:ext xmlns:c14="http://schemas.microsoft.com/office/drawing/2007/8/2/chart" uri="{6F2FDCE9-48DA-4B69-8628-5D25D57E5C99}">
              <c14:invertSolidFillFmt>
                <c14:spPr xmlns:c14="http://schemas.microsoft.com/office/drawing/2007/8/2/chart">
                  <a:solidFill>
                    <a:srgbClr val="FFFFFF"/>
                  </a:solidFill>
                  <a:ln>
                    <a:noFill/>
                  </a:ln>
                  <a:effectLst/>
                </c14:spPr>
              </c14:invertSolidFillFmt>
            </c:ext>
            <c:ext xmlns:c16="http://schemas.microsoft.com/office/drawing/2014/chart" uri="{C3380CC4-5D6E-409C-BE32-E72D297353CC}">
              <c16:uniqueId val="{00000000-3229-490B-868D-94E6996EE64A}"/>
            </c:ext>
          </c:extLst>
        </c:ser>
        <c:dLbls>
          <c:showLegendKey val="0"/>
          <c:showVal val="0"/>
          <c:showCatName val="0"/>
          <c:showSerName val="0"/>
          <c:showPercent val="0"/>
          <c:showBubbleSize val="0"/>
        </c:dLbls>
        <c:gapWidth val="182"/>
        <c:axId val="672374208"/>
        <c:axId val="672376368"/>
      </c:barChart>
      <c:catAx>
        <c:axId val="6723742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76368"/>
        <c:crosses val="autoZero"/>
        <c:auto val="1"/>
        <c:lblAlgn val="ctr"/>
        <c:lblOffset val="100"/>
        <c:noMultiLvlLbl val="0"/>
      </c:catAx>
      <c:valAx>
        <c:axId val="67237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2374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a:outerShdw blurRad="63500" dist="38100" sx="101000" sy="101000" algn="l" rotWithShape="0">
        <a:prstClr val="black">
          <a:alpha val="31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[Dashboard Project 2.0.xlsx]Pivot!PivotTable7</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sz="1200" b="1">
                <a:latin typeface="Arial Black" panose="020B0A04020102020204" pitchFamily="34" charset="0"/>
              </a:rPr>
              <a:t>Top</a:t>
            </a:r>
            <a:r>
              <a:rPr lang="en-ID" sz="1200" b="1" baseline="0">
                <a:latin typeface="Arial Black" panose="020B0A04020102020204" pitchFamily="34" charset="0"/>
              </a:rPr>
              <a:t> 10 Sales Product</a:t>
            </a:r>
            <a:endParaRPr lang="en-ID"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Pivot!$B$24</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Pivot!$A$25:$A$35</c:f>
              <c:strCache>
                <c:ptCount val="10"/>
                <c:pt idx="0">
                  <c:v>1930 Buick Marquette Phaeton</c:v>
                </c:pt>
                <c:pt idx="1">
                  <c:v>1937 Lincoln Berline</c:v>
                </c:pt>
                <c:pt idx="2">
                  <c:v>1940s Ford truck</c:v>
                </c:pt>
                <c:pt idx="3">
                  <c:v>1941 Chevrolet Special Deluxe Cabriolet</c:v>
                </c:pt>
                <c:pt idx="4">
                  <c:v>1956 Porsche 356A Coupe</c:v>
                </c:pt>
                <c:pt idx="5">
                  <c:v>1957 Chevy Pickup</c:v>
                </c:pt>
                <c:pt idx="6">
                  <c:v>1964 Mercedes Tour Bus</c:v>
                </c:pt>
                <c:pt idx="7">
                  <c:v>1969 Harley Davidson Ultimate Chopper</c:v>
                </c:pt>
                <c:pt idx="8">
                  <c:v>1992 Ferrari 360 Spider red</c:v>
                </c:pt>
                <c:pt idx="9">
                  <c:v>American Airlines: MD-11S</c:v>
                </c:pt>
              </c:strCache>
            </c:strRef>
          </c:cat>
          <c:val>
            <c:numRef>
              <c:f>Pivot!$B$25:$B$35</c:f>
              <c:numCache>
                <c:formatCode>General</c:formatCode>
                <c:ptCount val="10"/>
                <c:pt idx="0">
                  <c:v>1074</c:v>
                </c:pt>
                <c:pt idx="1">
                  <c:v>1111</c:v>
                </c:pt>
                <c:pt idx="2">
                  <c:v>1061</c:v>
                </c:pt>
                <c:pt idx="3">
                  <c:v>1076</c:v>
                </c:pt>
                <c:pt idx="4">
                  <c:v>1052</c:v>
                </c:pt>
                <c:pt idx="5">
                  <c:v>1056</c:v>
                </c:pt>
                <c:pt idx="6">
                  <c:v>1053</c:v>
                </c:pt>
                <c:pt idx="7">
                  <c:v>1057</c:v>
                </c:pt>
                <c:pt idx="8">
                  <c:v>1808</c:v>
                </c:pt>
                <c:pt idx="9">
                  <c:v>1085</c:v>
                </c:pt>
              </c:numCache>
            </c:numRef>
          </c:val>
          <c:extLst>
            <c:ext xmlns:c16="http://schemas.microsoft.com/office/drawing/2014/chart" uri="{C3380CC4-5D6E-409C-BE32-E72D297353CC}">
              <c16:uniqueId val="{00000000-0731-4E76-A055-D1D1F8BAC642}"/>
            </c:ext>
          </c:extLst>
        </c:ser>
        <c:dLbls>
          <c:showLegendKey val="0"/>
          <c:showVal val="0"/>
          <c:showCatName val="0"/>
          <c:showSerName val="0"/>
          <c:showPercent val="0"/>
          <c:showBubbleSize val="0"/>
        </c:dLbls>
        <c:gapWidth val="182"/>
        <c:axId val="601771192"/>
        <c:axId val="601771552"/>
      </c:barChart>
      <c:catAx>
        <c:axId val="60177119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1552"/>
        <c:crosses val="autoZero"/>
        <c:auto val="1"/>
        <c:lblAlgn val="ctr"/>
        <c:lblOffset val="100"/>
        <c:noMultiLvlLbl val="0"/>
      </c:catAx>
      <c:valAx>
        <c:axId val="6017715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017711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b="1">
                <a:latin typeface="Arial Black" panose="020B0A04020102020204" pitchFamily="34" charset="0"/>
              </a:rPr>
              <a:t>Monthly</a:t>
            </a:r>
            <a:r>
              <a:rPr lang="en-ID" b="1" baseline="0">
                <a:latin typeface="Arial Black" panose="020B0A04020102020204" pitchFamily="34" charset="0"/>
              </a:rPr>
              <a:t> Sales</a:t>
            </a:r>
            <a:endParaRPr lang="en-ID" b="1">
              <a:latin typeface="Arial Black" panose="020B0A040201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lotArea>
      <c:layout/>
      <c:areaChart>
        <c:grouping val="stacked"/>
        <c:varyColors val="0"/>
        <c:ser>
          <c:idx val="0"/>
          <c:order val="0"/>
          <c:spPr>
            <a:gradFill flip="none" rotWithShape="1">
              <a:gsLst>
                <a:gs pos="100000">
                  <a:schemeClr val="accent3">
                    <a:lumMod val="105000"/>
                    <a:satMod val="103000"/>
                    <a:tint val="73000"/>
                  </a:schemeClr>
                </a:gs>
                <a:gs pos="37000">
                  <a:schemeClr val="accent4">
                    <a:lumMod val="40000"/>
                    <a:lumOff val="60000"/>
                  </a:schemeClr>
                </a:gs>
              </a:gsLst>
              <a:path path="circle">
                <a:fillToRect l="100000" t="100000"/>
              </a:path>
              <a:tileRect r="-100000" b="-100000"/>
            </a:gradFill>
            <a:ln>
              <a:noFill/>
            </a:ln>
            <a:effectLst/>
          </c:spPr>
          <c:cat>
            <c:strRef>
              <c:f>Pivot!$L$85:$L$96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Pivot!$M$85:$M$96</c:f>
              <c:numCache>
                <c:formatCode>_-[$$-409]* #,##0.00_ ;_-[$$-409]* \-#,##0.00\ ;_-[$$-409]* "-"??_ ;_-@_ </c:formatCode>
                <c:ptCount val="12"/>
                <c:pt idx="0">
                  <c:v>286458.37</c:v>
                </c:pt>
                <c:pt idx="1">
                  <c:v>293044.19000000012</c:v>
                </c:pt>
                <c:pt idx="2">
                  <c:v>292030.62</c:v>
                </c:pt>
                <c:pt idx="3">
                  <c:v>285460.81999999989</c:v>
                </c:pt>
                <c:pt idx="4">
                  <c:v>346870.80999999982</c:v>
                </c:pt>
                <c:pt idx="5">
                  <c:v>197251.71999999991</c:v>
                </c:pt>
                <c:pt idx="6">
                  <c:v>210269.38</c:v>
                </c:pt>
                <c:pt idx="7">
                  <c:v>236954.46000000014</c:v>
                </c:pt>
                <c:pt idx="8">
                  <c:v>208539.17999999993</c:v>
                </c:pt>
                <c:pt idx="9">
                  <c:v>403052.13999999996</c:v>
                </c:pt>
                <c:pt idx="10">
                  <c:v>786076.74000000034</c:v>
                </c:pt>
                <c:pt idx="11">
                  <c:v>279871.82</c:v>
                </c:pt>
              </c:numCache>
            </c:numRef>
          </c:val>
          <c:extLst>
            <c:ext xmlns:c16="http://schemas.microsoft.com/office/drawing/2014/chart" uri="{C3380CC4-5D6E-409C-BE32-E72D297353CC}">
              <c16:uniqueId val="{00000000-5B68-4F23-AE4A-F2398B6C53AF}"/>
            </c:ext>
          </c:extLst>
        </c:ser>
        <c:dLbls>
          <c:showLegendKey val="0"/>
          <c:showVal val="0"/>
          <c:showCatName val="0"/>
          <c:showSerName val="0"/>
          <c:showPercent val="0"/>
          <c:showBubbleSize val="0"/>
        </c:dLbls>
        <c:axId val="551022976"/>
        <c:axId val="551021536"/>
      </c:areaChart>
      <c:lineChart>
        <c:grouping val="standard"/>
        <c:varyColors val="0"/>
        <c:ser>
          <c:idx val="1"/>
          <c:order val="1"/>
          <c:spPr>
            <a:ln w="28575" cap="rnd">
              <a:solidFill>
                <a:schemeClr val="accent2"/>
              </a:solidFill>
              <a:round/>
            </a:ln>
            <a:effectLst/>
          </c:spPr>
          <c:marker>
            <c:symbol val="square"/>
            <c:size val="7"/>
            <c:spPr>
              <a:solidFill>
                <a:schemeClr val="accent4"/>
              </a:solidFill>
              <a:ln w="9525">
                <a:solidFill>
                  <a:schemeClr val="accent4">
                    <a:tint val="77000"/>
                  </a:schemeClr>
                </a:solidFill>
              </a:ln>
              <a:effectLst/>
            </c:spPr>
          </c:marker>
          <c:dLbls>
            <c:dLbl>
              <c:idx val="0"/>
              <c:tx>
                <c:rich>
                  <a:bodyPr/>
                  <a:lstStyle/>
                  <a:p>
                    <a:fld id="{07A31733-C0D9-44B9-BD32-02912F2D030E}" type="CELLRANGE">
                      <a:rPr lang="en-US"/>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5D88-46D2-A1CB-1E46F9445588}"/>
                </c:ext>
              </c:extLst>
            </c:dLbl>
            <c:dLbl>
              <c:idx val="1"/>
              <c:tx>
                <c:rich>
                  <a:bodyPr/>
                  <a:lstStyle/>
                  <a:p>
                    <a:fld id="{7B8270FA-917C-47B2-A7C2-E807A20E0F13}"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5D88-46D2-A1CB-1E46F9445588}"/>
                </c:ext>
              </c:extLst>
            </c:dLbl>
            <c:dLbl>
              <c:idx val="2"/>
              <c:tx>
                <c:rich>
                  <a:bodyPr/>
                  <a:lstStyle/>
                  <a:p>
                    <a:fld id="{62D745E4-F77F-4294-AA9B-D8FC3942B7E6}"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5D88-46D2-A1CB-1E46F9445588}"/>
                </c:ext>
              </c:extLst>
            </c:dLbl>
            <c:dLbl>
              <c:idx val="3"/>
              <c:tx>
                <c:rich>
                  <a:bodyPr/>
                  <a:lstStyle/>
                  <a:p>
                    <a:fld id="{23B7C52A-BC6D-4B3F-B4B0-EA2AD087E3A5}"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5D88-46D2-A1CB-1E46F9445588}"/>
                </c:ext>
              </c:extLst>
            </c:dLbl>
            <c:dLbl>
              <c:idx val="4"/>
              <c:tx>
                <c:rich>
                  <a:bodyPr/>
                  <a:lstStyle/>
                  <a:p>
                    <a:fld id="{3586CF55-A037-44DC-8D88-43138F104ABD}"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5D88-46D2-A1CB-1E46F9445588}"/>
                </c:ext>
              </c:extLst>
            </c:dLbl>
            <c:dLbl>
              <c:idx val="5"/>
              <c:tx>
                <c:rich>
                  <a:bodyPr/>
                  <a:lstStyle/>
                  <a:p>
                    <a:fld id="{BAE21763-3D4E-46D9-800C-23F3A5FA232C}"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5D88-46D2-A1CB-1E46F9445588}"/>
                </c:ext>
              </c:extLst>
            </c:dLbl>
            <c:dLbl>
              <c:idx val="6"/>
              <c:tx>
                <c:rich>
                  <a:bodyPr/>
                  <a:lstStyle/>
                  <a:p>
                    <a:fld id="{C3A83A71-5D9C-4BAD-A860-F6D791CF7674}"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5D88-46D2-A1CB-1E46F9445588}"/>
                </c:ext>
              </c:extLst>
            </c:dLbl>
            <c:dLbl>
              <c:idx val="7"/>
              <c:tx>
                <c:rich>
                  <a:bodyPr/>
                  <a:lstStyle/>
                  <a:p>
                    <a:fld id="{AE3117A4-83E7-452E-AA8D-E155145FE694}"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5D88-46D2-A1CB-1E46F9445588}"/>
                </c:ext>
              </c:extLst>
            </c:dLbl>
            <c:dLbl>
              <c:idx val="8"/>
              <c:tx>
                <c:rich>
                  <a:bodyPr/>
                  <a:lstStyle/>
                  <a:p>
                    <a:fld id="{9688A2E5-9F92-4C75-A634-297C8522689D}"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5D88-46D2-A1CB-1E46F9445588}"/>
                </c:ext>
              </c:extLst>
            </c:dLbl>
            <c:dLbl>
              <c:idx val="9"/>
              <c:tx>
                <c:rich>
                  <a:bodyPr/>
                  <a:lstStyle/>
                  <a:p>
                    <a:fld id="{0353DBDB-0FB4-4EED-9EFD-5306C07C0505}"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5D88-46D2-A1CB-1E46F9445588}"/>
                </c:ext>
              </c:extLst>
            </c:dLbl>
            <c:dLbl>
              <c:idx val="10"/>
              <c:tx>
                <c:rich>
                  <a:bodyPr/>
                  <a:lstStyle/>
                  <a:p>
                    <a:fld id="{ECA4BBC3-D76E-41A8-8587-D2CC8EAA0EEE}"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5D88-46D2-A1CB-1E46F9445588}"/>
                </c:ext>
              </c:extLst>
            </c:dLbl>
            <c:dLbl>
              <c:idx val="11"/>
              <c:tx>
                <c:rich>
                  <a:bodyPr/>
                  <a:lstStyle/>
                  <a:p>
                    <a:fld id="{BF31D271-C42B-4FC9-9E84-0AE877550688}" type="CELLRANGE">
                      <a:rPr lang="en-ID"/>
                      <a:pPr/>
                      <a:t>[CELLRANGE]</a:t>
                    </a:fld>
                    <a:endParaRPr lang="en-ID"/>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5D88-46D2-A1CB-1E46F9445588}"/>
                </c:ext>
              </c:extLst>
            </c:dLbl>
            <c:numFmt formatCode="[$$-409]#,##0.00" sourceLinked="0"/>
            <c:spPr>
              <a:solidFill>
                <a:schemeClr val="accent4">
                  <a:lumMod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700" b="0" i="0" u="none" strike="noStrike" kern="1200" baseline="0">
                    <a:solidFill>
                      <a:schemeClr val="bg1"/>
                    </a:solidFill>
                    <a:latin typeface="Cambria" panose="02040503050406030204" pitchFamily="18" charset="0"/>
                    <a:ea typeface="Cambria" panose="02040503050406030204" pitchFamily="18" charset="0"/>
                    <a:cs typeface="+mn-cs"/>
                  </a:defRPr>
                </a:pPr>
                <a:endParaRPr lang="en-US"/>
              </a:p>
            </c:txPr>
            <c:dLblPos val="t"/>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downArrowCallout">
                    <a:avLst/>
                  </a:prstGeom>
                  <a:noFill/>
                  <a:ln>
                    <a:noFill/>
                  </a:ln>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Pivot!$L$85:$L$96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Pivot!$N$85:$N$96</c:f>
              <c:numCache>
                <c:formatCode>_-[$$-409]* #,##0.00_ ;_-[$$-409]* \-#,##0.00\ ;_-[$$-409]* "-"??_ ;_-@_ </c:formatCode>
                <c:ptCount val="12"/>
                <c:pt idx="0">
                  <c:v>286458.37</c:v>
                </c:pt>
                <c:pt idx="1">
                  <c:v>293044.19000000012</c:v>
                </c:pt>
                <c:pt idx="2">
                  <c:v>292030.62</c:v>
                </c:pt>
                <c:pt idx="3">
                  <c:v>285460.81999999989</c:v>
                </c:pt>
                <c:pt idx="4">
                  <c:v>346870.80999999982</c:v>
                </c:pt>
                <c:pt idx="5">
                  <c:v>197251.71999999991</c:v>
                </c:pt>
                <c:pt idx="6">
                  <c:v>210269.38</c:v>
                </c:pt>
                <c:pt idx="7">
                  <c:v>236954.46000000014</c:v>
                </c:pt>
                <c:pt idx="8">
                  <c:v>208539.17999999993</c:v>
                </c:pt>
                <c:pt idx="9">
                  <c:v>403052.13999999996</c:v>
                </c:pt>
                <c:pt idx="10">
                  <c:v>786076.74000000034</c:v>
                </c:pt>
                <c:pt idx="11">
                  <c:v>279871.82</c:v>
                </c:pt>
              </c:numCache>
            </c:numRef>
          </c:val>
          <c:smooth val="0"/>
          <c:extLst>
            <c:ext xmlns:c15="http://schemas.microsoft.com/office/drawing/2012/chart" uri="{02D57815-91ED-43cb-92C2-25804820EDAC}">
              <c15:datalabelsRange>
                <c15:f>Pivot!$E$41:$E$52</c15:f>
                <c15:dlblRangeCache>
                  <c:ptCount val="12"/>
                  <c:pt idx="0">
                    <c:v>$ 716,8 K</c:v>
                  </c:pt>
                  <c:pt idx="1">
                    <c:v>$ 735,1 K</c:v>
                  </c:pt>
                  <c:pt idx="2">
                    <c:v>$ 737,9 K</c:v>
                  </c:pt>
                  <c:pt idx="3">
                    <c:v>$ 718,2 K</c:v>
                  </c:pt>
                  <c:pt idx="4">
                    <c:v>$ 869,2 K</c:v>
                  </c:pt>
                  <c:pt idx="5">
                    <c:v>$ 493,8 K</c:v>
                  </c:pt>
                  <c:pt idx="6">
                    <c:v>$ 527,5 K</c:v>
                  </c:pt>
                  <c:pt idx="7">
                    <c:v>$ 597,6 K</c:v>
                  </c:pt>
                  <c:pt idx="8">
                    <c:v>$ 520,5 K</c:v>
                  </c:pt>
                  <c:pt idx="9">
                    <c:v>$ 1.014,6 K</c:v>
                  </c:pt>
                  <c:pt idx="10">
                    <c:v>$ 1.967,3 K</c:v>
                  </c:pt>
                  <c:pt idx="11">
                    <c:v>$ 705,6 K</c:v>
                  </c:pt>
                </c15:dlblRangeCache>
              </c15:datalabelsRange>
            </c:ext>
            <c:ext xmlns:c16="http://schemas.microsoft.com/office/drawing/2014/chart" uri="{C3380CC4-5D6E-409C-BE32-E72D297353CC}">
              <c16:uniqueId val="{00000001-5B68-4F23-AE4A-F2398B6C53AF}"/>
            </c:ext>
          </c:extLst>
        </c:ser>
        <c:dLbls>
          <c:showLegendKey val="0"/>
          <c:showVal val="0"/>
          <c:showCatName val="0"/>
          <c:showSerName val="0"/>
          <c:showPercent val="0"/>
          <c:showBubbleSize val="0"/>
        </c:dLbls>
        <c:marker val="1"/>
        <c:smooth val="0"/>
        <c:axId val="631907904"/>
        <c:axId val="631907184"/>
      </c:lineChart>
      <c:catAx>
        <c:axId val="551022976"/>
        <c:scaling>
          <c:orientation val="minMax"/>
        </c:scaling>
        <c:delete val="0"/>
        <c:axPos val="b"/>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0" spcFirstLastPara="1" vertOverflow="ellipsis" wrap="square" anchor="b"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1021536"/>
        <c:crosses val="autoZero"/>
        <c:auto val="1"/>
        <c:lblAlgn val="ctr"/>
        <c:lblOffset val="100"/>
        <c:noMultiLvlLbl val="0"/>
      </c:catAx>
      <c:valAx>
        <c:axId val="551021536"/>
        <c:scaling>
          <c:orientation val="minMax"/>
        </c:scaling>
        <c:delete val="1"/>
        <c:axPos val="l"/>
        <c:majorGridlines>
          <c:spPr>
            <a:ln w="9525" cap="flat" cmpd="sng" algn="ctr">
              <a:solidFill>
                <a:schemeClr val="tx1">
                  <a:lumMod val="15000"/>
                  <a:lumOff val="85000"/>
                </a:schemeClr>
              </a:solidFill>
              <a:round/>
            </a:ln>
            <a:effectLst/>
          </c:spPr>
        </c:majorGridlines>
        <c:numFmt formatCode="\$\ #,##0.0,\ &quot;K&quot;" sourceLinked="0"/>
        <c:majorTickMark val="none"/>
        <c:minorTickMark val="none"/>
        <c:tickLblPos val="nextTo"/>
        <c:crossAx val="551022976"/>
        <c:crosses val="autoZero"/>
        <c:crossBetween val="midCat"/>
      </c:valAx>
      <c:valAx>
        <c:axId val="631907184"/>
        <c:scaling>
          <c:orientation val="minMax"/>
        </c:scaling>
        <c:delete val="1"/>
        <c:axPos val="r"/>
        <c:numFmt formatCode="_-[$$-409]* #,##0.00_ ;_-[$$-409]* \-#,##0.00\ ;_-[$$-409]* &quot;-&quot;??_ ;_-@_ " sourceLinked="1"/>
        <c:majorTickMark val="out"/>
        <c:minorTickMark val="none"/>
        <c:tickLblPos val="nextTo"/>
        <c:crossAx val="631907904"/>
        <c:crosses val="max"/>
        <c:crossBetween val="between"/>
      </c:valAx>
      <c:catAx>
        <c:axId val="631907904"/>
        <c:scaling>
          <c:orientation val="minMax"/>
        </c:scaling>
        <c:delete val="1"/>
        <c:axPos val="b"/>
        <c:numFmt formatCode="General" sourceLinked="1"/>
        <c:majorTickMark val="out"/>
        <c:minorTickMark val="none"/>
        <c:tickLblPos val="nextTo"/>
        <c:crossAx val="631907184"/>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a:outerShdw blurRad="50800" dist="38100" dir="2700000" sx="101000" sy="101000" algn="tl" rotWithShape="0">
        <a:prstClr val="black">
          <a:alpha val="29000"/>
        </a:prstClr>
      </a:outerShdw>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7">
  <a:schemeClr val="accent4"/>
</cs:colorStyle>
</file>

<file path=xl/charts/colors12.xml><?xml version="1.0" encoding="utf-8"?>
<cs:colorStyle xmlns:cs="http://schemas.microsoft.com/office/drawing/2012/chartStyle" xmlns:a="http://schemas.openxmlformats.org/drawingml/2006/main" meth="withinLinear" id="17">
  <a:schemeClr val="accent4"/>
</cs:colorStyle>
</file>

<file path=xl/charts/colors13.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2.png"/><Relationship Id="rId3" Type="http://schemas.openxmlformats.org/officeDocument/2006/relationships/chart" Target="../charts/chart10.xml"/><Relationship Id="rId7" Type="http://schemas.openxmlformats.org/officeDocument/2006/relationships/image" Target="../media/image1.pn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image" Target="../media/image4.png"/><Relationship Id="rId4" Type="http://schemas.openxmlformats.org/officeDocument/2006/relationships/chart" Target="../charts/chart11.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250657</xdr:colOff>
      <xdr:row>11</xdr:row>
      <xdr:rowOff>147386</xdr:rowOff>
    </xdr:from>
    <xdr:to>
      <xdr:col>4</xdr:col>
      <xdr:colOff>651710</xdr:colOff>
      <xdr:row>19</xdr:row>
      <xdr:rowOff>130342</xdr:rowOff>
    </xdr:to>
    <xdr:graphicFrame macro="">
      <xdr:nvGraphicFramePr>
        <xdr:cNvPr id="5" name="Chart 4">
          <a:extLst>
            <a:ext uri="{FF2B5EF4-FFF2-40B4-BE49-F238E27FC236}">
              <a16:creationId xmlns:a16="http://schemas.microsoft.com/office/drawing/2014/main" id="{B7948731-1359-A9D1-6B9E-F7CA52A974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561474</xdr:colOff>
      <xdr:row>21</xdr:row>
      <xdr:rowOff>10027</xdr:rowOff>
    </xdr:from>
    <xdr:to>
      <xdr:col>7</xdr:col>
      <xdr:colOff>230605</xdr:colOff>
      <xdr:row>34</xdr:row>
      <xdr:rowOff>83219</xdr:rowOff>
    </xdr:to>
    <xdr:graphicFrame macro="">
      <xdr:nvGraphicFramePr>
        <xdr:cNvPr id="6" name="Chart 5">
          <a:extLst>
            <a:ext uri="{FF2B5EF4-FFF2-40B4-BE49-F238E27FC236}">
              <a16:creationId xmlns:a16="http://schemas.microsoft.com/office/drawing/2014/main" id="{AFFDD518-3BC5-A315-E239-455EFE38A1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451409</xdr:colOff>
      <xdr:row>38</xdr:row>
      <xdr:rowOff>121555</xdr:rowOff>
    </xdr:from>
    <xdr:to>
      <xdr:col>17</xdr:col>
      <xdr:colOff>210551</xdr:colOff>
      <xdr:row>50</xdr:row>
      <xdr:rowOff>174695</xdr:rowOff>
    </xdr:to>
    <xdr:graphicFrame macro="">
      <xdr:nvGraphicFramePr>
        <xdr:cNvPr id="7" name="Chart 6">
          <a:extLst>
            <a:ext uri="{FF2B5EF4-FFF2-40B4-BE49-F238E27FC236}">
              <a16:creationId xmlns:a16="http://schemas.microsoft.com/office/drawing/2014/main" id="{5B75B666-B2F9-7C86-9AF4-7F7139BF7E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270712</xdr:colOff>
      <xdr:row>58</xdr:row>
      <xdr:rowOff>27071</xdr:rowOff>
    </xdr:from>
    <xdr:to>
      <xdr:col>13</xdr:col>
      <xdr:colOff>260685</xdr:colOff>
      <xdr:row>73</xdr:row>
      <xdr:rowOff>63166</xdr:rowOff>
    </xdr:to>
    <xdr:graphicFrame macro="">
      <xdr:nvGraphicFramePr>
        <xdr:cNvPr id="8" name="Chart 7">
          <a:extLst>
            <a:ext uri="{FF2B5EF4-FFF2-40B4-BE49-F238E27FC236}">
              <a16:creationId xmlns:a16="http://schemas.microsoft.com/office/drawing/2014/main" id="{3E04CDC5-B1D2-29B2-8D84-38876940A9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220579</xdr:colOff>
      <xdr:row>79</xdr:row>
      <xdr:rowOff>167440</xdr:rowOff>
    </xdr:from>
    <xdr:to>
      <xdr:col>40</xdr:col>
      <xdr:colOff>190500</xdr:colOff>
      <xdr:row>95</xdr:row>
      <xdr:rowOff>23061</xdr:rowOff>
    </xdr:to>
    <xdr:graphicFrame macro="">
      <xdr:nvGraphicFramePr>
        <xdr:cNvPr id="9" name="Chart 8">
          <a:extLst>
            <a:ext uri="{FF2B5EF4-FFF2-40B4-BE49-F238E27FC236}">
              <a16:creationId xmlns:a16="http://schemas.microsoft.com/office/drawing/2014/main" id="{EFB61C68-5587-3BC8-B6F5-C4DF90997FD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250658</xdr:colOff>
      <xdr:row>97</xdr:row>
      <xdr:rowOff>147387</xdr:rowOff>
    </xdr:from>
    <xdr:to>
      <xdr:col>22</xdr:col>
      <xdr:colOff>220579</xdr:colOff>
      <xdr:row>113</xdr:row>
      <xdr:rowOff>3008</xdr:rowOff>
    </xdr:to>
    <xdr:graphicFrame macro="">
      <xdr:nvGraphicFramePr>
        <xdr:cNvPr id="3" name="Chart 2">
          <a:extLst>
            <a:ext uri="{FF2B5EF4-FFF2-40B4-BE49-F238E27FC236}">
              <a16:creationId xmlns:a16="http://schemas.microsoft.com/office/drawing/2014/main" id="{E63C39FD-DC8B-B179-9184-004B17A60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45</xdr:col>
      <xdr:colOff>120316</xdr:colOff>
      <xdr:row>79</xdr:row>
      <xdr:rowOff>137361</xdr:rowOff>
    </xdr:from>
    <xdr:to>
      <xdr:col>62</xdr:col>
      <xdr:colOff>90237</xdr:colOff>
      <xdr:row>94</xdr:row>
      <xdr:rowOff>173456</xdr:rowOff>
    </xdr:to>
    <xdr:graphicFrame macro="">
      <xdr:nvGraphicFramePr>
        <xdr:cNvPr id="4" name="Chart 3">
          <a:extLst>
            <a:ext uri="{FF2B5EF4-FFF2-40B4-BE49-F238E27FC236}">
              <a16:creationId xmlns:a16="http://schemas.microsoft.com/office/drawing/2014/main" id="{8985AAA3-0D7C-FA1D-A064-4F44C76C5A1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166414</xdr:colOff>
      <xdr:row>39</xdr:row>
      <xdr:rowOff>50800</xdr:rowOff>
    </xdr:to>
    <xdr:sp macro="" textlink="">
      <xdr:nvSpPr>
        <xdr:cNvPr id="58" name="Rectangle 57">
          <a:extLst>
            <a:ext uri="{FF2B5EF4-FFF2-40B4-BE49-F238E27FC236}">
              <a16:creationId xmlns:a16="http://schemas.microsoft.com/office/drawing/2014/main" id="{BA4A368A-BFE6-A40F-69F5-6BE5DB89543B}"/>
            </a:ext>
          </a:extLst>
        </xdr:cNvPr>
        <xdr:cNvSpPr/>
      </xdr:nvSpPr>
      <xdr:spPr>
        <a:xfrm>
          <a:off x="0" y="0"/>
          <a:ext cx="16016014" cy="7315200"/>
        </a:xfrm>
        <a:prstGeom prst="rect">
          <a:avLst/>
        </a:prstGeom>
        <a:solidFill>
          <a:schemeClr val="accent4">
            <a:lumMod val="20000"/>
            <a:lumOff val="80000"/>
          </a:schemeClr>
        </a:solidFill>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1</xdr:colOff>
      <xdr:row>5</xdr:row>
      <xdr:rowOff>26276</xdr:rowOff>
    </xdr:from>
    <xdr:to>
      <xdr:col>4</xdr:col>
      <xdr:colOff>140139</xdr:colOff>
      <xdr:row>9</xdr:row>
      <xdr:rowOff>166414</xdr:rowOff>
    </xdr:to>
    <xdr:sp macro="" textlink="">
      <xdr:nvSpPr>
        <xdr:cNvPr id="59" name="Rectangle 58">
          <a:extLst>
            <a:ext uri="{FF2B5EF4-FFF2-40B4-BE49-F238E27FC236}">
              <a16:creationId xmlns:a16="http://schemas.microsoft.com/office/drawing/2014/main" id="{C3A1106C-6534-ABC2-FF86-6892455350F9}"/>
            </a:ext>
          </a:extLst>
        </xdr:cNvPr>
        <xdr:cNvSpPr/>
      </xdr:nvSpPr>
      <xdr:spPr>
        <a:xfrm>
          <a:off x="1" y="945931"/>
          <a:ext cx="2592552" cy="87586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234719</xdr:colOff>
      <xdr:row>5</xdr:row>
      <xdr:rowOff>15762</xdr:rowOff>
    </xdr:from>
    <xdr:to>
      <xdr:col>13</xdr:col>
      <xdr:colOff>429172</xdr:colOff>
      <xdr:row>9</xdr:row>
      <xdr:rowOff>155900</xdr:rowOff>
    </xdr:to>
    <xdr:sp macro="" textlink="">
      <xdr:nvSpPr>
        <xdr:cNvPr id="61" name="Rectangle 60">
          <a:extLst>
            <a:ext uri="{FF2B5EF4-FFF2-40B4-BE49-F238E27FC236}">
              <a16:creationId xmlns:a16="http://schemas.microsoft.com/office/drawing/2014/main" id="{5B520293-E7B4-49AF-8FD7-24AF29820682}"/>
            </a:ext>
          </a:extLst>
        </xdr:cNvPr>
        <xdr:cNvSpPr/>
      </xdr:nvSpPr>
      <xdr:spPr>
        <a:xfrm>
          <a:off x="5752650" y="935417"/>
          <a:ext cx="2646867" cy="87586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9</xdr:col>
      <xdr:colOff>261715</xdr:colOff>
      <xdr:row>5</xdr:row>
      <xdr:rowOff>80545</xdr:rowOff>
    </xdr:from>
    <xdr:to>
      <xdr:col>10</xdr:col>
      <xdr:colOff>345440</xdr:colOff>
      <xdr:row>9</xdr:row>
      <xdr:rowOff>26117</xdr:rowOff>
    </xdr:to>
    <xdr:sp macro="" textlink="">
      <xdr:nvSpPr>
        <xdr:cNvPr id="86" name="Flowchart: Connector 85">
          <a:extLst>
            <a:ext uri="{FF2B5EF4-FFF2-40B4-BE49-F238E27FC236}">
              <a16:creationId xmlns:a16="http://schemas.microsoft.com/office/drawing/2014/main" id="{DA9B36ED-1600-4AC5-9E1A-E0488E7B1FBC}"/>
            </a:ext>
          </a:extLst>
        </xdr:cNvPr>
        <xdr:cNvSpPr/>
      </xdr:nvSpPr>
      <xdr:spPr>
        <a:xfrm>
          <a:off x="5748115" y="994945"/>
          <a:ext cx="693325" cy="677092"/>
        </a:xfrm>
        <a:prstGeom prst="flowChartConnector">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353841</xdr:colOff>
      <xdr:row>5</xdr:row>
      <xdr:rowOff>29773</xdr:rowOff>
    </xdr:from>
    <xdr:to>
      <xdr:col>9</xdr:col>
      <xdr:colOff>12255</xdr:colOff>
      <xdr:row>9</xdr:row>
      <xdr:rowOff>169911</xdr:rowOff>
    </xdr:to>
    <xdr:sp macro="" textlink="">
      <xdr:nvSpPr>
        <xdr:cNvPr id="60" name="Rectangle 59">
          <a:extLst>
            <a:ext uri="{FF2B5EF4-FFF2-40B4-BE49-F238E27FC236}">
              <a16:creationId xmlns:a16="http://schemas.microsoft.com/office/drawing/2014/main" id="{7008858E-3833-4ED8-8087-8D43A8383D64}"/>
            </a:ext>
          </a:extLst>
        </xdr:cNvPr>
        <xdr:cNvSpPr/>
      </xdr:nvSpPr>
      <xdr:spPr>
        <a:xfrm>
          <a:off x="2806255" y="949428"/>
          <a:ext cx="2723931" cy="87586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4</xdr:col>
      <xdr:colOff>375556</xdr:colOff>
      <xdr:row>5</xdr:row>
      <xdr:rowOff>141514</xdr:rowOff>
    </xdr:from>
    <xdr:to>
      <xdr:col>5</xdr:col>
      <xdr:colOff>500743</xdr:colOff>
      <xdr:row>9</xdr:row>
      <xdr:rowOff>87086</xdr:rowOff>
    </xdr:to>
    <xdr:sp macro="" textlink="">
      <xdr:nvSpPr>
        <xdr:cNvPr id="85" name="Flowchart: Connector 84">
          <a:extLst>
            <a:ext uri="{FF2B5EF4-FFF2-40B4-BE49-F238E27FC236}">
              <a16:creationId xmlns:a16="http://schemas.microsoft.com/office/drawing/2014/main" id="{0F33884A-4B49-57E3-8576-7CB8796F38C1}"/>
            </a:ext>
          </a:extLst>
        </xdr:cNvPr>
        <xdr:cNvSpPr/>
      </xdr:nvSpPr>
      <xdr:spPr>
        <a:xfrm>
          <a:off x="2813956" y="1066800"/>
          <a:ext cx="734787" cy="685800"/>
        </a:xfrm>
        <a:prstGeom prst="flowChartConnector">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D" sz="1100"/>
        </a:p>
      </xdr:txBody>
    </xdr:sp>
    <xdr:clientData/>
  </xdr:twoCellAnchor>
  <xdr:twoCellAnchor>
    <xdr:from>
      <xdr:col>8</xdr:col>
      <xdr:colOff>437879</xdr:colOff>
      <xdr:row>10</xdr:row>
      <xdr:rowOff>107746</xdr:rowOff>
    </xdr:from>
    <xdr:to>
      <xdr:col>12</xdr:col>
      <xdr:colOff>389659</xdr:colOff>
      <xdr:row>21</xdr:row>
      <xdr:rowOff>129886</xdr:rowOff>
    </xdr:to>
    <xdr:sp macro="" textlink="">
      <xdr:nvSpPr>
        <xdr:cNvPr id="72" name="Rectangle 71">
          <a:extLst>
            <a:ext uri="{FF2B5EF4-FFF2-40B4-BE49-F238E27FC236}">
              <a16:creationId xmlns:a16="http://schemas.microsoft.com/office/drawing/2014/main" id="{40C0E8B9-6320-4D9A-8A20-CB1F408D8C52}"/>
            </a:ext>
          </a:extLst>
        </xdr:cNvPr>
        <xdr:cNvSpPr/>
      </xdr:nvSpPr>
      <xdr:spPr>
        <a:xfrm>
          <a:off x="5300980" y="1905724"/>
          <a:ext cx="2383331" cy="1999915"/>
        </a:xfrm>
        <a:prstGeom prst="rect">
          <a:avLst/>
        </a:prstGeom>
        <a:solidFill>
          <a:sysClr val="window" lastClr="FFFFFF"/>
        </a:solidFill>
        <a:ln>
          <a:noFill/>
        </a:ln>
        <a:effectLst>
          <a:outerShdw blurRad="50800" dist="38100" algn="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0</xdr:colOff>
      <xdr:row>0</xdr:row>
      <xdr:rowOff>110067</xdr:rowOff>
    </xdr:from>
    <xdr:to>
      <xdr:col>26</xdr:col>
      <xdr:colOff>17319</xdr:colOff>
      <xdr:row>4</xdr:row>
      <xdr:rowOff>140138</xdr:rowOff>
    </xdr:to>
    <xdr:sp macro="" textlink="">
      <xdr:nvSpPr>
        <xdr:cNvPr id="70" name="Rectangle 69">
          <a:extLst>
            <a:ext uri="{FF2B5EF4-FFF2-40B4-BE49-F238E27FC236}">
              <a16:creationId xmlns:a16="http://schemas.microsoft.com/office/drawing/2014/main" id="{2311497B-C16F-4EC7-BE9D-7A35FECC7E81}"/>
            </a:ext>
          </a:extLst>
        </xdr:cNvPr>
        <xdr:cNvSpPr/>
      </xdr:nvSpPr>
      <xdr:spPr>
        <a:xfrm>
          <a:off x="0" y="110067"/>
          <a:ext cx="15776864" cy="757435"/>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14</xdr:col>
      <xdr:colOff>80568</xdr:colOff>
      <xdr:row>5</xdr:row>
      <xdr:rowOff>28023</xdr:rowOff>
    </xdr:from>
    <xdr:to>
      <xdr:col>18</xdr:col>
      <xdr:colOff>275021</xdr:colOff>
      <xdr:row>9</xdr:row>
      <xdr:rowOff>168161</xdr:rowOff>
    </xdr:to>
    <xdr:sp macro="" textlink="">
      <xdr:nvSpPr>
        <xdr:cNvPr id="67" name="Rectangle 66">
          <a:extLst>
            <a:ext uri="{FF2B5EF4-FFF2-40B4-BE49-F238E27FC236}">
              <a16:creationId xmlns:a16="http://schemas.microsoft.com/office/drawing/2014/main" id="{9A31DD8D-D761-47F2-BEC1-50841B2E9FBC}"/>
            </a:ext>
          </a:extLst>
        </xdr:cNvPr>
        <xdr:cNvSpPr/>
      </xdr:nvSpPr>
      <xdr:spPr>
        <a:xfrm>
          <a:off x="8664016" y="947678"/>
          <a:ext cx="2646867" cy="875862"/>
        </a:xfrm>
        <a:prstGeom prst="rect">
          <a:avLst/>
        </a:prstGeom>
        <a:solidFill>
          <a:sysClr val="window" lastClr="FFFFFF"/>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13014</xdr:colOff>
      <xdr:row>7</xdr:row>
      <xdr:rowOff>71197</xdr:rowOff>
    </xdr:from>
    <xdr:to>
      <xdr:col>4</xdr:col>
      <xdr:colOff>20118</xdr:colOff>
      <xdr:row>9</xdr:row>
      <xdr:rowOff>54397</xdr:rowOff>
    </xdr:to>
    <xdr:sp macro="" textlink="">
      <xdr:nvSpPr>
        <xdr:cNvPr id="42" name="Rectangle: Rounded Corners 41">
          <a:extLst>
            <a:ext uri="{FF2B5EF4-FFF2-40B4-BE49-F238E27FC236}">
              <a16:creationId xmlns:a16="http://schemas.microsoft.com/office/drawing/2014/main" id="{80C2A5AA-63B9-15A5-8E92-4DE15E7A63B1}"/>
            </a:ext>
          </a:extLst>
        </xdr:cNvPr>
        <xdr:cNvSpPr/>
      </xdr:nvSpPr>
      <xdr:spPr>
        <a:xfrm>
          <a:off x="626117" y="1358714"/>
          <a:ext cx="1846415" cy="351062"/>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4049</xdr:colOff>
      <xdr:row>5</xdr:row>
      <xdr:rowOff>120453</xdr:rowOff>
    </xdr:from>
    <xdr:to>
      <xdr:col>4</xdr:col>
      <xdr:colOff>24981</xdr:colOff>
      <xdr:row>7</xdr:row>
      <xdr:rowOff>103653</xdr:rowOff>
    </xdr:to>
    <xdr:sp macro="" textlink="">
      <xdr:nvSpPr>
        <xdr:cNvPr id="43" name="Rectangle: Rounded Corners 42">
          <a:extLst>
            <a:ext uri="{FF2B5EF4-FFF2-40B4-BE49-F238E27FC236}">
              <a16:creationId xmlns:a16="http://schemas.microsoft.com/office/drawing/2014/main" id="{F04676C3-3DB0-0DDE-235C-1C1F3D37B71A}"/>
            </a:ext>
          </a:extLst>
        </xdr:cNvPr>
        <xdr:cNvSpPr/>
      </xdr:nvSpPr>
      <xdr:spPr>
        <a:xfrm>
          <a:off x="617152" y="1040108"/>
          <a:ext cx="1860243" cy="351062"/>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380783</xdr:colOff>
      <xdr:row>5</xdr:row>
      <xdr:rowOff>112124</xdr:rowOff>
    </xdr:from>
    <xdr:to>
      <xdr:col>4</xdr:col>
      <xdr:colOff>111893</xdr:colOff>
      <xdr:row>7</xdr:row>
      <xdr:rowOff>122963</xdr:rowOff>
    </xdr:to>
    <xdr:sp macro="" textlink="">
      <xdr:nvSpPr>
        <xdr:cNvPr id="44" name="TextBox 43">
          <a:extLst>
            <a:ext uri="{FF2B5EF4-FFF2-40B4-BE49-F238E27FC236}">
              <a16:creationId xmlns:a16="http://schemas.microsoft.com/office/drawing/2014/main" id="{23D2FC1A-438B-A7A4-47B9-10F8B80317FB}"/>
            </a:ext>
          </a:extLst>
        </xdr:cNvPr>
        <xdr:cNvSpPr txBox="1"/>
      </xdr:nvSpPr>
      <xdr:spPr>
        <a:xfrm>
          <a:off x="993886" y="1031779"/>
          <a:ext cx="1570421" cy="3787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a:solidFill>
                <a:sysClr val="windowText" lastClr="000000"/>
              </a:solidFill>
              <a:latin typeface="Arial Black" panose="020B0A04020102020204" pitchFamily="34" charset="0"/>
            </a:rPr>
            <a:t>Total Profit</a:t>
          </a:r>
        </a:p>
      </xdr:txBody>
    </xdr:sp>
    <xdr:clientData/>
  </xdr:twoCellAnchor>
  <xdr:twoCellAnchor>
    <xdr:from>
      <xdr:col>0</xdr:col>
      <xdr:colOff>185120</xdr:colOff>
      <xdr:row>24</xdr:row>
      <xdr:rowOff>88598</xdr:rowOff>
    </xdr:from>
    <xdr:to>
      <xdr:col>8</xdr:col>
      <xdr:colOff>143566</xdr:colOff>
      <xdr:row>34</xdr:row>
      <xdr:rowOff>60785</xdr:rowOff>
    </xdr:to>
    <xdr:sp macro="" textlink="">
      <xdr:nvSpPr>
        <xdr:cNvPr id="15" name="Rectangle 14">
          <a:extLst>
            <a:ext uri="{FF2B5EF4-FFF2-40B4-BE49-F238E27FC236}">
              <a16:creationId xmlns:a16="http://schemas.microsoft.com/office/drawing/2014/main" id="{2BC9C5ED-21EB-493B-96EE-72D4AFF8B2D2}"/>
            </a:ext>
          </a:extLst>
        </xdr:cNvPr>
        <xdr:cNvSpPr/>
      </xdr:nvSpPr>
      <xdr:spPr>
        <a:xfrm>
          <a:off x="185120" y="4594337"/>
          <a:ext cx="4817576" cy="1849578"/>
        </a:xfrm>
        <a:prstGeom prst="rect">
          <a:avLst/>
        </a:prstGeom>
        <a:gradFill flip="none" rotWithShape="1">
          <a:gsLst>
            <a:gs pos="71000">
              <a:schemeClr val="accent4">
                <a:lumMod val="60000"/>
                <a:lumOff val="40000"/>
              </a:schemeClr>
            </a:gs>
            <a:gs pos="0">
              <a:schemeClr val="accent4"/>
            </a:gs>
          </a:gsLst>
          <a:lin ang="2700000" scaled="1"/>
          <a:tileRect/>
        </a:gra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62168</xdr:colOff>
      <xdr:row>7</xdr:row>
      <xdr:rowOff>45363</xdr:rowOff>
    </xdr:from>
    <xdr:to>
      <xdr:col>4</xdr:col>
      <xdr:colOff>92590</xdr:colOff>
      <xdr:row>9</xdr:row>
      <xdr:rowOff>54089</xdr:rowOff>
    </xdr:to>
    <xdr:sp macro="" textlink="Pivot!B4">
      <xdr:nvSpPr>
        <xdr:cNvPr id="23" name="TextBox 22">
          <a:extLst>
            <a:ext uri="{FF2B5EF4-FFF2-40B4-BE49-F238E27FC236}">
              <a16:creationId xmlns:a16="http://schemas.microsoft.com/office/drawing/2014/main" id="{9C54E4EE-444B-4CCD-A5E2-2016B07AAF61}"/>
            </a:ext>
          </a:extLst>
        </xdr:cNvPr>
        <xdr:cNvSpPr txBox="1"/>
      </xdr:nvSpPr>
      <xdr:spPr>
        <a:xfrm>
          <a:off x="675271" y="1332880"/>
          <a:ext cx="1869733" cy="3765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4C2685D-90AD-4F8A-959C-23ED8FB3639A}" type="TxLink">
            <a:rPr lang="en-US" sz="1600" b="0" i="0" u="none" strike="noStrike">
              <a:solidFill>
                <a:srgbClr val="000000"/>
              </a:solidFill>
              <a:latin typeface="Arial Black" panose="020B0A04020102020204" pitchFamily="34" charset="0"/>
              <a:ea typeface="Calibri"/>
              <a:cs typeface="Calibri"/>
            </a:rPr>
            <a:pPr/>
            <a:t> $3.825.880,25 </a:t>
          </a:fld>
          <a:endParaRPr lang="en-ID" sz="3600">
            <a:latin typeface="Arial Black" panose="020B0A04020102020204" pitchFamily="34" charset="0"/>
          </a:endParaRPr>
        </a:p>
      </xdr:txBody>
    </xdr:sp>
    <xdr:clientData/>
  </xdr:twoCellAnchor>
  <xdr:twoCellAnchor>
    <xdr:from>
      <xdr:col>5</xdr:col>
      <xdr:colOff>523400</xdr:colOff>
      <xdr:row>5</xdr:row>
      <xdr:rowOff>125852</xdr:rowOff>
    </xdr:from>
    <xdr:to>
      <xdr:col>9</xdr:col>
      <xdr:colOff>18141</xdr:colOff>
      <xdr:row>9</xdr:row>
      <xdr:rowOff>68125</xdr:rowOff>
    </xdr:to>
    <xdr:grpSp>
      <xdr:nvGrpSpPr>
        <xdr:cNvPr id="37" name="Group 36">
          <a:extLst>
            <a:ext uri="{FF2B5EF4-FFF2-40B4-BE49-F238E27FC236}">
              <a16:creationId xmlns:a16="http://schemas.microsoft.com/office/drawing/2014/main" id="{556D262D-F642-41FB-BA9D-7B04CA8C621D}"/>
            </a:ext>
          </a:extLst>
        </xdr:cNvPr>
        <xdr:cNvGrpSpPr/>
      </xdr:nvGrpSpPr>
      <xdr:grpSpPr>
        <a:xfrm>
          <a:off x="3571400" y="1030727"/>
          <a:ext cx="1933141" cy="666173"/>
          <a:chOff x="5621319" y="1024868"/>
          <a:chExt cx="1946583" cy="671143"/>
        </a:xfrm>
      </xdr:grpSpPr>
      <xdr:sp macro="" textlink="">
        <xdr:nvSpPr>
          <xdr:cNvPr id="38" name="Rectangle: Rounded Corners 37">
            <a:extLst>
              <a:ext uri="{FF2B5EF4-FFF2-40B4-BE49-F238E27FC236}">
                <a16:creationId xmlns:a16="http://schemas.microsoft.com/office/drawing/2014/main" id="{02C2FA16-756A-3016-625B-DC9A9EC4D628}"/>
              </a:ext>
            </a:extLst>
          </xdr:cNvPr>
          <xdr:cNvSpPr/>
        </xdr:nvSpPr>
        <xdr:spPr>
          <a:xfrm>
            <a:off x="5630281" y="1348498"/>
            <a:ext cx="1845873" cy="347513"/>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39" name="Rectangle: Rounded Corners 38">
            <a:extLst>
              <a:ext uri="{FF2B5EF4-FFF2-40B4-BE49-F238E27FC236}">
                <a16:creationId xmlns:a16="http://schemas.microsoft.com/office/drawing/2014/main" id="{99896D91-C623-EB6C-708F-988CFA617265}"/>
              </a:ext>
            </a:extLst>
          </xdr:cNvPr>
          <xdr:cNvSpPr/>
        </xdr:nvSpPr>
        <xdr:spPr>
          <a:xfrm>
            <a:off x="5621319" y="1033113"/>
            <a:ext cx="1859697" cy="347513"/>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40" name="TextBox 39">
            <a:extLst>
              <a:ext uri="{FF2B5EF4-FFF2-40B4-BE49-F238E27FC236}">
                <a16:creationId xmlns:a16="http://schemas.microsoft.com/office/drawing/2014/main" id="{4236A96C-BAB4-9E1A-7776-6A8CD16D2949}"/>
              </a:ext>
            </a:extLst>
          </xdr:cNvPr>
          <xdr:cNvSpPr txBox="1"/>
        </xdr:nvSpPr>
        <xdr:spPr>
          <a:xfrm>
            <a:off x="5997942" y="1024868"/>
            <a:ext cx="1569960" cy="3748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a:solidFill>
                  <a:sysClr val="windowText" lastClr="000000"/>
                </a:solidFill>
                <a:latin typeface="Arial Black" panose="020B0A04020102020204" pitchFamily="34" charset="0"/>
              </a:rPr>
              <a:t>Total Sales</a:t>
            </a:r>
          </a:p>
        </xdr:txBody>
      </xdr:sp>
    </xdr:grpSp>
    <xdr:clientData/>
  </xdr:twoCellAnchor>
  <xdr:twoCellAnchor>
    <xdr:from>
      <xdr:col>6</xdr:col>
      <xdr:colOff>4001</xdr:colOff>
      <xdr:row>7</xdr:row>
      <xdr:rowOff>62358</xdr:rowOff>
    </xdr:from>
    <xdr:to>
      <xdr:col>9</xdr:col>
      <xdr:colOff>29511</xdr:colOff>
      <xdr:row>9</xdr:row>
      <xdr:rowOff>72797</xdr:rowOff>
    </xdr:to>
    <xdr:sp macro="" textlink="Pivot!B5">
      <xdr:nvSpPr>
        <xdr:cNvPr id="25" name="TextBox 24">
          <a:extLst>
            <a:ext uri="{FF2B5EF4-FFF2-40B4-BE49-F238E27FC236}">
              <a16:creationId xmlns:a16="http://schemas.microsoft.com/office/drawing/2014/main" id="{DF5BCFCD-DC0C-4587-BB8A-062AF628FCBD}"/>
            </a:ext>
          </a:extLst>
        </xdr:cNvPr>
        <xdr:cNvSpPr txBox="1"/>
      </xdr:nvSpPr>
      <xdr:spPr>
        <a:xfrm>
          <a:off x="3682622" y="1349875"/>
          <a:ext cx="1864820" cy="37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CE9D316-7E9F-4ED0-9862-D247D35BA3FE}" type="TxLink">
            <a:rPr lang="en-US" sz="1600" b="0" i="0" u="none" strike="noStrike">
              <a:solidFill>
                <a:sysClr val="windowText" lastClr="000000"/>
              </a:solidFill>
              <a:latin typeface="Arial Black" panose="020B0A04020102020204" pitchFamily="34" charset="0"/>
              <a:ea typeface="Calibri"/>
              <a:cs typeface="Calibri"/>
            </a:rPr>
            <a:pPr/>
            <a:t> $9.604.190,61 </a:t>
          </a:fld>
          <a:endParaRPr lang="en-ID" sz="2800">
            <a:solidFill>
              <a:sysClr val="windowText" lastClr="000000"/>
            </a:solidFill>
            <a:latin typeface="Arial Black" panose="020B0A04020102020204" pitchFamily="34" charset="0"/>
          </a:endParaRPr>
        </a:p>
      </xdr:txBody>
    </xdr:sp>
    <xdr:clientData/>
  </xdr:twoCellAnchor>
  <xdr:twoCellAnchor>
    <xdr:from>
      <xdr:col>10</xdr:col>
      <xdr:colOff>350344</xdr:colOff>
      <xdr:row>5</xdr:row>
      <xdr:rowOff>105022</xdr:rowOff>
    </xdr:from>
    <xdr:to>
      <xdr:col>14</xdr:col>
      <xdr:colOff>225617</xdr:colOff>
      <xdr:row>9</xdr:row>
      <xdr:rowOff>53954</xdr:rowOff>
    </xdr:to>
    <xdr:grpSp>
      <xdr:nvGrpSpPr>
        <xdr:cNvPr id="64" name="Group 63">
          <a:extLst>
            <a:ext uri="{FF2B5EF4-FFF2-40B4-BE49-F238E27FC236}">
              <a16:creationId xmlns:a16="http://schemas.microsoft.com/office/drawing/2014/main" id="{4B124E7E-493C-6923-485D-076F1A44722A}"/>
            </a:ext>
          </a:extLst>
        </xdr:cNvPr>
        <xdr:cNvGrpSpPr/>
      </xdr:nvGrpSpPr>
      <xdr:grpSpPr>
        <a:xfrm>
          <a:off x="6446344" y="1009897"/>
          <a:ext cx="2313673" cy="672832"/>
          <a:chOff x="5623033" y="1033436"/>
          <a:chExt cx="2327687" cy="684656"/>
        </a:xfrm>
      </xdr:grpSpPr>
      <xdr:sp macro="" textlink="">
        <xdr:nvSpPr>
          <xdr:cNvPr id="21" name="Rectangle: Rounded Corners 20">
            <a:extLst>
              <a:ext uri="{FF2B5EF4-FFF2-40B4-BE49-F238E27FC236}">
                <a16:creationId xmlns:a16="http://schemas.microsoft.com/office/drawing/2014/main" id="{ECE5B827-A15B-4396-8AB4-4EAA62C93DEC}"/>
              </a:ext>
            </a:extLst>
          </xdr:cNvPr>
          <xdr:cNvSpPr/>
        </xdr:nvSpPr>
        <xdr:spPr>
          <a:xfrm>
            <a:off x="5631995" y="1360493"/>
            <a:ext cx="1846443" cy="350940"/>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11" name="Rectangle: Rounded Corners 10">
            <a:extLst>
              <a:ext uri="{FF2B5EF4-FFF2-40B4-BE49-F238E27FC236}">
                <a16:creationId xmlns:a16="http://schemas.microsoft.com/office/drawing/2014/main" id="{AD976FDA-1BAC-4AEC-8B03-79C5CC5F28B1}"/>
              </a:ext>
            </a:extLst>
          </xdr:cNvPr>
          <xdr:cNvSpPr/>
        </xdr:nvSpPr>
        <xdr:spPr>
          <a:xfrm>
            <a:off x="5623033" y="1041681"/>
            <a:ext cx="1860267" cy="350940"/>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26" name="TextBox 25">
            <a:extLst>
              <a:ext uri="{FF2B5EF4-FFF2-40B4-BE49-F238E27FC236}">
                <a16:creationId xmlns:a16="http://schemas.microsoft.com/office/drawing/2014/main" id="{7F1EE4F2-2969-427A-8C21-BA2B3197BC92}"/>
              </a:ext>
            </a:extLst>
          </xdr:cNvPr>
          <xdr:cNvSpPr txBox="1"/>
        </xdr:nvSpPr>
        <xdr:spPr>
          <a:xfrm>
            <a:off x="5799540" y="1033436"/>
            <a:ext cx="1770646" cy="37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600">
                <a:solidFill>
                  <a:sysClr val="windowText" lastClr="000000"/>
                </a:solidFill>
                <a:latin typeface="Arial Black" panose="020B0A04020102020204" pitchFamily="34" charset="0"/>
              </a:rPr>
              <a:t>Quantity</a:t>
            </a:r>
            <a:r>
              <a:rPr lang="en-ID" sz="1600" baseline="0">
                <a:solidFill>
                  <a:sysClr val="windowText" lastClr="000000"/>
                </a:solidFill>
                <a:latin typeface="Arial Black" panose="020B0A04020102020204" pitchFamily="34" charset="0"/>
              </a:rPr>
              <a:t> Sold</a:t>
            </a:r>
            <a:endParaRPr lang="en-ID" sz="1600">
              <a:solidFill>
                <a:sysClr val="windowText" lastClr="000000"/>
              </a:solidFill>
              <a:latin typeface="Arial Black" panose="020B0A04020102020204" pitchFamily="34" charset="0"/>
            </a:endParaRPr>
          </a:p>
        </xdr:txBody>
      </xdr:sp>
      <xdr:sp macro="" textlink="Pivot!B6">
        <xdr:nvSpPr>
          <xdr:cNvPr id="27" name="TextBox 26">
            <a:extLst>
              <a:ext uri="{FF2B5EF4-FFF2-40B4-BE49-F238E27FC236}">
                <a16:creationId xmlns:a16="http://schemas.microsoft.com/office/drawing/2014/main" id="{B21CD8A6-6D4B-4B39-94E8-58DF4CC9804E}"/>
              </a:ext>
            </a:extLst>
          </xdr:cNvPr>
          <xdr:cNvSpPr txBox="1"/>
        </xdr:nvSpPr>
        <xdr:spPr>
          <a:xfrm>
            <a:off x="6367517" y="1339556"/>
            <a:ext cx="1583203" cy="3785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A9A4C83-6348-41CB-A764-BFBDEC6A4DEE}" type="TxLink">
              <a:rPr lang="en-US" sz="1800" b="0" i="0" u="none" strike="noStrike">
                <a:solidFill>
                  <a:sysClr val="windowText" lastClr="000000"/>
                </a:solidFill>
                <a:latin typeface="Arial Black" panose="020B0A04020102020204" pitchFamily="34" charset="0"/>
                <a:ea typeface="Calibri"/>
                <a:cs typeface="Calibri"/>
              </a:rPr>
              <a:pPr/>
              <a:t>105516</a:t>
            </a:fld>
            <a:endParaRPr lang="en-ID" sz="1800">
              <a:solidFill>
                <a:sysClr val="windowText" lastClr="000000"/>
              </a:solidFill>
              <a:latin typeface="Arial Black" panose="020B0A04020102020204" pitchFamily="34" charset="0"/>
            </a:endParaRPr>
          </a:p>
        </xdr:txBody>
      </xdr:sp>
    </xdr:grpSp>
    <xdr:clientData/>
  </xdr:twoCellAnchor>
  <xdr:twoCellAnchor>
    <xdr:from>
      <xdr:col>15</xdr:col>
      <xdr:colOff>193571</xdr:colOff>
      <xdr:row>5</xdr:row>
      <xdr:rowOff>132952</xdr:rowOff>
    </xdr:from>
    <xdr:to>
      <xdr:col>18</xdr:col>
      <xdr:colOff>301415</xdr:colOff>
      <xdr:row>9</xdr:row>
      <xdr:rowOff>77663</xdr:rowOff>
    </xdr:to>
    <xdr:grpSp>
      <xdr:nvGrpSpPr>
        <xdr:cNvPr id="66" name="Group 65">
          <a:extLst>
            <a:ext uri="{FF2B5EF4-FFF2-40B4-BE49-F238E27FC236}">
              <a16:creationId xmlns:a16="http://schemas.microsoft.com/office/drawing/2014/main" id="{B9472F31-2FEF-BD5B-721A-CD4909281CB4}"/>
            </a:ext>
          </a:extLst>
        </xdr:cNvPr>
        <xdr:cNvGrpSpPr/>
      </xdr:nvGrpSpPr>
      <xdr:grpSpPr>
        <a:xfrm>
          <a:off x="9337571" y="1037827"/>
          <a:ext cx="1936644" cy="668611"/>
          <a:chOff x="8242744" y="1035091"/>
          <a:chExt cx="1947154" cy="680435"/>
        </a:xfrm>
      </xdr:grpSpPr>
      <xdr:sp macro="" textlink="">
        <xdr:nvSpPr>
          <xdr:cNvPr id="46" name="Rectangle: Rounded Corners 45">
            <a:extLst>
              <a:ext uri="{FF2B5EF4-FFF2-40B4-BE49-F238E27FC236}">
                <a16:creationId xmlns:a16="http://schemas.microsoft.com/office/drawing/2014/main" id="{EBF841BD-C227-EDF2-CED4-45E0ED3BCB62}"/>
              </a:ext>
            </a:extLst>
          </xdr:cNvPr>
          <xdr:cNvSpPr/>
        </xdr:nvSpPr>
        <xdr:spPr>
          <a:xfrm>
            <a:off x="8251706" y="1362148"/>
            <a:ext cx="1846444" cy="350940"/>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47" name="Rectangle: Rounded Corners 46">
            <a:extLst>
              <a:ext uri="{FF2B5EF4-FFF2-40B4-BE49-F238E27FC236}">
                <a16:creationId xmlns:a16="http://schemas.microsoft.com/office/drawing/2014/main" id="{DFC50457-78D8-8DC3-E97A-A78AAAB97E60}"/>
              </a:ext>
            </a:extLst>
          </xdr:cNvPr>
          <xdr:cNvSpPr/>
        </xdr:nvSpPr>
        <xdr:spPr>
          <a:xfrm>
            <a:off x="8242744" y="1043336"/>
            <a:ext cx="1860268" cy="350940"/>
          </a:xfrm>
          <a:prstGeom prst="roundRect">
            <a:avLst/>
          </a:prstGeom>
          <a:solidFill>
            <a:schemeClr val="bg1"/>
          </a:solidFill>
          <a:ln>
            <a:noFill/>
          </a:ln>
          <a:effectLst>
            <a:outerShdw blurRad="50800" dist="38100" sx="101000" sy="101000" algn="l" rotWithShape="0">
              <a:prstClr val="black">
                <a:alpha val="33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sp macro="" textlink="">
        <xdr:nvSpPr>
          <xdr:cNvPr id="48" name="TextBox 47">
            <a:extLst>
              <a:ext uri="{FF2B5EF4-FFF2-40B4-BE49-F238E27FC236}">
                <a16:creationId xmlns:a16="http://schemas.microsoft.com/office/drawing/2014/main" id="{FE1F89CA-0B8A-312E-958E-26EA1B0FBAE1}"/>
              </a:ext>
            </a:extLst>
          </xdr:cNvPr>
          <xdr:cNvSpPr txBox="1"/>
        </xdr:nvSpPr>
        <xdr:spPr>
          <a:xfrm>
            <a:off x="8708914" y="1035091"/>
            <a:ext cx="1480984" cy="378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ysClr val="windowText" lastClr="000000"/>
                </a:solidFill>
                <a:latin typeface="Arial Black" panose="020B0A04020102020204" pitchFamily="34" charset="0"/>
              </a:rPr>
              <a:t>Profit Margin</a:t>
            </a:r>
          </a:p>
        </xdr:txBody>
      </xdr:sp>
      <xdr:sp macro="" textlink="Pivot!E7">
        <xdr:nvSpPr>
          <xdr:cNvPr id="29" name="TextBox 28">
            <a:extLst>
              <a:ext uri="{FF2B5EF4-FFF2-40B4-BE49-F238E27FC236}">
                <a16:creationId xmlns:a16="http://schemas.microsoft.com/office/drawing/2014/main" id="{E36B3DF8-D560-4A00-AE6F-DF74C4F44F59}"/>
              </a:ext>
            </a:extLst>
          </xdr:cNvPr>
          <xdr:cNvSpPr txBox="1"/>
        </xdr:nvSpPr>
        <xdr:spPr>
          <a:xfrm>
            <a:off x="8690847" y="1337225"/>
            <a:ext cx="1267962" cy="3783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028EBEF-38AD-4995-B3BB-411F34305EC4}" type="TxLink">
              <a:rPr lang="en-US" sz="1800" b="0" i="0" u="none" strike="noStrike">
                <a:solidFill>
                  <a:srgbClr val="000000"/>
                </a:solidFill>
                <a:latin typeface="Arial Black" panose="020B0A04020102020204" pitchFamily="34" charset="0"/>
                <a:ea typeface="Calibri"/>
                <a:cs typeface="Calibri"/>
              </a:rPr>
              <a:pPr/>
              <a:t>39,84%</a:t>
            </a:fld>
            <a:endParaRPr lang="en-ID" sz="1800">
              <a:latin typeface="Arial Black" panose="020B0A04020102020204" pitchFamily="34" charset="0"/>
            </a:endParaRPr>
          </a:p>
        </xdr:txBody>
      </xdr:sp>
    </xdr:grpSp>
    <xdr:clientData/>
  </xdr:twoCellAnchor>
  <xdr:twoCellAnchor>
    <xdr:from>
      <xdr:col>0</xdr:col>
      <xdr:colOff>29309</xdr:colOff>
      <xdr:row>0</xdr:row>
      <xdr:rowOff>0</xdr:rowOff>
    </xdr:from>
    <xdr:to>
      <xdr:col>13</xdr:col>
      <xdr:colOff>164522</xdr:colOff>
      <xdr:row>4</xdr:row>
      <xdr:rowOff>110066</xdr:rowOff>
    </xdr:to>
    <xdr:sp macro="" textlink="">
      <xdr:nvSpPr>
        <xdr:cNvPr id="30" name="TextBox 29">
          <a:extLst>
            <a:ext uri="{FF2B5EF4-FFF2-40B4-BE49-F238E27FC236}">
              <a16:creationId xmlns:a16="http://schemas.microsoft.com/office/drawing/2014/main" id="{0E39BA52-C77E-E1D5-3596-8F01FE6E37BE}"/>
            </a:ext>
          </a:extLst>
        </xdr:cNvPr>
        <xdr:cNvSpPr txBox="1"/>
      </xdr:nvSpPr>
      <xdr:spPr>
        <a:xfrm>
          <a:off x="29309" y="0"/>
          <a:ext cx="8014986" cy="8374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D" sz="4800">
              <a:solidFill>
                <a:sysClr val="windowText" lastClr="000000"/>
              </a:solidFill>
              <a:latin typeface="Arial Black" panose="020B0A04020102020204" pitchFamily="34" charset="0"/>
            </a:rPr>
            <a:t>PERFORMANCE SALES</a:t>
          </a:r>
          <a:endParaRPr lang="en-ID" sz="4400">
            <a:solidFill>
              <a:sysClr val="windowText" lastClr="000000"/>
            </a:solidFill>
            <a:latin typeface="Arial Black" panose="020B0A04020102020204" pitchFamily="34" charset="0"/>
          </a:endParaRPr>
        </a:p>
      </xdr:txBody>
    </xdr:sp>
    <xdr:clientData/>
  </xdr:twoCellAnchor>
  <xdr:twoCellAnchor>
    <xdr:from>
      <xdr:col>6</xdr:col>
      <xdr:colOff>188360</xdr:colOff>
      <xdr:row>10</xdr:row>
      <xdr:rowOff>136986</xdr:rowOff>
    </xdr:from>
    <xdr:to>
      <xdr:col>15</xdr:col>
      <xdr:colOff>145551</xdr:colOff>
      <xdr:row>23</xdr:row>
      <xdr:rowOff>102741</xdr:rowOff>
    </xdr:to>
    <xdr:graphicFrame macro="">
      <xdr:nvGraphicFramePr>
        <xdr:cNvPr id="31" name="Chart 30">
          <a:extLst>
            <a:ext uri="{FF2B5EF4-FFF2-40B4-BE49-F238E27FC236}">
              <a16:creationId xmlns:a16="http://schemas.microsoft.com/office/drawing/2014/main" id="{C1BEB5A2-CEF8-47C3-BF3D-2574450556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131379</xdr:colOff>
      <xdr:row>10</xdr:row>
      <xdr:rowOff>105105</xdr:rowOff>
    </xdr:from>
    <xdr:to>
      <xdr:col>8</xdr:col>
      <xdr:colOff>218965</xdr:colOff>
      <xdr:row>22</xdr:row>
      <xdr:rowOff>2920</xdr:rowOff>
    </xdr:to>
    <xdr:sp macro="" textlink="">
      <xdr:nvSpPr>
        <xdr:cNvPr id="14" name="Rectangle 13">
          <a:extLst>
            <a:ext uri="{FF2B5EF4-FFF2-40B4-BE49-F238E27FC236}">
              <a16:creationId xmlns:a16="http://schemas.microsoft.com/office/drawing/2014/main" id="{4DCE5ECB-18CE-B3E9-63D2-624D58251512}"/>
            </a:ext>
          </a:extLst>
        </xdr:cNvPr>
        <xdr:cNvSpPr/>
      </xdr:nvSpPr>
      <xdr:spPr>
        <a:xfrm>
          <a:off x="131379" y="1914855"/>
          <a:ext cx="4964386" cy="2069515"/>
        </a:xfrm>
        <a:prstGeom prst="rect">
          <a:avLst/>
        </a:prstGeom>
        <a:solidFill>
          <a:schemeClr val="bg1"/>
        </a:solidFill>
        <a:ln>
          <a:noFill/>
        </a:ln>
        <a:effectLst>
          <a:outerShdw blurRad="50800" dist="38100" dir="2700000" sx="101000" sy="101000" algn="tl" rotWithShape="0">
            <a:prstClr val="black">
              <a:alpha val="29000"/>
            </a:prstClr>
          </a:outerShdw>
        </a:effectLst>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150106</xdr:colOff>
      <xdr:row>10</xdr:row>
      <xdr:rowOff>76201</xdr:rowOff>
    </xdr:from>
    <xdr:to>
      <xdr:col>8</xdr:col>
      <xdr:colOff>208908</xdr:colOff>
      <xdr:row>21</xdr:row>
      <xdr:rowOff>175654</xdr:rowOff>
    </xdr:to>
    <xdr:graphicFrame macro="">
      <xdr:nvGraphicFramePr>
        <xdr:cNvPr id="33" name="Chart 32">
          <a:extLst>
            <a:ext uri="{FF2B5EF4-FFF2-40B4-BE49-F238E27FC236}">
              <a16:creationId xmlns:a16="http://schemas.microsoft.com/office/drawing/2014/main" id="{38C621B8-EA9C-4840-B933-E29564EEC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551793</xdr:colOff>
      <xdr:row>10</xdr:row>
      <xdr:rowOff>105104</xdr:rowOff>
    </xdr:from>
    <xdr:to>
      <xdr:col>21</xdr:col>
      <xdr:colOff>105103</xdr:colOff>
      <xdr:row>21</xdr:row>
      <xdr:rowOff>114772</xdr:rowOff>
    </xdr:to>
    <xdr:grpSp>
      <xdr:nvGrpSpPr>
        <xdr:cNvPr id="8" name="Group 7">
          <a:extLst>
            <a:ext uri="{FF2B5EF4-FFF2-40B4-BE49-F238E27FC236}">
              <a16:creationId xmlns:a16="http://schemas.microsoft.com/office/drawing/2014/main" id="{51EF6895-8068-C6F1-FE58-BF3F62B79784}"/>
            </a:ext>
          </a:extLst>
        </xdr:cNvPr>
        <xdr:cNvGrpSpPr/>
      </xdr:nvGrpSpPr>
      <xdr:grpSpPr>
        <a:xfrm>
          <a:off x="7866993" y="1914854"/>
          <a:ext cx="5039710" cy="2000393"/>
          <a:chOff x="7909034" y="2084552"/>
          <a:chExt cx="5071241" cy="1892772"/>
        </a:xfrm>
        <a:solidFill>
          <a:schemeClr val="bg1"/>
        </a:solidFill>
        <a:effectLst>
          <a:outerShdw blurRad="50800" dist="38100" sx="101000" sy="101000" algn="l" rotWithShape="0">
            <a:prstClr val="black">
              <a:alpha val="18000"/>
            </a:prstClr>
          </a:outerShdw>
        </a:effectLst>
      </xdr:grpSpPr>
      <xdr:sp macro="" textlink="">
        <xdr:nvSpPr>
          <xdr:cNvPr id="16" name="Rectangle 15">
            <a:extLst>
              <a:ext uri="{FF2B5EF4-FFF2-40B4-BE49-F238E27FC236}">
                <a16:creationId xmlns:a16="http://schemas.microsoft.com/office/drawing/2014/main" id="{B1F39F9C-78EB-4169-AAB4-39110DC5E7DE}"/>
              </a:ext>
            </a:extLst>
          </xdr:cNvPr>
          <xdr:cNvSpPr/>
        </xdr:nvSpPr>
        <xdr:spPr>
          <a:xfrm>
            <a:off x="7909034" y="2084552"/>
            <a:ext cx="5071241" cy="1892772"/>
          </a:xfrm>
          <a:prstGeom prst="rect">
            <a:avLst/>
          </a:prstGeom>
          <a:grp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graphicFrame macro="">
        <xdr:nvGraphicFramePr>
          <xdr:cNvPr id="34" name="Chart 33">
            <a:extLst>
              <a:ext uri="{FF2B5EF4-FFF2-40B4-BE49-F238E27FC236}">
                <a16:creationId xmlns:a16="http://schemas.microsoft.com/office/drawing/2014/main" id="{9B98683E-1E6A-429E-BBFE-30CE643E06A7}"/>
              </a:ext>
            </a:extLst>
          </xdr:cNvPr>
          <xdr:cNvGraphicFramePr>
            <a:graphicFrameLocks/>
          </xdr:cNvGraphicFramePr>
        </xdr:nvGraphicFramePr>
        <xdr:xfrm>
          <a:off x="8031654" y="2250966"/>
          <a:ext cx="4782208" cy="1716689"/>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152400</xdr:colOff>
      <xdr:row>24</xdr:row>
      <xdr:rowOff>81040</xdr:rowOff>
    </xdr:from>
    <xdr:to>
      <xdr:col>8</xdr:col>
      <xdr:colOff>176590</xdr:colOff>
      <xdr:row>38</xdr:row>
      <xdr:rowOff>133350</xdr:rowOff>
    </xdr:to>
    <xdr:graphicFrame macro="">
      <xdr:nvGraphicFramePr>
        <xdr:cNvPr id="3" name="Chart 2">
          <a:extLst>
            <a:ext uri="{FF2B5EF4-FFF2-40B4-BE49-F238E27FC236}">
              <a16:creationId xmlns:a16="http://schemas.microsoft.com/office/drawing/2014/main" id="{0F477614-A214-4EC5-85C3-16BA12E193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512224</xdr:colOff>
      <xdr:row>24</xdr:row>
      <xdr:rowOff>102598</xdr:rowOff>
    </xdr:from>
    <xdr:to>
      <xdr:col>18</xdr:col>
      <xdr:colOff>539104</xdr:colOff>
      <xdr:row>34</xdr:row>
      <xdr:rowOff>67401</xdr:rowOff>
    </xdr:to>
    <xdr:sp macro="" textlink="">
      <xdr:nvSpPr>
        <xdr:cNvPr id="9" name="Rectangle 8">
          <a:extLst>
            <a:ext uri="{FF2B5EF4-FFF2-40B4-BE49-F238E27FC236}">
              <a16:creationId xmlns:a16="http://schemas.microsoft.com/office/drawing/2014/main" id="{B105656E-E76D-48BA-A4FD-A4D800F5BEF8}"/>
            </a:ext>
          </a:extLst>
        </xdr:cNvPr>
        <xdr:cNvSpPr/>
      </xdr:nvSpPr>
      <xdr:spPr>
        <a:xfrm>
          <a:off x="5406196" y="4481415"/>
          <a:ext cx="6144345" cy="1789310"/>
        </a:xfrm>
        <a:prstGeom prst="rect">
          <a:avLst/>
        </a:prstGeom>
        <a:solidFill>
          <a:schemeClr val="bg1"/>
        </a:solidFill>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clientData/>
  </xdr:twoCellAnchor>
  <xdr:twoCellAnchor>
    <xdr:from>
      <xdr:col>19</xdr:col>
      <xdr:colOff>160327</xdr:colOff>
      <xdr:row>24</xdr:row>
      <xdr:rowOff>92530</xdr:rowOff>
    </xdr:from>
    <xdr:to>
      <xdr:col>25</xdr:col>
      <xdr:colOff>464882</xdr:colOff>
      <xdr:row>38</xdr:row>
      <xdr:rowOff>104775</xdr:rowOff>
    </xdr:to>
    <xdr:grpSp>
      <xdr:nvGrpSpPr>
        <xdr:cNvPr id="51" name="Group 50">
          <a:extLst>
            <a:ext uri="{FF2B5EF4-FFF2-40B4-BE49-F238E27FC236}">
              <a16:creationId xmlns:a16="http://schemas.microsoft.com/office/drawing/2014/main" id="{927DD2F6-31FF-8F12-0F98-20F383D45A58}"/>
            </a:ext>
          </a:extLst>
        </xdr:cNvPr>
        <xdr:cNvGrpSpPr/>
      </xdr:nvGrpSpPr>
      <xdr:grpSpPr>
        <a:xfrm>
          <a:off x="11742727" y="4435930"/>
          <a:ext cx="3962155" cy="2545895"/>
          <a:chOff x="10285771" y="4443484"/>
          <a:chExt cx="3989451" cy="1808700"/>
        </a:xfrm>
        <a:solidFill>
          <a:schemeClr val="bg1"/>
        </a:solidFill>
        <a:effectLst>
          <a:outerShdw blurRad="50800" dist="38100" sx="101000" sy="101000" algn="l" rotWithShape="0">
            <a:prstClr val="black">
              <a:alpha val="30000"/>
            </a:prstClr>
          </a:outerShdw>
        </a:effectLst>
      </xdr:grpSpPr>
      <xdr:sp macro="" textlink="">
        <xdr:nvSpPr>
          <xdr:cNvPr id="20" name="Rectangle 19">
            <a:extLst>
              <a:ext uri="{FF2B5EF4-FFF2-40B4-BE49-F238E27FC236}">
                <a16:creationId xmlns:a16="http://schemas.microsoft.com/office/drawing/2014/main" id="{242C5188-0564-46C6-97DF-DDB7C11F4D32}"/>
              </a:ext>
            </a:extLst>
          </xdr:cNvPr>
          <xdr:cNvSpPr/>
        </xdr:nvSpPr>
        <xdr:spPr>
          <a:xfrm>
            <a:off x="10285771" y="4467916"/>
            <a:ext cx="3989451" cy="1784268"/>
          </a:xfrm>
          <a:prstGeom prst="rect">
            <a:avLst/>
          </a:prstGeom>
          <a:grpFill/>
          <a:ln>
            <a:noFill/>
          </a:ln>
        </xdr:spPr>
        <xdr:style>
          <a:lnRef idx="2">
            <a:schemeClr val="accent2">
              <a:shade val="15000"/>
            </a:schemeClr>
          </a:lnRef>
          <a:fillRef idx="1">
            <a:schemeClr val="accent2"/>
          </a:fillRef>
          <a:effectRef idx="0">
            <a:schemeClr val="accent2"/>
          </a:effectRef>
          <a:fontRef idx="minor">
            <a:schemeClr val="lt1"/>
          </a:fontRef>
        </xdr:style>
        <xdr:txBody>
          <a:bodyPr vertOverflow="clip" horzOverflow="clip" rtlCol="0" anchor="t"/>
          <a:lstStyle/>
          <a:p>
            <a:pPr algn="l"/>
            <a:endParaRPr lang="en-ID" sz="1100"/>
          </a:p>
        </xdr:txBody>
      </xdr:sp>
      <xdr:graphicFrame macro="">
        <xdr:nvGraphicFramePr>
          <xdr:cNvPr id="32" name="Chart 31">
            <a:extLst>
              <a:ext uri="{FF2B5EF4-FFF2-40B4-BE49-F238E27FC236}">
                <a16:creationId xmlns:a16="http://schemas.microsoft.com/office/drawing/2014/main" id="{F981E8DD-4971-4353-B716-6DE0E057B0A9}"/>
              </a:ext>
            </a:extLst>
          </xdr:cNvPr>
          <xdr:cNvGraphicFramePr>
            <a:graphicFrameLocks/>
          </xdr:cNvGraphicFramePr>
        </xdr:nvGraphicFramePr>
        <xdr:xfrm>
          <a:off x="10474658" y="4443483"/>
          <a:ext cx="3792291" cy="1797929"/>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editAs="oneCell">
    <xdr:from>
      <xdr:col>21</xdr:col>
      <xdr:colOff>371231</xdr:colOff>
      <xdr:row>10</xdr:row>
      <xdr:rowOff>73269</xdr:rowOff>
    </xdr:from>
    <xdr:to>
      <xdr:col>25</xdr:col>
      <xdr:colOff>498231</xdr:colOff>
      <xdr:row>23</xdr:row>
      <xdr:rowOff>127244</xdr:rowOff>
    </xdr:to>
    <mc:AlternateContent xmlns:mc="http://schemas.openxmlformats.org/markup-compatibility/2006" xmlns:a14="http://schemas.microsoft.com/office/drawing/2010/main">
      <mc:Choice Requires="a14">
        <xdr:graphicFrame macro="">
          <xdr:nvGraphicFramePr>
            <xdr:cNvPr id="52" name="country">
              <a:extLst>
                <a:ext uri="{FF2B5EF4-FFF2-40B4-BE49-F238E27FC236}">
                  <a16:creationId xmlns:a16="http://schemas.microsoft.com/office/drawing/2014/main" id="{96E3F103-6AE3-BC65-5D6C-4C25E96AFF42}"/>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172831" y="1883019"/>
              <a:ext cx="2565400" cy="240665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138617</xdr:colOff>
      <xdr:row>5</xdr:row>
      <xdr:rowOff>31669</xdr:rowOff>
    </xdr:from>
    <xdr:to>
      <xdr:col>25</xdr:col>
      <xdr:colOff>459307</xdr:colOff>
      <xdr:row>10</xdr:row>
      <xdr:rowOff>12014</xdr:rowOff>
    </xdr:to>
    <mc:AlternateContent xmlns:mc="http://schemas.openxmlformats.org/markup-compatibility/2006" xmlns:a14="http://schemas.microsoft.com/office/drawing/2010/main">
      <mc:Choice Requires="a14">
        <xdr:graphicFrame macro="">
          <xdr:nvGraphicFramePr>
            <xdr:cNvPr id="54" name="Months (orderDate)">
              <a:extLst>
                <a:ext uri="{FF2B5EF4-FFF2-40B4-BE49-F238E27FC236}">
                  <a16:creationId xmlns:a16="http://schemas.microsoft.com/office/drawing/2014/main" id="{D6981866-EFAB-04C2-E547-886A862A2A29}"/>
                </a:ext>
              </a:extLst>
            </xdr:cNvPr>
            <xdr:cNvGraphicFramePr/>
          </xdr:nvGraphicFramePr>
          <xdr:xfrm>
            <a:off x="0" y="0"/>
            <a:ext cx="0" cy="0"/>
          </xdr:xfrm>
          <a:graphic>
            <a:graphicData uri="http://schemas.microsoft.com/office/drawing/2010/slicer">
              <sle:slicer xmlns:sle="http://schemas.microsoft.com/office/drawing/2010/slicer" name="Months (orderDate)"/>
            </a:graphicData>
          </a:graphic>
        </xdr:graphicFrame>
      </mc:Choice>
      <mc:Fallback xmlns="">
        <xdr:sp macro="" textlink="">
          <xdr:nvSpPr>
            <xdr:cNvPr id="0" name=""/>
            <xdr:cNvSpPr>
              <a:spLocks noTextEdit="1"/>
            </xdr:cNvSpPr>
          </xdr:nvSpPr>
          <xdr:spPr>
            <a:xfrm>
              <a:off x="13549817" y="936544"/>
              <a:ext cx="2149490" cy="88522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490012</xdr:colOff>
      <xdr:row>5</xdr:row>
      <xdr:rowOff>30887</xdr:rowOff>
    </xdr:from>
    <xdr:to>
      <xdr:col>21</xdr:col>
      <xdr:colOff>533212</xdr:colOff>
      <xdr:row>8</xdr:row>
      <xdr:rowOff>120357</xdr:rowOff>
    </xdr:to>
    <mc:AlternateContent xmlns:mc="http://schemas.openxmlformats.org/markup-compatibility/2006" xmlns:a14="http://schemas.microsoft.com/office/drawing/2010/main">
      <mc:Choice Requires="a14">
        <xdr:graphicFrame macro="">
          <xdr:nvGraphicFramePr>
            <xdr:cNvPr id="55" name="Years (orderDate)">
              <a:extLst>
                <a:ext uri="{FF2B5EF4-FFF2-40B4-BE49-F238E27FC236}">
                  <a16:creationId xmlns:a16="http://schemas.microsoft.com/office/drawing/2014/main" id="{6A3C5C45-07BE-291B-DF50-0EF0F091A81A}"/>
                </a:ext>
              </a:extLst>
            </xdr:cNvPr>
            <xdr:cNvGraphicFramePr/>
          </xdr:nvGraphicFramePr>
          <xdr:xfrm>
            <a:off x="0" y="0"/>
            <a:ext cx="0" cy="0"/>
          </xdr:xfrm>
          <a:graphic>
            <a:graphicData uri="http://schemas.microsoft.com/office/drawing/2010/slicer">
              <sle:slicer xmlns:sle="http://schemas.microsoft.com/office/drawing/2010/slicer" name="Years (orderDate)"/>
            </a:graphicData>
          </a:graphic>
        </xdr:graphicFrame>
      </mc:Choice>
      <mc:Fallback xmlns="">
        <xdr:sp macro="" textlink="">
          <xdr:nvSpPr>
            <xdr:cNvPr id="0" name=""/>
            <xdr:cNvSpPr>
              <a:spLocks noTextEdit="1"/>
            </xdr:cNvSpPr>
          </xdr:nvSpPr>
          <xdr:spPr>
            <a:xfrm>
              <a:off x="11462812" y="935762"/>
              <a:ext cx="1872000" cy="63239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525361</xdr:colOff>
      <xdr:row>14</xdr:row>
      <xdr:rowOff>113454</xdr:rowOff>
    </xdr:from>
    <xdr:to>
      <xdr:col>11</xdr:col>
      <xdr:colOff>432179</xdr:colOff>
      <xdr:row>16</xdr:row>
      <xdr:rowOff>124128</xdr:rowOff>
    </xdr:to>
    <xdr:sp macro="" textlink="Pivot!B6">
      <xdr:nvSpPr>
        <xdr:cNvPr id="56" name="TextBox 55">
          <a:extLst>
            <a:ext uri="{FF2B5EF4-FFF2-40B4-BE49-F238E27FC236}">
              <a16:creationId xmlns:a16="http://schemas.microsoft.com/office/drawing/2014/main" id="{88660718-9041-4F52-B0DE-1B96DAC7E358}"/>
            </a:ext>
          </a:extLst>
        </xdr:cNvPr>
        <xdr:cNvSpPr txBox="1"/>
      </xdr:nvSpPr>
      <xdr:spPr>
        <a:xfrm>
          <a:off x="6052704" y="2661036"/>
          <a:ext cx="1135117" cy="3746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9A4C83-6348-41CB-A764-BFBDEC6A4DEE}" type="TxLink">
            <a:rPr lang="en-US" sz="1800" b="0" i="0" u="none" strike="noStrike">
              <a:solidFill>
                <a:sysClr val="windowText" lastClr="000000"/>
              </a:solidFill>
              <a:latin typeface="Arial Black" panose="020B0A04020102020204" pitchFamily="34" charset="0"/>
              <a:ea typeface="Calibri"/>
              <a:cs typeface="Calibri"/>
            </a:rPr>
            <a:pPr algn="ctr"/>
            <a:t>105516</a:t>
          </a:fld>
          <a:endParaRPr lang="en-ID" sz="1800">
            <a:solidFill>
              <a:sysClr val="windowText" lastClr="000000"/>
            </a:solidFill>
            <a:latin typeface="Arial Black" panose="020B0A04020102020204" pitchFamily="34" charset="0"/>
          </a:endParaRPr>
        </a:p>
      </xdr:txBody>
    </xdr:sp>
    <xdr:clientData/>
  </xdr:twoCellAnchor>
  <xdr:twoCellAnchor>
    <xdr:from>
      <xdr:col>10</xdr:col>
      <xdr:colOff>30994</xdr:colOff>
      <xdr:row>16</xdr:row>
      <xdr:rowOff>33576</xdr:rowOff>
    </xdr:from>
    <xdr:to>
      <xdr:col>11</xdr:col>
      <xdr:colOff>464598</xdr:colOff>
      <xdr:row>17</xdr:row>
      <xdr:rowOff>113863</xdr:rowOff>
    </xdr:to>
    <xdr:sp macro="" textlink="">
      <xdr:nvSpPr>
        <xdr:cNvPr id="57" name="TextBox 56">
          <a:extLst>
            <a:ext uri="{FF2B5EF4-FFF2-40B4-BE49-F238E27FC236}">
              <a16:creationId xmlns:a16="http://schemas.microsoft.com/office/drawing/2014/main" id="{419D19AD-04EC-460E-A71C-CDD8AD318BCB}"/>
            </a:ext>
          </a:extLst>
        </xdr:cNvPr>
        <xdr:cNvSpPr txBox="1"/>
      </xdr:nvSpPr>
      <xdr:spPr>
        <a:xfrm>
          <a:off x="6162028" y="2976473"/>
          <a:ext cx="1046708" cy="2642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000">
              <a:solidFill>
                <a:sysClr val="windowText" lastClr="000000"/>
              </a:solidFill>
              <a:latin typeface="Arial Black" panose="020B0A04020102020204" pitchFamily="34" charset="0"/>
            </a:rPr>
            <a:t>Total Unit</a:t>
          </a:r>
          <a:endParaRPr lang="en-ID" sz="1600">
            <a:solidFill>
              <a:sysClr val="windowText" lastClr="000000"/>
            </a:solidFill>
            <a:latin typeface="Arial Black" panose="020B0A04020102020204" pitchFamily="34" charset="0"/>
          </a:endParaRPr>
        </a:p>
      </xdr:txBody>
    </xdr:sp>
    <xdr:clientData/>
  </xdr:twoCellAnchor>
  <xdr:twoCellAnchor>
    <xdr:from>
      <xdr:col>8</xdr:col>
      <xdr:colOff>503068</xdr:colOff>
      <xdr:row>24</xdr:row>
      <xdr:rowOff>96175</xdr:rowOff>
    </xdr:from>
    <xdr:to>
      <xdr:col>18</xdr:col>
      <xdr:colOff>547456</xdr:colOff>
      <xdr:row>38</xdr:row>
      <xdr:rowOff>133350</xdr:rowOff>
    </xdr:to>
    <xdr:graphicFrame macro="">
      <xdr:nvGraphicFramePr>
        <xdr:cNvPr id="71" name="Chart 70">
          <a:extLst>
            <a:ext uri="{FF2B5EF4-FFF2-40B4-BE49-F238E27FC236}">
              <a16:creationId xmlns:a16="http://schemas.microsoft.com/office/drawing/2014/main" id="{2DCF4137-49A0-4CB7-A9CC-206F4AFC00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32724</xdr:colOff>
      <xdr:row>5</xdr:row>
      <xdr:rowOff>112196</xdr:rowOff>
    </xdr:from>
    <xdr:to>
      <xdr:col>1</xdr:col>
      <xdr:colOff>46749</xdr:colOff>
      <xdr:row>9</xdr:row>
      <xdr:rowOff>18700</xdr:rowOff>
    </xdr:to>
    <xdr:grpSp>
      <xdr:nvGrpSpPr>
        <xdr:cNvPr id="91" name="Group 90">
          <a:extLst>
            <a:ext uri="{FF2B5EF4-FFF2-40B4-BE49-F238E27FC236}">
              <a16:creationId xmlns:a16="http://schemas.microsoft.com/office/drawing/2014/main" id="{70952DDC-C174-3F4A-4F04-4B2E5DBCF003}"/>
            </a:ext>
          </a:extLst>
        </xdr:cNvPr>
        <xdr:cNvGrpSpPr/>
      </xdr:nvGrpSpPr>
      <xdr:grpSpPr>
        <a:xfrm>
          <a:off x="32724" y="1017071"/>
          <a:ext cx="623625" cy="630404"/>
          <a:chOff x="64393" y="1094044"/>
          <a:chExt cx="477593" cy="504028"/>
        </a:xfrm>
      </xdr:grpSpPr>
      <xdr:sp macro="" textlink="">
        <xdr:nvSpPr>
          <xdr:cNvPr id="87" name="Flowchart: Connector 86">
            <a:extLst>
              <a:ext uri="{FF2B5EF4-FFF2-40B4-BE49-F238E27FC236}">
                <a16:creationId xmlns:a16="http://schemas.microsoft.com/office/drawing/2014/main" id="{C80F1038-94A7-47BB-A072-C653105FEA31}"/>
              </a:ext>
            </a:extLst>
          </xdr:cNvPr>
          <xdr:cNvSpPr/>
        </xdr:nvSpPr>
        <xdr:spPr>
          <a:xfrm>
            <a:off x="64393" y="1094044"/>
            <a:ext cx="477593" cy="504028"/>
          </a:xfrm>
          <a:prstGeom prst="flowChartConnector">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D" sz="1100"/>
          </a:p>
        </xdr:txBody>
      </xdr:sp>
      <xdr:pic>
        <xdr:nvPicPr>
          <xdr:cNvPr id="76" name="Picture 75">
            <a:extLst>
              <a:ext uri="{FF2B5EF4-FFF2-40B4-BE49-F238E27FC236}">
                <a16:creationId xmlns:a16="http://schemas.microsoft.com/office/drawing/2014/main" id="{6F4ACDB6-C12F-5DAF-1C42-FE6C185D114B}"/>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58142" y="1184430"/>
            <a:ext cx="279025" cy="287736"/>
          </a:xfrm>
          <a:prstGeom prst="rect">
            <a:avLst/>
          </a:prstGeom>
        </xdr:spPr>
      </xdr:pic>
    </xdr:grpSp>
    <xdr:clientData/>
  </xdr:twoCellAnchor>
  <xdr:twoCellAnchor editAs="oneCell">
    <xdr:from>
      <xdr:col>9</xdr:col>
      <xdr:colOff>425432</xdr:colOff>
      <xdr:row>5</xdr:row>
      <xdr:rowOff>179390</xdr:rowOff>
    </xdr:from>
    <xdr:to>
      <xdr:col>10</xdr:col>
      <xdr:colOff>195397</xdr:colOff>
      <xdr:row>8</xdr:row>
      <xdr:rowOff>97870</xdr:rowOff>
    </xdr:to>
    <xdr:pic>
      <xdr:nvPicPr>
        <xdr:cNvPr id="78" name="Picture 77">
          <a:extLst>
            <a:ext uri="{FF2B5EF4-FFF2-40B4-BE49-F238E27FC236}">
              <a16:creationId xmlns:a16="http://schemas.microsoft.com/office/drawing/2014/main" id="{9EE33F2B-7E97-3B58-E449-2078B431305D}"/>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5898644" y="1095255"/>
          <a:ext cx="378099" cy="468000"/>
        </a:xfrm>
        <a:prstGeom prst="rect">
          <a:avLst/>
        </a:prstGeom>
      </xdr:spPr>
    </xdr:pic>
    <xdr:clientData/>
  </xdr:twoCellAnchor>
  <xdr:twoCellAnchor editAs="oneCell">
    <xdr:from>
      <xdr:col>4</xdr:col>
      <xdr:colOff>571497</xdr:colOff>
      <xdr:row>6</xdr:row>
      <xdr:rowOff>125186</xdr:rowOff>
    </xdr:from>
    <xdr:to>
      <xdr:col>5</xdr:col>
      <xdr:colOff>315685</xdr:colOff>
      <xdr:row>8</xdr:row>
      <xdr:rowOff>108860</xdr:rowOff>
    </xdr:to>
    <xdr:pic>
      <xdr:nvPicPr>
        <xdr:cNvPr id="80" name="Picture 79">
          <a:extLst>
            <a:ext uri="{FF2B5EF4-FFF2-40B4-BE49-F238E27FC236}">
              <a16:creationId xmlns:a16="http://schemas.microsoft.com/office/drawing/2014/main" id="{153CBADD-8D85-EB2C-BA2D-1594C9ABF125}"/>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3009897" y="1235529"/>
          <a:ext cx="353788" cy="353788"/>
        </a:xfrm>
        <a:prstGeom prst="rect">
          <a:avLst/>
        </a:prstGeom>
        <a:solidFill>
          <a:schemeClr val="accent4">
            <a:lumMod val="75000"/>
          </a:schemeClr>
        </a:solidFill>
      </xdr:spPr>
    </xdr:pic>
    <xdr:clientData/>
  </xdr:twoCellAnchor>
  <xdr:twoCellAnchor>
    <xdr:from>
      <xdr:col>14</xdr:col>
      <xdr:colOff>137712</xdr:colOff>
      <xdr:row>5</xdr:row>
      <xdr:rowOff>128530</xdr:rowOff>
    </xdr:from>
    <xdr:to>
      <xdr:col>15</xdr:col>
      <xdr:colOff>201977</xdr:colOff>
      <xdr:row>9</xdr:row>
      <xdr:rowOff>73445</xdr:rowOff>
    </xdr:to>
    <xdr:grpSp>
      <xdr:nvGrpSpPr>
        <xdr:cNvPr id="90" name="Group 89">
          <a:extLst>
            <a:ext uri="{FF2B5EF4-FFF2-40B4-BE49-F238E27FC236}">
              <a16:creationId xmlns:a16="http://schemas.microsoft.com/office/drawing/2014/main" id="{A691B7E9-9DF1-FC9A-4958-6DFED26BB744}"/>
            </a:ext>
          </a:extLst>
        </xdr:cNvPr>
        <xdr:cNvGrpSpPr/>
      </xdr:nvGrpSpPr>
      <xdr:grpSpPr>
        <a:xfrm>
          <a:off x="8672112" y="1033405"/>
          <a:ext cx="673865" cy="668815"/>
          <a:chOff x="8692578" y="1165041"/>
          <a:chExt cx="477593" cy="519779"/>
        </a:xfrm>
      </xdr:grpSpPr>
      <xdr:sp macro="" textlink="">
        <xdr:nvSpPr>
          <xdr:cNvPr id="88" name="Flowchart: Connector 87">
            <a:extLst>
              <a:ext uri="{FF2B5EF4-FFF2-40B4-BE49-F238E27FC236}">
                <a16:creationId xmlns:a16="http://schemas.microsoft.com/office/drawing/2014/main" id="{4D3AF436-2EF4-499A-A19A-F84139D26ADD}"/>
              </a:ext>
            </a:extLst>
          </xdr:cNvPr>
          <xdr:cNvSpPr/>
        </xdr:nvSpPr>
        <xdr:spPr>
          <a:xfrm>
            <a:off x="8692578" y="1165041"/>
            <a:ext cx="477593" cy="519779"/>
          </a:xfrm>
          <a:prstGeom prst="flowChartConnector">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ID" sz="1100"/>
          </a:p>
        </xdr:txBody>
      </xdr:sp>
      <xdr:pic>
        <xdr:nvPicPr>
          <xdr:cNvPr id="89" name="Picture 88">
            <a:extLst>
              <a:ext uri="{FF2B5EF4-FFF2-40B4-BE49-F238E27FC236}">
                <a16:creationId xmlns:a16="http://schemas.microsoft.com/office/drawing/2014/main" id="{A5C2EA9F-F9C1-4A3D-A596-7B41E989BE4D}"/>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8786327" y="1260677"/>
            <a:ext cx="279025" cy="298237"/>
          </a:xfrm>
          <a:prstGeom prst="rect">
            <a:avLst/>
          </a:prstGeom>
        </xdr:spPr>
      </xdr:pic>
    </xdr:grpSp>
    <xdr:clientData/>
  </xdr:twoCellAnchor>
  <xdr:twoCellAnchor>
    <xdr:from>
      <xdr:col>15</xdr:col>
      <xdr:colOff>232238</xdr:colOff>
      <xdr:row>10</xdr:row>
      <xdr:rowOff>101432</xdr:rowOff>
    </xdr:from>
    <xdr:to>
      <xdr:col>20</xdr:col>
      <xdr:colOff>266486</xdr:colOff>
      <xdr:row>12</xdr:row>
      <xdr:rowOff>112271</xdr:rowOff>
    </xdr:to>
    <xdr:sp macro="" textlink="">
      <xdr:nvSpPr>
        <xdr:cNvPr id="2" name="TextBox 1">
          <a:extLst>
            <a:ext uri="{FF2B5EF4-FFF2-40B4-BE49-F238E27FC236}">
              <a16:creationId xmlns:a16="http://schemas.microsoft.com/office/drawing/2014/main" id="{A31EDE5D-FAA2-46A5-9869-B5005B92479E}"/>
            </a:ext>
          </a:extLst>
        </xdr:cNvPr>
        <xdr:cNvSpPr txBox="1"/>
      </xdr:nvSpPr>
      <xdr:spPr>
        <a:xfrm>
          <a:off x="9376238" y="1911182"/>
          <a:ext cx="3082248" cy="3727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300">
              <a:solidFill>
                <a:schemeClr val="tx1">
                  <a:lumMod val="65000"/>
                  <a:lumOff val="35000"/>
                </a:schemeClr>
              </a:solidFill>
              <a:latin typeface="Arial Black" panose="020B0A04020102020204" pitchFamily="34" charset="0"/>
            </a:rPr>
            <a:t>Total Profit By</a:t>
          </a:r>
          <a:r>
            <a:rPr lang="en-ID" sz="1300" baseline="0">
              <a:solidFill>
                <a:schemeClr val="tx1">
                  <a:lumMod val="65000"/>
                  <a:lumOff val="35000"/>
                </a:schemeClr>
              </a:solidFill>
              <a:latin typeface="Arial Black" panose="020B0A04020102020204" pitchFamily="34" charset="0"/>
            </a:rPr>
            <a:t> Country</a:t>
          </a:r>
          <a:endParaRPr lang="en-ID" sz="1300">
            <a:solidFill>
              <a:schemeClr val="tx1">
                <a:lumMod val="65000"/>
                <a:lumOff val="35000"/>
              </a:schemeClr>
            </a:solidFill>
            <a:latin typeface="Arial Black" panose="020B0A04020102020204" pitchFamily="34" charset="0"/>
          </a:endParaRPr>
        </a:p>
      </xdr:txBody>
    </xdr:sp>
    <xdr:clientData/>
  </xdr:twoCellAnchor>
  <xdr:twoCellAnchor>
    <xdr:from>
      <xdr:col>9</xdr:col>
      <xdr:colOff>530831</xdr:colOff>
      <xdr:row>10</xdr:row>
      <xdr:rowOff>71143</xdr:rowOff>
    </xdr:from>
    <xdr:to>
      <xdr:col>13</xdr:col>
      <xdr:colOff>486307</xdr:colOff>
      <xdr:row>12</xdr:row>
      <xdr:rowOff>81982</xdr:rowOff>
    </xdr:to>
    <xdr:sp macro="" textlink="">
      <xdr:nvSpPr>
        <xdr:cNvPr id="4" name="TextBox 3">
          <a:extLst>
            <a:ext uri="{FF2B5EF4-FFF2-40B4-BE49-F238E27FC236}">
              <a16:creationId xmlns:a16="http://schemas.microsoft.com/office/drawing/2014/main" id="{2CBA2828-4AF3-4B11-899D-D27B58688ADE}"/>
            </a:ext>
          </a:extLst>
        </xdr:cNvPr>
        <xdr:cNvSpPr txBox="1"/>
      </xdr:nvSpPr>
      <xdr:spPr>
        <a:xfrm>
          <a:off x="6001820" y="1869121"/>
          <a:ext cx="2387026" cy="3704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D" sz="1400">
              <a:solidFill>
                <a:schemeClr val="tx1">
                  <a:lumMod val="65000"/>
                  <a:lumOff val="35000"/>
                </a:schemeClr>
              </a:solidFill>
              <a:latin typeface="Arial Black" panose="020B0A04020102020204" pitchFamily="34" charset="0"/>
            </a:rPr>
            <a:t>Unit Sold</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CER" refreshedDate="46261.734217939818" createdVersion="8" refreshedVersion="8" minRefreshableVersion="3" recordCount="2996" xr:uid="{FAA50F7D-7381-439A-A07F-782BECAAA09D}">
  <cacheSource type="worksheet">
    <worksheetSource ref="A1:N2997" sheet="Project"/>
  </cacheSource>
  <cacheFields count="17">
    <cacheField name="orderDate" numFmtId="14">
      <sharedItems containsSemiMixedTypes="0" containsNonDate="0" containsDate="1" containsString="0" minDate="2003-01-06T00:00:00" maxDate="2005-06-01T00:00:00" count="265">
        <d v="2003-01-06T00:00:00"/>
        <d v="2003-01-09T00:00:00"/>
        <d v="2003-01-10T00:00:00"/>
        <d v="2003-01-29T00:00:00"/>
        <d v="2003-01-31T00:00:00"/>
        <d v="2003-02-11T00:00:00"/>
        <d v="2003-02-17T00:00:00"/>
        <d v="2003-02-24T00:00:00"/>
        <d v="2003-03-03T00:00:00"/>
        <d v="2003-03-10T00:00:00"/>
        <d v="2003-03-18T00:00:00"/>
        <d v="2003-03-24T00:00:00"/>
        <d v="2003-03-25T00:00:00"/>
        <d v="2003-03-26T00:00:00"/>
        <d v="2003-04-01T00:00:00"/>
        <d v="2003-04-04T00:00:00"/>
        <d v="2003-04-11T00:00:00"/>
        <d v="2003-04-16T00:00:00"/>
        <d v="2003-04-21T00:00:00"/>
        <d v="2003-04-28T00:00:00"/>
        <d v="2003-04-29T00:00:00"/>
        <d v="2003-05-07T00:00:00"/>
        <d v="2003-05-08T00:00:00"/>
        <d v="2003-05-20T00:00:00"/>
        <d v="2003-05-21T00:00:00"/>
        <d v="2003-05-28T00:00:00"/>
        <d v="2003-06-03T00:00:00"/>
        <d v="2003-06-06T00:00:00"/>
        <d v="2003-06-12T00:00:00"/>
        <d v="2003-06-16T00:00:00"/>
        <d v="2003-06-25T00:00:00"/>
        <d v="2003-06-27T00:00:00"/>
        <d v="2003-07-01T00:00:00"/>
        <d v="2003-07-02T00:00:00"/>
        <d v="2003-07-04T00:00:00"/>
        <d v="2003-07-07T00:00:00"/>
        <d v="2003-07-10T00:00:00"/>
        <d v="2003-07-16T00:00:00"/>
        <d v="2003-07-24T00:00:00"/>
        <d v="2003-08-01T00:00:00"/>
        <d v="2003-08-08T00:00:00"/>
        <d v="2003-08-10T00:00:00"/>
        <d v="2003-08-13T00:00:00"/>
        <d v="2003-08-25T00:00:00"/>
        <d v="2003-09-03T00:00:00"/>
        <d v="2003-09-05T00:00:00"/>
        <d v="2003-09-11T00:00:00"/>
        <d v="2003-09-12T00:00:00"/>
        <d v="2003-09-19T00:00:00"/>
        <d v="2003-09-21T00:00:00"/>
        <d v="2003-09-25T00:00:00"/>
        <d v="2003-09-28T00:00:00"/>
        <d v="2003-10-02T00:00:00"/>
        <d v="2003-10-04T00:00:00"/>
        <d v="2003-10-05T00:00:00"/>
        <d v="2003-10-06T00:00:00"/>
        <d v="2003-10-08T00:00:00"/>
        <d v="2003-10-09T00:00:00"/>
        <d v="2003-10-10T00:00:00"/>
        <d v="2003-10-11T00:00:00"/>
        <d v="2003-10-17T00:00:00"/>
        <d v="2003-10-18T00:00:00"/>
        <d v="2003-10-20T00:00:00"/>
        <d v="2003-10-21T00:00:00"/>
        <d v="2003-10-22T00:00:00"/>
        <d v="2003-10-23T00:00:00"/>
        <d v="2003-10-28T00:00:00"/>
        <d v="2003-11-04T00:00:00"/>
        <d v="2003-11-05T00:00:00"/>
        <d v="2003-11-06T00:00:00"/>
        <d v="2003-11-07T00:00:00"/>
        <d v="2003-11-08T00:00:00"/>
        <d v="2003-11-11T00:00:00"/>
        <d v="2003-11-12T00:00:00"/>
        <d v="2003-11-13T00:00:00"/>
        <d v="2003-11-14T00:00:00"/>
        <d v="2003-11-15T00:00:00"/>
        <d v="2003-11-18T00:00:00"/>
        <d v="2003-11-19T00:00:00"/>
        <d v="2003-11-20T00:00:00"/>
        <d v="2003-11-21T00:00:00"/>
        <d v="2003-11-25T00:00:00"/>
        <d v="2003-11-26T00:00:00"/>
        <d v="2003-11-27T00:00:00"/>
        <d v="2003-12-01T00:00:00"/>
        <d v="2003-12-02T00:00:00"/>
        <d v="2003-12-03T00:00:00"/>
        <d v="2003-12-05T00:00:00"/>
        <d v="2003-12-09T00:00:00"/>
        <d v="2004-01-02T00:00:00"/>
        <d v="2004-01-09T00:00:00"/>
        <d v="2004-01-12T00:00:00"/>
        <d v="2004-01-15T00:00:00"/>
        <d v="2004-01-16T00:00:00"/>
        <d v="2004-01-22T00:00:00"/>
        <d v="2004-01-26T00:00:00"/>
        <d v="2004-01-29T00:00:00"/>
        <d v="2004-02-02T00:00:00"/>
        <d v="2004-02-04T00:00:00"/>
        <d v="2004-02-09T00:00:00"/>
        <d v="2004-02-10T00:00:00"/>
        <d v="2004-02-12T00:00:00"/>
        <d v="2004-02-18T00:00:00"/>
        <d v="2004-02-19T00:00:00"/>
        <d v="2004-02-20T00:00:00"/>
        <d v="2004-02-21T00:00:00"/>
        <d v="2004-02-22T00:00:00"/>
        <d v="2004-02-26T00:00:00"/>
        <d v="2004-03-02T00:00:00"/>
        <d v="2004-03-10T00:00:00"/>
        <d v="2004-03-11T00:00:00"/>
        <d v="2004-03-15T00:00:00"/>
        <d v="2004-03-19T00:00:00"/>
        <d v="2004-03-20T00:00:00"/>
        <d v="2004-03-29T00:00:00"/>
        <d v="2004-03-30T00:00:00"/>
        <d v="2004-04-02T00:00:00"/>
        <d v="2004-04-03T00:00:00"/>
        <d v="2004-04-05T00:00:00"/>
        <d v="2004-04-09T00:00:00"/>
        <d v="2004-04-12T00:00:00"/>
        <d v="2004-04-13T00:00:00"/>
        <d v="2004-04-20T00:00:00"/>
        <d v="2004-04-26T00:00:00"/>
        <d v="2004-04-29T00:00:00"/>
        <d v="2004-05-04T00:00:00"/>
        <d v="2004-05-05T00:00:00"/>
        <d v="2004-05-07T00:00:00"/>
        <d v="2004-05-08T00:00:00"/>
        <d v="2004-05-11T00:00:00"/>
        <d v="2004-05-18T00:00:00"/>
        <d v="2004-05-26T00:00:00"/>
        <d v="2004-06-01T00:00:00"/>
        <d v="2004-06-03T00:00:00"/>
        <d v="2004-06-04T00:00:00"/>
        <d v="2004-06-08T00:00:00"/>
        <d v="2004-06-14T00:00:00"/>
        <d v="2004-06-15T00:00:00"/>
        <d v="2004-06-16T00:00:00"/>
        <d v="2004-06-17T00:00:00"/>
        <d v="2004-06-24T00:00:00"/>
        <d v="2004-06-28T00:00:00"/>
        <d v="2004-06-30T00:00:00"/>
        <d v="2004-07-02T00:00:00"/>
        <d v="2004-07-06T00:00:00"/>
        <d v="2004-07-07T00:00:00"/>
        <d v="2004-07-12T00:00:00"/>
        <d v="2004-07-16T00:00:00"/>
        <d v="2004-07-19T00:00:00"/>
        <d v="2004-07-20T00:00:00"/>
        <d v="2004-07-21T00:00:00"/>
        <d v="2004-07-23T00:00:00"/>
        <d v="2004-08-02T00:00:00"/>
        <d v="2004-08-04T00:00:00"/>
        <d v="2004-08-06T00:00:00"/>
        <d v="2004-08-09T00:00:00"/>
        <d v="2004-08-17T00:00:00"/>
        <d v="2004-08-19T00:00:00"/>
        <d v="2004-08-20T00:00:00"/>
        <d v="2004-08-21T00:00:00"/>
        <d v="2004-08-27T00:00:00"/>
        <d v="2004-08-28T00:00:00"/>
        <d v="2004-08-30T00:00:00"/>
        <d v="2004-09-01T00:00:00"/>
        <d v="2004-09-03T00:00:00"/>
        <d v="2004-09-07T00:00:00"/>
        <d v="2004-09-08T00:00:00"/>
        <d v="2004-09-09T00:00:00"/>
        <d v="2004-09-10T00:00:00"/>
        <d v="2004-09-15T00:00:00"/>
        <d v="2004-09-16T00:00:00"/>
        <d v="2004-09-27T00:00:00"/>
        <d v="2004-09-30T00:00:00"/>
        <d v="2004-10-06T00:00:00"/>
        <d v="2004-10-11T00:00:00"/>
        <d v="2004-10-13T00:00:00"/>
        <d v="2004-10-14T00:00:00"/>
        <d v="2004-10-15T00:00:00"/>
        <d v="2004-10-16T00:00:00"/>
        <d v="2004-10-21T00:00:00"/>
        <d v="2004-10-22T00:00:00"/>
        <d v="2004-10-29T00:00:00"/>
        <d v="2004-11-01T00:00:00"/>
        <d v="2004-11-02T00:00:00"/>
        <d v="2004-11-03T00:00:00"/>
        <d v="2004-11-04T00:00:00"/>
        <d v="2004-11-05T00:00:00"/>
        <d v="2004-11-09T00:00:00"/>
        <d v="2004-11-10T00:00:00"/>
        <d v="2004-11-12T00:00:00"/>
        <d v="2004-11-15T00:00:00"/>
        <d v="2004-11-16T00:00:00"/>
        <d v="2004-11-17T00:00:00"/>
        <d v="2004-11-18T00:00:00"/>
        <d v="2004-11-19T00:00:00"/>
        <d v="2004-11-20T00:00:00"/>
        <d v="2004-11-21T00:00:00"/>
        <d v="2004-11-22T00:00:00"/>
        <d v="2004-11-23T00:00:00"/>
        <d v="2004-11-24T00:00:00"/>
        <d v="2004-11-25T00:00:00"/>
        <d v="2004-11-29T00:00:00"/>
        <d v="2004-12-01T00:00:00"/>
        <d v="2004-12-02T00:00:00"/>
        <d v="2004-12-03T00:00:00"/>
        <d v="2004-12-04T00:00:00"/>
        <d v="2004-12-07T00:00:00"/>
        <d v="2004-12-09T00:00:00"/>
        <d v="2004-12-10T00:00:00"/>
        <d v="2004-12-15T00:00:00"/>
        <d v="2004-12-16T00:00:00"/>
        <d v="2004-12-17T00:00:00"/>
        <d v="2005-01-05T00:00:00"/>
        <d v="2005-01-06T00:00:00"/>
        <d v="2005-01-07T00:00:00"/>
        <d v="2005-01-10T00:00:00"/>
        <d v="2005-01-12T00:00:00"/>
        <d v="2005-01-19T00:00:00"/>
        <d v="2005-01-20T00:00:00"/>
        <d v="2005-01-23T00:00:00"/>
        <d v="2005-01-26T00:00:00"/>
        <d v="2005-01-31T00:00:00"/>
        <d v="2005-02-02T00:00:00"/>
        <d v="2005-02-03T00:00:00"/>
        <d v="2005-02-08T00:00:00"/>
        <d v="2005-02-09T00:00:00"/>
        <d v="2005-02-10T00:00:00"/>
        <d v="2005-02-16T00:00:00"/>
        <d v="2005-02-17T00:00:00"/>
        <d v="2005-02-22T00:00:00"/>
        <d v="2005-02-23T00:00:00"/>
        <d v="2005-02-28T00:00:00"/>
        <d v="2005-03-01T00:00:00"/>
        <d v="2005-03-02T00:00:00"/>
        <d v="2005-03-03T00:00:00"/>
        <d v="2005-03-04T00:00:00"/>
        <d v="2005-03-09T00:00:00"/>
        <d v="2005-03-10T00:00:00"/>
        <d v="2005-03-11T00:00:00"/>
        <d v="2005-03-15T00:00:00"/>
        <d v="2005-03-17T00:00:00"/>
        <d v="2005-03-23T00:00:00"/>
        <d v="2005-03-28T00:00:00"/>
        <d v="2005-03-30T00:00:00"/>
        <d v="2005-04-01T00:00:00"/>
        <d v="2005-04-03T00:00:00"/>
        <d v="2005-04-07T00:00:00"/>
        <d v="2005-04-08T00:00:00"/>
        <d v="2005-04-14T00:00:00"/>
        <d v="2005-04-15T00:00:00"/>
        <d v="2005-04-22T00:00:00"/>
        <d v="2005-04-23T00:00:00"/>
        <d v="2005-04-29T00:00:00"/>
        <d v="2005-05-01T00:00:00"/>
        <d v="2005-05-03T00:00:00"/>
        <d v="2005-05-05T00:00:00"/>
        <d v="2005-05-06T00:00:00"/>
        <d v="2005-05-09T00:00:00"/>
        <d v="2005-05-10T00:00:00"/>
        <d v="2005-05-13T00:00:00"/>
        <d v="2005-05-16T00:00:00"/>
        <d v="2005-05-17T00:00:00"/>
        <d v="2005-05-29T00:00:00"/>
        <d v="2005-05-30T00:00:00"/>
        <d v="2005-05-31T00:00:00"/>
      </sharedItems>
      <fieldGroup par="16"/>
    </cacheField>
    <cacheField name="orderNumber" numFmtId="0">
      <sharedItems containsSemiMixedTypes="0" containsString="0" containsNumber="1" containsInteger="1" minValue="10100" maxValue="10425"/>
    </cacheField>
    <cacheField name="customerNumber" numFmtId="0">
      <sharedItems containsSemiMixedTypes="0" containsString="0" containsNumber="1" containsInteger="1" minValue="103" maxValue="496"/>
    </cacheField>
    <cacheField name="customerName" numFmtId="0">
      <sharedItems count="98">
        <s v="Online Diecast Creations Co,"/>
        <s v="Blauer See Auto, Co,"/>
        <s v="Vitachrome Inc,"/>
        <s v="Baane Mini Imports"/>
        <s v="Euro+ Shopping Channel"/>
        <s v="Danish Wholesale Imports"/>
        <s v="Rovelli Gifts"/>
        <s v="Land of Toys Inc,"/>
        <s v="Cruz &amp; Sons Co,"/>
        <s v="Motor Mint Distributors Inc,"/>
        <s v="AV Stores, Co,"/>
        <s v="Volvo Model Replicas, Co"/>
        <s v="Mini Wheels Co,"/>
        <s v="Mini Gifts Distributors Ltd,"/>
        <s v="La Corne D'abondance, Co,"/>
        <s v="Classic Legends Inc,"/>
        <s v="Royale Belge"/>
        <s v="Dragon Souveniers, Ltd,"/>
        <s v="Enaco Distributors"/>
        <s v="Salzburg Collectables"/>
        <s v="Australian Collectors, Co,"/>
        <s v="Reims Collectables"/>
        <s v="Marseille Mini Autos"/>
        <s v="Atelier graphique"/>
        <s v="Signal Gift Stores"/>
        <s v="Corrida Auto Replicas, Ltd"/>
        <s v="Muscle Machine Inc"/>
        <s v="Stylish Desk Decors, Co,"/>
        <s v="Gift Ideas Corp,"/>
        <s v="Auto-Moto Classics Inc,"/>
        <s v="Down Under Souveniers, Inc"/>
        <s v="Lyon Souveniers"/>
        <s v="Alpha Cognac"/>
        <s v="Kelly's Gift Shop"/>
        <s v="Souveniers And Things Co,"/>
        <s v="Technics Stores Inc,"/>
        <s v="Suominen Souveniers"/>
        <s v="Mini Creations Ltd,"/>
        <s v="Toys4GrownUps,com"/>
        <s v="Collectables For Less Inc,"/>
        <s v="Anna's Decorations, Ltd"/>
        <s v="Signal Collectibles Ltd,"/>
        <s v="Oulu Toy Supplies, Inc,"/>
        <s v="Australian Gift Network, Co"/>
        <s v="Boards &amp; Toys Co,"/>
        <s v="Norway Gifts By Mail, Co,"/>
        <s v="Toys of Finland, Co,"/>
        <s v="UK Collectables, Ltd,"/>
        <s v="Frau da Collezione"/>
        <s v="Corporate Gift Ideas Co,"/>
        <s v="Men 'R' US Retailers, Ltd,"/>
        <s v="Heintze Collectables"/>
        <s v="Mini Auto Werke"/>
        <s v="FunGiftIdeas,com"/>
        <s v="Scandinavian Gift Ideas"/>
        <s v="Gift Depot Inc,"/>
        <s v="Qu bec Home Shopping Network"/>
        <s v="L'ordine Souveniers"/>
        <s v="CAF Imports"/>
        <s v="Daedalus Designs Imports"/>
        <s v="Herkku Gifts"/>
        <s v="Classic Gift Ideas, Inc"/>
        <s v="Iberia Gift Imports, Corp,"/>
        <s v="Double Decker Gift Stores, Ltd"/>
        <s v="King Kong Collectables, Co,"/>
        <s v="Toms Spezialit ten, Ltd"/>
        <s v="Australian Collectables, Ltd"/>
        <s v="Mini Classics"/>
        <s v="Saveley &amp; Henriot, Co,"/>
        <s v="Super Scale Inc,"/>
        <s v="West Coast Collectables Co,"/>
        <s v="GiftsForHim,com"/>
        <s v="Canadian Gift Exchange Network"/>
        <s v="Diecast Collectables"/>
        <s v="Osaka Souveniers Co,"/>
        <s v="Auto Canal+ Petit"/>
        <s v="Auto Associ s &amp; Cie,"/>
        <s v="Handji Gifts&amp; Co"/>
        <s v="Clover Collections, Co,"/>
        <s v="Petit Auto"/>
        <s v="Collectable Mini Designs Co,"/>
        <s v="Vida Sport, Ltd"/>
        <s v="Cambridge Collectables Co,"/>
        <s v="giftsbymail,co,uk"/>
        <s v="Tekni Collectables Inc,"/>
        <s v="Extreme Desk Decorations, Ltd"/>
        <s v="Royal Canadian Collectables, Ltd,"/>
        <s v="Mini Caravy"/>
        <s v="Microscale Inc,"/>
        <s v="The Sharp Gifts Warehouse"/>
        <s v="Tokyo Collectables, Ltd"/>
        <s v="Gifts4AllAges,com"/>
        <s v="Diecast Classics Inc,"/>
        <s v="La Rochelle Gifts"/>
        <s v="Online Mini Collectables"/>
        <s v="Amica Models &amp; Co,"/>
        <s v="Marta's Replicas Co,"/>
        <s v="Bavarian Collectables Imports, Co,"/>
      </sharedItems>
    </cacheField>
    <cacheField name="country" numFmtId="0">
      <sharedItems count="22">
        <s v="USA"/>
        <s v="Germany"/>
        <s v="Norway"/>
        <s v="Spain"/>
        <s v="Denmark"/>
        <s v="Italy"/>
        <s v="Philippines"/>
        <s v="UK"/>
        <s v="Sweden"/>
        <s v="France"/>
        <s v="Belgium"/>
        <s v="Singapore"/>
        <s v="Austria"/>
        <s v="Australia"/>
        <s v="New Zealand"/>
        <s v="Finland"/>
        <s v="Canada"/>
        <s v="Hong Kong"/>
        <s v="Japan"/>
        <s v="Ireland"/>
        <s v="Switzerland"/>
        <s v="Norway  " u="1"/>
      </sharedItems>
    </cacheField>
    <cacheField name="productLine" numFmtId="0">
      <sharedItems count="7">
        <s v="Vintage Cars"/>
        <s v="Classic Cars"/>
        <s v="Trucks and Buses"/>
        <s v="Trains"/>
        <s v="Ships"/>
        <s v="Planes"/>
        <s v="Motorcycles"/>
      </sharedItems>
    </cacheField>
    <cacheField name="productName" numFmtId="0">
      <sharedItems count="109">
        <s v="1917 Grand Touring Sedan"/>
        <s v="1911 Ford Town Car"/>
        <s v="1932 Alfa Romeo 8C2300 Spider Sport"/>
        <s v="1936 Mercedes Benz 500k Roadster"/>
        <s v="1932 Model A Ford J-Coupe"/>
        <s v="1928 Mercedes-Benz SSK"/>
        <s v="1939 Chevrolet Deluxe Coupe"/>
        <s v="1938 Cadillac V-16 Presidential Limousine"/>
        <s v="1937 Lincoln Berline"/>
        <s v="1936 Mercedes-Benz 500K Special Roadster"/>
        <s v="1952 Alpine Renault 1300"/>
        <s v="1962 LanciaA Delta 16V"/>
        <s v="1958 Setra Bus"/>
        <s v="1940 Ford Pickup Truck"/>
        <s v="1926 Ford Fire Engine"/>
        <s v="1913 Ford Model T Speedster"/>
        <s v="1934 Ford V8 Coupe"/>
        <s v="18th Century Vintage Horse Carriage"/>
        <s v="1917 Maxwell Touring Car"/>
        <s v="1940s Ford truck"/>
        <s v="1939 Cadillac Limousine"/>
        <s v="1962 Volkswagen Microbus"/>
        <s v="1936 Chrysler Airflow"/>
        <s v="1980 s GM Manhattan Express"/>
        <s v="1996 Peterbilt 379 Stake Bed with Outrigger"/>
        <s v="1982 Camaro Z28"/>
        <s v="1969 Corvair Monza"/>
        <s v="1957 Chevy Pickup"/>
        <s v="1998 Chrysler Plymouth Prowler"/>
        <s v="1964 Mercedes Tour Bus"/>
        <s v="1992 Ferrari 360 Spider red"/>
        <s v="1970 Triumph Spitfire"/>
        <s v="1970 Dodge Coronet"/>
        <s v="1958 Chevy Corvette Limited Edition"/>
        <s v="1992 Porsche Cayenne Turbo Silver"/>
        <s v="1954 Greyhound Scenicruiser"/>
        <s v="1950's Chicago Surface Lines Streetcar"/>
        <s v="Diamond T620 Semi-Skirted Tanker"/>
        <s v="1962 City of Detroit Streetcar"/>
        <s v="1972 Alfa Romeo GTA"/>
        <s v="2001 Ferrari Enzo"/>
        <s v="1969 Ford Falcon"/>
        <s v="1903 Ford Model A"/>
        <s v="Collectable Wooden Train"/>
        <s v="1904 Buick Runabout"/>
        <s v="18th century schooner"/>
        <s v="1912 Ford Model T Delivery Wagon"/>
        <s v="1940 Ford Delivery Sedan"/>
        <s v="The Schooner Bluenose"/>
        <s v="The Mayflower"/>
        <s v="The USS Constitution Ship"/>
        <s v="The Titanic"/>
        <s v="The Queen Mary"/>
        <s v="Pont Yacht"/>
        <s v="1980s Black Hawk Helicopter"/>
        <s v="P-51-D Mustang"/>
        <s v="1999 Yamaha Speed Boat"/>
        <s v="1941 Chevrolet Special Deluxe Cabriolet"/>
        <s v="1928 British Royal Navy Airplane"/>
        <s v="1900s Vintage Bi-Plane"/>
        <s v="1937 Horch 930V Limousine"/>
        <s v="Corsair F4U ( Bird Cage)"/>
        <s v="1900s Vintage Tri-Plane"/>
        <s v="1928 Ford Phaeton Deluxe"/>
        <s v="1930 Buick Marquette Phaeton"/>
        <s v="American Airlines: B767-300"/>
        <s v="HMS Bounty"/>
        <s v="America West Airlines B757-200"/>
        <s v="ATA: B757-300"/>
        <s v="F/A 18 Hornet 1/72"/>
        <s v="American Airlines: MD-11S"/>
        <s v="Boeing X-32A JSF"/>
        <s v="1969 Harley Davidson Ultimate Chopper"/>
        <s v="1996 Moto Guzzi 1100i"/>
        <s v="2003 Harley-Davidson Eagle Drag Bike"/>
        <s v="2002 Suzuki XREO"/>
        <s v="1936 Harley Davidson El Knucklehead"/>
        <s v="1997 BMW R 1100 S"/>
        <s v="1960 BSA Gold Star DBD34"/>
        <s v="1997 BMW F650 ST"/>
        <s v="1968 Ford Mustang"/>
        <s v="1968 Dodge Charger"/>
        <s v="1970 Plymouth Hemi Cuda"/>
        <s v="1969 Dodge Charger"/>
        <s v="1948 Porsche 356-A Roadster"/>
        <s v="1969 Dodge Super Bee"/>
        <s v="1976 Ford Gran Torino"/>
        <s v="1957 Vespa GS150"/>
        <s v="1957 Corvette Convertible"/>
        <s v="1982 Ducati 900 Monster"/>
        <s v="1971 Alpine Renault 1600s"/>
        <s v="1956 Porsche 356A Coupe"/>
        <s v="1961 Chevrolet Impala"/>
        <s v="1982 Ducati 996 R"/>
        <s v="1974 Ducati 350 Mk3 Desmo"/>
        <s v="2002 Yamaha YZR M1"/>
        <s v="1993 Mazda RX-7"/>
        <s v="1995 Honda Civic"/>
        <s v="1999 Indy 500 Monte Carlo SS"/>
        <s v="1948 Porsche Type 356 Roadster"/>
        <s v="1982 Lamborghini Diablo"/>
        <s v="1965 Aston Martin DB5"/>
        <s v="1957 Ford Thunderbird"/>
        <s v="1970 Chevy Chevelle SS 454"/>
        <s v="1966 Shelby Cobra 427 S/C"/>
        <s v="1949 Jaguar XK 120"/>
        <s v="1952 Citroen-15CV"/>
        <s v="1969 Chevrolet Camaro Z28"/>
        <s v="2002 Chevy Corvette"/>
      </sharedItems>
    </cacheField>
    <cacheField name="quantityOrdered" numFmtId="0">
      <sharedItems containsSemiMixedTypes="0" containsString="0" containsNumber="1" containsInteger="1" minValue="6" maxValue="97"/>
    </cacheField>
    <cacheField name="priceEach" numFmtId="164">
      <sharedItems containsSemiMixedTypes="0" containsString="0" containsNumber="1" minValue="26.55" maxValue="214.3"/>
    </cacheField>
    <cacheField name="buyPrice" numFmtId="164">
      <sharedItems containsSemiMixedTypes="0" containsString="0" containsNumber="1" minValue="15.91" maxValue="103.42"/>
    </cacheField>
    <cacheField name="Sales" numFmtId="164">
      <sharedItems containsSemiMixedTypes="0" containsString="0" containsNumber="1" minValue="481.5" maxValue="11503.14"/>
    </cacheField>
    <cacheField name="Cost" numFmtId="164">
      <sharedItems containsSemiMixedTypes="0" containsString="0" containsNumber="1" minValue="243.6" maxValue="7470.8"/>
    </cacheField>
    <cacheField name="Profit" numFmtId="164">
      <sharedItems containsSemiMixedTypes="0" containsString="0" containsNumber="1" minValue="79.599999999999994" maxValue="5554.56"/>
    </cacheField>
    <cacheField name="purchaseNumber" numFmtId="0">
      <sharedItems containsSemiMixedTypes="0" containsString="0" containsNumber="1" containsInteger="1" minValue="1" maxValue="25"/>
    </cacheField>
    <cacheField name="Months (orderDate)" numFmtId="0" databaseField="0">
      <fieldGroup base="0">
        <rangePr groupBy="months" startDate="2003-01-06T00:00:00" endDate="2005-06-01T00:00:00"/>
        <groupItems count="14">
          <s v="&lt;06/01/2003"/>
          <s v="Jan"/>
          <s v="Feb"/>
          <s v="Mar"/>
          <s v="Apr"/>
          <s v="May"/>
          <s v="Jun"/>
          <s v="Jul"/>
          <s v="Aug"/>
          <s v="Sep"/>
          <s v="Oct"/>
          <s v="Nov"/>
          <s v="Dec"/>
          <s v="&gt;01/06/2005"/>
        </groupItems>
      </fieldGroup>
    </cacheField>
    <cacheField name="Quarters (orderDate)" numFmtId="0" databaseField="0">
      <fieldGroup base="0">
        <rangePr groupBy="quarters" startDate="2003-01-06T00:00:00" endDate="2005-06-01T00:00:00"/>
        <groupItems count="6">
          <s v="&lt;06/01/2003"/>
          <s v="Qtr1"/>
          <s v="Qtr2"/>
          <s v="Qtr3"/>
          <s v="Qtr4"/>
          <s v="&gt;01/06/2005"/>
        </groupItems>
      </fieldGroup>
    </cacheField>
    <cacheField name="Years (orderDate)" numFmtId="0" databaseField="0">
      <fieldGroup base="0">
        <rangePr groupBy="years" startDate="2003-01-06T00:00:00" endDate="2005-06-01T00:00:00"/>
        <groupItems count="5">
          <s v="&lt;06/01/2003"/>
          <s v="2003"/>
          <s v="2004"/>
          <s v="2005"/>
          <s v="&gt;01/06/2005"/>
        </groupItems>
      </fieldGroup>
    </cacheField>
  </cacheFields>
  <extLst>
    <ext xmlns:x14="http://schemas.microsoft.com/office/spreadsheetml/2009/9/main" uri="{725AE2AE-9491-48be-B2B4-4EB974FC3084}">
      <x14:pivotCacheDefinition pivotCacheId="204753626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96">
  <r>
    <x v="0"/>
    <n v="10100"/>
    <n v="363"/>
    <x v="0"/>
    <x v="0"/>
    <x v="0"/>
    <x v="0"/>
    <n v="30"/>
    <n v="136"/>
    <n v="86.7"/>
    <n v="4080"/>
    <n v="2601"/>
    <n v="1479"/>
    <n v="1"/>
  </r>
  <r>
    <x v="0"/>
    <n v="10100"/>
    <n v="363"/>
    <x v="0"/>
    <x v="0"/>
    <x v="0"/>
    <x v="1"/>
    <n v="50"/>
    <n v="55.09"/>
    <n v="33.299999999999997"/>
    <n v="2754.5"/>
    <n v="1665"/>
    <n v="1089.5"/>
    <n v="1"/>
  </r>
  <r>
    <x v="0"/>
    <n v="10100"/>
    <n v="363"/>
    <x v="0"/>
    <x v="0"/>
    <x v="0"/>
    <x v="2"/>
    <n v="22"/>
    <n v="75.459999999999994"/>
    <n v="43.26"/>
    <n v="1660.12"/>
    <n v="951.72"/>
    <n v="708.4"/>
    <n v="1"/>
  </r>
  <r>
    <x v="0"/>
    <n v="10100"/>
    <n v="363"/>
    <x v="0"/>
    <x v="0"/>
    <x v="0"/>
    <x v="3"/>
    <n v="49"/>
    <n v="35.29"/>
    <n v="21.75"/>
    <n v="1729.21"/>
    <n v="1065.75"/>
    <n v="663.46"/>
    <n v="1"/>
  </r>
  <r>
    <x v="1"/>
    <n v="10101"/>
    <n v="128"/>
    <x v="1"/>
    <x v="1"/>
    <x v="0"/>
    <x v="4"/>
    <n v="25"/>
    <n v="108.06"/>
    <n v="58.48"/>
    <n v="2701.5"/>
    <n v="1462"/>
    <n v="1239.5"/>
    <n v="1"/>
  </r>
  <r>
    <x v="1"/>
    <n v="10101"/>
    <n v="128"/>
    <x v="1"/>
    <x v="1"/>
    <x v="0"/>
    <x v="5"/>
    <n v="26"/>
    <n v="167.06"/>
    <n v="72.56"/>
    <n v="4343.5600000000004"/>
    <n v="1886.56"/>
    <n v="2457"/>
    <n v="1"/>
  </r>
  <r>
    <x v="1"/>
    <n v="10101"/>
    <n v="128"/>
    <x v="1"/>
    <x v="1"/>
    <x v="0"/>
    <x v="6"/>
    <n v="45"/>
    <n v="32.53"/>
    <n v="22.57"/>
    <n v="1463.85"/>
    <n v="1015.65"/>
    <n v="448.2"/>
    <n v="1"/>
  </r>
  <r>
    <x v="1"/>
    <n v="10101"/>
    <n v="128"/>
    <x v="1"/>
    <x v="1"/>
    <x v="0"/>
    <x v="7"/>
    <n v="46"/>
    <n v="44.35"/>
    <n v="20.61"/>
    <n v="2040.1"/>
    <n v="948.06"/>
    <n v="1092.04"/>
    <n v="1"/>
  </r>
  <r>
    <x v="2"/>
    <n v="10102"/>
    <n v="181"/>
    <x v="2"/>
    <x v="0"/>
    <x v="0"/>
    <x v="8"/>
    <n v="39"/>
    <n v="95.55"/>
    <n v="60.62"/>
    <n v="3726.45"/>
    <n v="2364.1799999999998"/>
    <n v="1362.27"/>
    <n v="1"/>
  </r>
  <r>
    <x v="2"/>
    <n v="10102"/>
    <n v="181"/>
    <x v="2"/>
    <x v="0"/>
    <x v="0"/>
    <x v="9"/>
    <n v="41"/>
    <n v="43.13"/>
    <n v="24.26"/>
    <n v="1768.33"/>
    <n v="994.66"/>
    <n v="773.67"/>
    <n v="1"/>
  </r>
  <r>
    <x v="3"/>
    <n v="10103"/>
    <n v="121"/>
    <x v="3"/>
    <x v="2"/>
    <x v="1"/>
    <x v="10"/>
    <n v="26"/>
    <n v="214.3"/>
    <n v="98.58"/>
    <n v="5571.8"/>
    <n v="2563.08"/>
    <n v="3008.72"/>
    <n v="1"/>
  </r>
  <r>
    <x v="3"/>
    <n v="10103"/>
    <n v="121"/>
    <x v="3"/>
    <x v="2"/>
    <x v="1"/>
    <x v="11"/>
    <n v="42"/>
    <n v="119.67"/>
    <n v="103.42"/>
    <n v="5026.1400000000003"/>
    <n v="4343.6400000000003"/>
    <n v="682.5"/>
    <n v="1"/>
  </r>
  <r>
    <x v="3"/>
    <n v="10103"/>
    <n v="121"/>
    <x v="3"/>
    <x v="2"/>
    <x v="2"/>
    <x v="12"/>
    <n v="27"/>
    <n v="121.64"/>
    <n v="77.900000000000006"/>
    <n v="3284.28"/>
    <n v="2103.3000000000002"/>
    <n v="1180.98"/>
    <n v="1"/>
  </r>
  <r>
    <x v="3"/>
    <n v="10103"/>
    <n v="121"/>
    <x v="3"/>
    <x v="2"/>
    <x v="2"/>
    <x v="13"/>
    <n v="35"/>
    <n v="94.5"/>
    <n v="58.33"/>
    <n v="3307.5"/>
    <n v="2041.55"/>
    <n v="1265.95"/>
    <n v="1"/>
  </r>
  <r>
    <x v="3"/>
    <n v="10103"/>
    <n v="121"/>
    <x v="3"/>
    <x v="2"/>
    <x v="2"/>
    <x v="14"/>
    <n v="22"/>
    <n v="58.34"/>
    <n v="24.92"/>
    <n v="1283.48"/>
    <n v="548.24"/>
    <n v="735.24"/>
    <n v="1"/>
  </r>
  <r>
    <x v="3"/>
    <n v="10103"/>
    <n v="121"/>
    <x v="3"/>
    <x v="2"/>
    <x v="0"/>
    <x v="15"/>
    <n v="27"/>
    <n v="92.19"/>
    <n v="60.78"/>
    <n v="2489.13"/>
    <n v="1641.06"/>
    <n v="848.07"/>
    <n v="1"/>
  </r>
  <r>
    <x v="3"/>
    <n v="10103"/>
    <n v="121"/>
    <x v="3"/>
    <x v="2"/>
    <x v="0"/>
    <x v="16"/>
    <n v="35"/>
    <n v="61.84"/>
    <n v="34.35"/>
    <n v="2164.4"/>
    <n v="1202.25"/>
    <n v="962.15"/>
    <n v="1"/>
  </r>
  <r>
    <x v="3"/>
    <n v="10103"/>
    <n v="121"/>
    <x v="3"/>
    <x v="2"/>
    <x v="0"/>
    <x v="17"/>
    <n v="25"/>
    <n v="86.92"/>
    <n v="60.74"/>
    <n v="2173"/>
    <n v="1518.5"/>
    <n v="654.5"/>
    <n v="1"/>
  </r>
  <r>
    <x v="3"/>
    <n v="10103"/>
    <n v="121"/>
    <x v="3"/>
    <x v="2"/>
    <x v="0"/>
    <x v="18"/>
    <n v="46"/>
    <n v="86.31"/>
    <n v="57.54"/>
    <n v="3970.26"/>
    <n v="2646.84"/>
    <n v="1323.42"/>
    <n v="1"/>
  </r>
  <r>
    <x v="3"/>
    <n v="10103"/>
    <n v="121"/>
    <x v="3"/>
    <x v="2"/>
    <x v="2"/>
    <x v="19"/>
    <n v="36"/>
    <n v="98.07"/>
    <n v="84.76"/>
    <n v="3530.52"/>
    <n v="3051.36"/>
    <n v="479.16"/>
    <n v="1"/>
  </r>
  <r>
    <x v="3"/>
    <n v="10103"/>
    <n v="121"/>
    <x v="3"/>
    <x v="2"/>
    <x v="0"/>
    <x v="20"/>
    <n v="41"/>
    <n v="40.75"/>
    <n v="23.14"/>
    <n v="1670.75"/>
    <n v="948.74"/>
    <n v="722.01"/>
    <n v="1"/>
  </r>
  <r>
    <x v="3"/>
    <n v="10103"/>
    <n v="121"/>
    <x v="3"/>
    <x v="2"/>
    <x v="2"/>
    <x v="21"/>
    <n v="36"/>
    <n v="107.34"/>
    <n v="61.34"/>
    <n v="3864.24"/>
    <n v="2208.2399999999998"/>
    <n v="1656"/>
    <n v="1"/>
  </r>
  <r>
    <x v="3"/>
    <n v="10103"/>
    <n v="121"/>
    <x v="3"/>
    <x v="2"/>
    <x v="0"/>
    <x v="22"/>
    <n v="25"/>
    <n v="88.62"/>
    <n v="57.46"/>
    <n v="2215.5"/>
    <n v="1436.5"/>
    <n v="779"/>
    <n v="1"/>
  </r>
  <r>
    <x v="3"/>
    <n v="10103"/>
    <n v="121"/>
    <x v="3"/>
    <x v="2"/>
    <x v="2"/>
    <x v="23"/>
    <n v="31"/>
    <n v="92.46"/>
    <n v="53.93"/>
    <n v="2866.26"/>
    <n v="1671.83"/>
    <n v="1194.43"/>
    <n v="1"/>
  </r>
  <r>
    <x v="3"/>
    <n v="10103"/>
    <n v="121"/>
    <x v="3"/>
    <x v="2"/>
    <x v="2"/>
    <x v="24"/>
    <n v="45"/>
    <n v="63.35"/>
    <n v="33.61"/>
    <n v="2850.75"/>
    <n v="1512.45"/>
    <n v="1338.3"/>
    <n v="1"/>
  </r>
  <r>
    <x v="3"/>
    <n v="10103"/>
    <n v="121"/>
    <x v="3"/>
    <x v="2"/>
    <x v="1"/>
    <x v="25"/>
    <n v="42"/>
    <n v="94.07"/>
    <n v="46.53"/>
    <n v="3950.94"/>
    <n v="1954.26"/>
    <n v="1996.68"/>
    <n v="1"/>
  </r>
  <r>
    <x v="4"/>
    <n v="10104"/>
    <n v="141"/>
    <x v="4"/>
    <x v="3"/>
    <x v="1"/>
    <x v="26"/>
    <n v="34"/>
    <n v="131.44"/>
    <n v="89.14"/>
    <n v="4468.96"/>
    <n v="3030.76"/>
    <n v="1438.2"/>
    <n v="1"/>
  </r>
  <r>
    <x v="4"/>
    <n v="10104"/>
    <n v="141"/>
    <x v="4"/>
    <x v="3"/>
    <x v="2"/>
    <x v="27"/>
    <n v="41"/>
    <n v="111.39"/>
    <n v="55.7"/>
    <n v="4566.99"/>
    <n v="2283.6999999999998"/>
    <n v="2283.29"/>
    <n v="1"/>
  </r>
  <r>
    <x v="4"/>
    <n v="10104"/>
    <n v="141"/>
    <x v="4"/>
    <x v="3"/>
    <x v="1"/>
    <x v="28"/>
    <n v="24"/>
    <n v="135.9"/>
    <n v="101.51"/>
    <n v="3261.6"/>
    <n v="2436.2399999999998"/>
    <n v="825.36"/>
    <n v="1"/>
  </r>
  <r>
    <x v="4"/>
    <n v="10104"/>
    <n v="141"/>
    <x v="4"/>
    <x v="3"/>
    <x v="2"/>
    <x v="29"/>
    <n v="29"/>
    <n v="122.73"/>
    <n v="74.86"/>
    <n v="3559.17"/>
    <n v="2170.94"/>
    <n v="1388.23"/>
    <n v="1"/>
  </r>
  <r>
    <x v="4"/>
    <n v="10104"/>
    <n v="141"/>
    <x v="4"/>
    <x v="3"/>
    <x v="1"/>
    <x v="30"/>
    <n v="23"/>
    <n v="165.95"/>
    <n v="77.900000000000006"/>
    <n v="3816.85"/>
    <n v="1791.7"/>
    <n v="2025.15"/>
    <n v="1"/>
  </r>
  <r>
    <x v="4"/>
    <n v="10104"/>
    <n v="141"/>
    <x v="4"/>
    <x v="3"/>
    <x v="1"/>
    <x v="31"/>
    <n v="38"/>
    <n v="119.2"/>
    <n v="91.92"/>
    <n v="4529.6000000000004"/>
    <n v="3492.96"/>
    <n v="1036.6400000000001"/>
    <n v="1"/>
  </r>
  <r>
    <x v="4"/>
    <n v="10104"/>
    <n v="141"/>
    <x v="4"/>
    <x v="3"/>
    <x v="1"/>
    <x v="32"/>
    <n v="35"/>
    <n v="52.02"/>
    <n v="32.369999999999997"/>
    <n v="1820.7"/>
    <n v="1132.95"/>
    <n v="687.75"/>
    <n v="1"/>
  </r>
  <r>
    <x v="4"/>
    <n v="10104"/>
    <n v="141"/>
    <x v="4"/>
    <x v="3"/>
    <x v="1"/>
    <x v="33"/>
    <n v="44"/>
    <n v="30.41"/>
    <n v="15.91"/>
    <n v="1338.04"/>
    <n v="700.04"/>
    <n v="638"/>
    <n v="1"/>
  </r>
  <r>
    <x v="4"/>
    <n v="10104"/>
    <n v="141"/>
    <x v="4"/>
    <x v="3"/>
    <x v="1"/>
    <x v="34"/>
    <n v="26"/>
    <n v="106.45"/>
    <n v="69.78"/>
    <n v="2767.7"/>
    <n v="1814.28"/>
    <n v="953.42"/>
    <n v="1"/>
  </r>
  <r>
    <x v="4"/>
    <n v="10104"/>
    <n v="141"/>
    <x v="4"/>
    <x v="3"/>
    <x v="2"/>
    <x v="35"/>
    <n v="35"/>
    <n v="51.95"/>
    <n v="25.98"/>
    <n v="1818.25"/>
    <n v="909.3"/>
    <n v="908.95"/>
    <n v="1"/>
  </r>
  <r>
    <x v="4"/>
    <n v="10104"/>
    <n v="141"/>
    <x v="4"/>
    <x v="3"/>
    <x v="3"/>
    <x v="36"/>
    <n v="49"/>
    <n v="56.55"/>
    <n v="26.72"/>
    <n v="2770.95"/>
    <n v="1309.28"/>
    <n v="1461.67"/>
    <n v="1"/>
  </r>
  <r>
    <x v="4"/>
    <n v="10104"/>
    <n v="141"/>
    <x v="4"/>
    <x v="3"/>
    <x v="2"/>
    <x v="37"/>
    <n v="33"/>
    <n v="114.59"/>
    <n v="68.290000000000006"/>
    <n v="3781.47"/>
    <n v="2253.5700000000002"/>
    <n v="1527.9"/>
    <n v="1"/>
  </r>
  <r>
    <x v="4"/>
    <n v="10104"/>
    <n v="141"/>
    <x v="4"/>
    <x v="3"/>
    <x v="3"/>
    <x v="38"/>
    <n v="32"/>
    <n v="53.31"/>
    <n v="37.49"/>
    <n v="1705.92"/>
    <n v="1199.68"/>
    <n v="506.24"/>
    <n v="1"/>
  </r>
  <r>
    <x v="5"/>
    <n v="10105"/>
    <n v="145"/>
    <x v="5"/>
    <x v="4"/>
    <x v="1"/>
    <x v="39"/>
    <n v="50"/>
    <n v="127.84"/>
    <n v="85.68"/>
    <n v="6392"/>
    <n v="4284"/>
    <n v="2108"/>
    <n v="1"/>
  </r>
  <r>
    <x v="5"/>
    <n v="10105"/>
    <n v="145"/>
    <x v="5"/>
    <x v="4"/>
    <x v="1"/>
    <x v="40"/>
    <n v="41"/>
    <n v="205.72"/>
    <n v="95.59"/>
    <n v="8434.52"/>
    <n v="3919.19"/>
    <n v="4515.33"/>
    <n v="1"/>
  </r>
  <r>
    <x v="5"/>
    <n v="10105"/>
    <n v="145"/>
    <x v="5"/>
    <x v="4"/>
    <x v="1"/>
    <x v="41"/>
    <n v="29"/>
    <n v="141.88"/>
    <n v="83.05"/>
    <n v="4114.5200000000004"/>
    <n v="2408.4499999999998"/>
    <n v="1706.07"/>
    <n v="1"/>
  </r>
  <r>
    <x v="5"/>
    <n v="10105"/>
    <n v="145"/>
    <x v="5"/>
    <x v="4"/>
    <x v="0"/>
    <x v="42"/>
    <n v="22"/>
    <n v="136.59"/>
    <n v="68.3"/>
    <n v="3004.98"/>
    <n v="1502.6"/>
    <n v="1502.38"/>
    <n v="1"/>
  </r>
  <r>
    <x v="5"/>
    <n v="10105"/>
    <n v="145"/>
    <x v="5"/>
    <x v="4"/>
    <x v="3"/>
    <x v="43"/>
    <n v="38"/>
    <n v="87.73"/>
    <n v="67.56"/>
    <n v="3333.74"/>
    <n v="2567.2800000000002"/>
    <n v="766.46"/>
    <n v="1"/>
  </r>
  <r>
    <x v="5"/>
    <n v="10105"/>
    <n v="145"/>
    <x v="5"/>
    <x v="4"/>
    <x v="0"/>
    <x v="44"/>
    <n v="41"/>
    <n v="75.48"/>
    <n v="52.66"/>
    <n v="3094.68"/>
    <n v="2159.06"/>
    <n v="935.62"/>
    <n v="1"/>
  </r>
  <r>
    <x v="5"/>
    <n v="10105"/>
    <n v="145"/>
    <x v="5"/>
    <x v="4"/>
    <x v="4"/>
    <x v="45"/>
    <n v="43"/>
    <n v="117.97"/>
    <n v="82.34"/>
    <n v="5072.71"/>
    <n v="3540.62"/>
    <n v="1532.09"/>
    <n v="1"/>
  </r>
  <r>
    <x v="5"/>
    <n v="10105"/>
    <n v="145"/>
    <x v="5"/>
    <x v="4"/>
    <x v="0"/>
    <x v="46"/>
    <n v="44"/>
    <n v="73.459999999999994"/>
    <n v="46.91"/>
    <n v="3232.24"/>
    <n v="2064.04"/>
    <n v="1168.2"/>
    <n v="1"/>
  </r>
  <r>
    <x v="5"/>
    <n v="10105"/>
    <n v="145"/>
    <x v="5"/>
    <x v="4"/>
    <x v="0"/>
    <x v="47"/>
    <n v="50"/>
    <n v="75.47"/>
    <n v="48.64"/>
    <n v="3773.5"/>
    <n v="2432"/>
    <n v="1341.5"/>
    <n v="1"/>
  </r>
  <r>
    <x v="5"/>
    <n v="10105"/>
    <n v="145"/>
    <x v="5"/>
    <x v="4"/>
    <x v="4"/>
    <x v="48"/>
    <n v="41"/>
    <n v="54"/>
    <n v="34"/>
    <n v="2214"/>
    <n v="1394"/>
    <n v="820"/>
    <n v="1"/>
  </r>
  <r>
    <x v="5"/>
    <n v="10105"/>
    <n v="145"/>
    <x v="5"/>
    <x v="4"/>
    <x v="4"/>
    <x v="49"/>
    <n v="29"/>
    <n v="86.61"/>
    <n v="43.3"/>
    <n v="2511.69"/>
    <n v="1255.7"/>
    <n v="1255.99"/>
    <n v="1"/>
  </r>
  <r>
    <x v="5"/>
    <n v="10105"/>
    <n v="145"/>
    <x v="5"/>
    <x v="4"/>
    <x v="4"/>
    <x v="50"/>
    <n v="31"/>
    <n v="60.72"/>
    <n v="33.97"/>
    <n v="1882.32"/>
    <n v="1053.07"/>
    <n v="829.25"/>
    <n v="1"/>
  </r>
  <r>
    <x v="5"/>
    <n v="10105"/>
    <n v="145"/>
    <x v="5"/>
    <x v="4"/>
    <x v="4"/>
    <x v="51"/>
    <n v="39"/>
    <n v="92.16"/>
    <n v="51.09"/>
    <n v="3594.24"/>
    <n v="1992.51"/>
    <n v="1601.73"/>
    <n v="1"/>
  </r>
  <r>
    <x v="5"/>
    <n v="10105"/>
    <n v="145"/>
    <x v="5"/>
    <x v="4"/>
    <x v="4"/>
    <x v="52"/>
    <n v="22"/>
    <n v="99.31"/>
    <n v="53.63"/>
    <n v="2184.8200000000002"/>
    <n v="1179.8599999999999"/>
    <n v="1004.96"/>
    <n v="1"/>
  </r>
  <r>
    <x v="5"/>
    <n v="10105"/>
    <n v="145"/>
    <x v="5"/>
    <x v="4"/>
    <x v="4"/>
    <x v="53"/>
    <n v="25"/>
    <n v="44.77"/>
    <n v="33.299999999999997"/>
    <n v="1119.25"/>
    <n v="832.5"/>
    <n v="286.75"/>
    <n v="1"/>
  </r>
  <r>
    <x v="6"/>
    <n v="10106"/>
    <n v="278"/>
    <x v="6"/>
    <x v="5"/>
    <x v="5"/>
    <x v="54"/>
    <n v="36"/>
    <n v="134.04"/>
    <n v="77.27"/>
    <n v="4825.4399999999996"/>
    <n v="2781.72"/>
    <n v="2043.72"/>
    <n v="1"/>
  </r>
  <r>
    <x v="6"/>
    <n v="10106"/>
    <n v="278"/>
    <x v="6"/>
    <x v="5"/>
    <x v="5"/>
    <x v="55"/>
    <n v="34"/>
    <n v="81.099999999999994"/>
    <n v="49"/>
    <n v="2757.4"/>
    <n v="1666"/>
    <n v="1091.4000000000001"/>
    <n v="1"/>
  </r>
  <r>
    <x v="6"/>
    <n v="10106"/>
    <n v="278"/>
    <x v="6"/>
    <x v="5"/>
    <x v="4"/>
    <x v="56"/>
    <n v="41"/>
    <n v="80.86"/>
    <n v="51.61"/>
    <n v="3315.26"/>
    <n v="2116.0100000000002"/>
    <n v="1199.25"/>
    <n v="1"/>
  </r>
  <r>
    <x v="6"/>
    <n v="10106"/>
    <n v="278"/>
    <x v="6"/>
    <x v="5"/>
    <x v="0"/>
    <x v="57"/>
    <n v="41"/>
    <n v="94.22"/>
    <n v="64.58"/>
    <n v="3863.02"/>
    <n v="2647.78"/>
    <n v="1215.24"/>
    <n v="1"/>
  </r>
  <r>
    <x v="6"/>
    <n v="10106"/>
    <n v="278"/>
    <x v="6"/>
    <x v="5"/>
    <x v="5"/>
    <x v="58"/>
    <n v="28"/>
    <n v="107.23"/>
    <n v="66.739999999999995"/>
    <n v="3002.44"/>
    <n v="1868.72"/>
    <n v="1133.72"/>
    <n v="1"/>
  </r>
  <r>
    <x v="6"/>
    <n v="10106"/>
    <n v="278"/>
    <x v="6"/>
    <x v="5"/>
    <x v="5"/>
    <x v="59"/>
    <n v="49"/>
    <n v="65.77"/>
    <n v="34.25"/>
    <n v="3222.73"/>
    <n v="1678.25"/>
    <n v="1544.48"/>
    <n v="1"/>
  </r>
  <r>
    <x v="6"/>
    <n v="10106"/>
    <n v="278"/>
    <x v="6"/>
    <x v="5"/>
    <x v="0"/>
    <x v="60"/>
    <n v="31"/>
    <n v="55.89"/>
    <n v="26.3"/>
    <n v="1732.59"/>
    <n v="815.3"/>
    <n v="917.29"/>
    <n v="1"/>
  </r>
  <r>
    <x v="6"/>
    <n v="10106"/>
    <n v="278"/>
    <x v="6"/>
    <x v="5"/>
    <x v="5"/>
    <x v="61"/>
    <n v="50"/>
    <n v="55.96"/>
    <n v="29.34"/>
    <n v="2798"/>
    <n v="1467"/>
    <n v="1331"/>
    <n v="1"/>
  </r>
  <r>
    <x v="6"/>
    <n v="10106"/>
    <n v="278"/>
    <x v="6"/>
    <x v="5"/>
    <x v="5"/>
    <x v="62"/>
    <n v="26"/>
    <n v="71"/>
    <n v="36.229999999999997"/>
    <n v="1846"/>
    <n v="941.98"/>
    <n v="904.02"/>
    <n v="1"/>
  </r>
  <r>
    <x v="6"/>
    <n v="10106"/>
    <n v="278"/>
    <x v="6"/>
    <x v="5"/>
    <x v="0"/>
    <x v="63"/>
    <n v="33"/>
    <n v="65.349999999999994"/>
    <n v="33.020000000000003"/>
    <n v="2156.5500000000002"/>
    <n v="1089.6600000000001"/>
    <n v="1066.8900000000001"/>
    <n v="1"/>
  </r>
  <r>
    <x v="6"/>
    <n v="10106"/>
    <n v="278"/>
    <x v="6"/>
    <x v="5"/>
    <x v="0"/>
    <x v="64"/>
    <n v="39"/>
    <n v="35.78"/>
    <n v="27.06"/>
    <n v="1395.42"/>
    <n v="1055.3399999999999"/>
    <n v="340.08"/>
    <n v="1"/>
  </r>
  <r>
    <x v="6"/>
    <n v="10106"/>
    <n v="278"/>
    <x v="6"/>
    <x v="5"/>
    <x v="5"/>
    <x v="65"/>
    <n v="31"/>
    <n v="91.34"/>
    <n v="51.15"/>
    <n v="2831.54"/>
    <n v="1585.65"/>
    <n v="1245.8900000000001"/>
    <n v="1"/>
  </r>
  <r>
    <x v="6"/>
    <n v="10106"/>
    <n v="278"/>
    <x v="6"/>
    <x v="5"/>
    <x v="4"/>
    <x v="66"/>
    <n v="30"/>
    <n v="85.09"/>
    <n v="39.83"/>
    <n v="2552.6999999999998"/>
    <n v="1194.9000000000001"/>
    <n v="1357.8"/>
    <n v="1"/>
  </r>
  <r>
    <x v="6"/>
    <n v="10106"/>
    <n v="278"/>
    <x v="6"/>
    <x v="5"/>
    <x v="5"/>
    <x v="67"/>
    <n v="34"/>
    <n v="99.72"/>
    <n v="68.8"/>
    <n v="3390.48"/>
    <n v="2339.1999999999998"/>
    <n v="1051.28"/>
    <n v="1"/>
  </r>
  <r>
    <x v="6"/>
    <n v="10106"/>
    <n v="278"/>
    <x v="6"/>
    <x v="5"/>
    <x v="5"/>
    <x v="68"/>
    <n v="32"/>
    <n v="113.9"/>
    <n v="59.33"/>
    <n v="3644.8"/>
    <n v="1898.56"/>
    <n v="1746.24"/>
    <n v="1"/>
  </r>
  <r>
    <x v="6"/>
    <n v="10106"/>
    <n v="278"/>
    <x v="6"/>
    <x v="5"/>
    <x v="5"/>
    <x v="69"/>
    <n v="44"/>
    <n v="76"/>
    <n v="54.4"/>
    <n v="3344"/>
    <n v="2393.6"/>
    <n v="950.4"/>
    <n v="1"/>
  </r>
  <r>
    <x v="6"/>
    <n v="10106"/>
    <n v="278"/>
    <x v="6"/>
    <x v="5"/>
    <x v="5"/>
    <x v="70"/>
    <n v="48"/>
    <n v="70.33"/>
    <n v="36.270000000000003"/>
    <n v="3375.84"/>
    <n v="1740.96"/>
    <n v="1634.88"/>
    <n v="1"/>
  </r>
  <r>
    <x v="6"/>
    <n v="10106"/>
    <n v="278"/>
    <x v="6"/>
    <x v="5"/>
    <x v="5"/>
    <x v="71"/>
    <n v="48"/>
    <n v="43.7"/>
    <n v="32.770000000000003"/>
    <n v="2097.6"/>
    <n v="1572.96"/>
    <n v="524.64"/>
    <n v="1"/>
  </r>
  <r>
    <x v="7"/>
    <n v="10107"/>
    <n v="131"/>
    <x v="7"/>
    <x v="0"/>
    <x v="6"/>
    <x v="72"/>
    <n v="30"/>
    <n v="81.349999999999994"/>
    <n v="48.81"/>
    <n v="2440.5"/>
    <n v="1464.3"/>
    <n v="976.2"/>
    <n v="1"/>
  </r>
  <r>
    <x v="7"/>
    <n v="10107"/>
    <n v="131"/>
    <x v="7"/>
    <x v="0"/>
    <x v="6"/>
    <x v="73"/>
    <n v="39"/>
    <n v="105.86"/>
    <n v="68.989999999999995"/>
    <n v="4128.54"/>
    <n v="2690.61"/>
    <n v="1437.93"/>
    <n v="1"/>
  </r>
  <r>
    <x v="7"/>
    <n v="10107"/>
    <n v="131"/>
    <x v="7"/>
    <x v="0"/>
    <x v="6"/>
    <x v="74"/>
    <n v="27"/>
    <n v="172.36"/>
    <n v="91.02"/>
    <n v="4653.72"/>
    <n v="2457.54"/>
    <n v="2196.1799999999998"/>
    <n v="1"/>
  </r>
  <r>
    <x v="7"/>
    <n v="10107"/>
    <n v="131"/>
    <x v="7"/>
    <x v="0"/>
    <x v="6"/>
    <x v="75"/>
    <n v="21"/>
    <n v="122"/>
    <n v="66.27"/>
    <n v="2562"/>
    <n v="1391.67"/>
    <n v="1170.33"/>
    <n v="1"/>
  </r>
  <r>
    <x v="7"/>
    <n v="10107"/>
    <n v="131"/>
    <x v="7"/>
    <x v="0"/>
    <x v="6"/>
    <x v="76"/>
    <n v="29"/>
    <n v="52.7"/>
    <n v="24.23"/>
    <n v="1528.3"/>
    <n v="702.67"/>
    <n v="825.63"/>
    <n v="1"/>
  </r>
  <r>
    <x v="7"/>
    <n v="10107"/>
    <n v="131"/>
    <x v="7"/>
    <x v="0"/>
    <x v="6"/>
    <x v="77"/>
    <n v="25"/>
    <n v="96.92"/>
    <n v="60.86"/>
    <n v="2423"/>
    <n v="1521.5"/>
    <n v="901.5"/>
    <n v="1"/>
  </r>
  <r>
    <x v="7"/>
    <n v="10107"/>
    <n v="131"/>
    <x v="7"/>
    <x v="0"/>
    <x v="6"/>
    <x v="78"/>
    <n v="38"/>
    <n v="73.12"/>
    <n v="37.32"/>
    <n v="2778.56"/>
    <n v="1418.16"/>
    <n v="1360.4"/>
    <n v="1"/>
  </r>
  <r>
    <x v="7"/>
    <n v="10107"/>
    <n v="131"/>
    <x v="7"/>
    <x v="0"/>
    <x v="6"/>
    <x v="79"/>
    <n v="20"/>
    <n v="88.9"/>
    <n v="66.92"/>
    <n v="1778"/>
    <n v="1338.4"/>
    <n v="439.6"/>
    <n v="1"/>
  </r>
  <r>
    <x v="8"/>
    <n v="10108"/>
    <n v="385"/>
    <x v="8"/>
    <x v="6"/>
    <x v="1"/>
    <x v="80"/>
    <n v="33"/>
    <n v="165.38"/>
    <n v="95.34"/>
    <n v="5457.54"/>
    <n v="3146.22"/>
    <n v="2311.3200000000002"/>
    <n v="1"/>
  </r>
  <r>
    <x v="8"/>
    <n v="10108"/>
    <n v="385"/>
    <x v="8"/>
    <x v="6"/>
    <x v="1"/>
    <x v="81"/>
    <n v="45"/>
    <n v="96.3"/>
    <n v="75.16"/>
    <n v="4333.5"/>
    <n v="3382.2"/>
    <n v="951.3"/>
    <n v="1"/>
  </r>
  <r>
    <x v="8"/>
    <n v="10108"/>
    <n v="385"/>
    <x v="8"/>
    <x v="6"/>
    <x v="1"/>
    <x v="82"/>
    <n v="39"/>
    <n v="75.81"/>
    <n v="31.92"/>
    <n v="2956.59"/>
    <n v="1244.8800000000001"/>
    <n v="1711.71"/>
    <n v="1"/>
  </r>
  <r>
    <x v="8"/>
    <n v="10108"/>
    <n v="385"/>
    <x v="8"/>
    <x v="6"/>
    <x v="1"/>
    <x v="83"/>
    <n v="36"/>
    <n v="107.1"/>
    <n v="58.73"/>
    <n v="3855.6"/>
    <n v="2114.2800000000002"/>
    <n v="1741.32"/>
    <n v="1"/>
  </r>
  <r>
    <x v="8"/>
    <n v="10108"/>
    <n v="385"/>
    <x v="8"/>
    <x v="6"/>
    <x v="1"/>
    <x v="84"/>
    <n v="38"/>
    <n v="67.760000000000005"/>
    <n v="53.9"/>
    <n v="2574.88"/>
    <n v="2048.1999999999998"/>
    <n v="526.67999999999995"/>
    <n v="1"/>
  </r>
  <r>
    <x v="8"/>
    <n v="10108"/>
    <n v="385"/>
    <x v="8"/>
    <x v="6"/>
    <x v="1"/>
    <x v="85"/>
    <n v="26"/>
    <n v="73.17"/>
    <n v="49.05"/>
    <n v="1902.42"/>
    <n v="1275.3"/>
    <n v="627.12"/>
    <n v="1"/>
  </r>
  <r>
    <x v="8"/>
    <n v="10108"/>
    <n v="385"/>
    <x v="8"/>
    <x v="6"/>
    <x v="1"/>
    <x v="86"/>
    <n v="29"/>
    <n v="132.29"/>
    <n v="73.489999999999995"/>
    <n v="3836.41"/>
    <n v="2131.21"/>
    <n v="1705.2"/>
    <n v="1"/>
  </r>
  <r>
    <x v="8"/>
    <n v="10108"/>
    <n v="385"/>
    <x v="8"/>
    <x v="6"/>
    <x v="6"/>
    <x v="87"/>
    <n v="43"/>
    <n v="52.84"/>
    <n v="32.950000000000003"/>
    <n v="2272.12"/>
    <n v="1416.85"/>
    <n v="855.27"/>
    <n v="1"/>
  </r>
  <r>
    <x v="8"/>
    <n v="10108"/>
    <n v="385"/>
    <x v="8"/>
    <x v="6"/>
    <x v="1"/>
    <x v="88"/>
    <n v="44"/>
    <n v="139.87"/>
    <n v="69.930000000000007"/>
    <n v="6154.28"/>
    <n v="3076.92"/>
    <n v="3077.36"/>
    <n v="1"/>
  </r>
  <r>
    <x v="8"/>
    <n v="10108"/>
    <n v="385"/>
    <x v="8"/>
    <x v="6"/>
    <x v="6"/>
    <x v="89"/>
    <n v="35"/>
    <n v="64.41"/>
    <n v="47.1"/>
    <n v="2254.35"/>
    <n v="1648.5"/>
    <n v="605.85"/>
    <n v="1"/>
  </r>
  <r>
    <x v="8"/>
    <n v="10108"/>
    <n v="385"/>
    <x v="8"/>
    <x v="6"/>
    <x v="1"/>
    <x v="90"/>
    <n v="30"/>
    <n v="60.01"/>
    <n v="38.58"/>
    <n v="1800.3"/>
    <n v="1157.4000000000001"/>
    <n v="642.9"/>
    <n v="1"/>
  </r>
  <r>
    <x v="8"/>
    <n v="10108"/>
    <n v="385"/>
    <x v="8"/>
    <x v="6"/>
    <x v="1"/>
    <x v="91"/>
    <n v="40"/>
    <n v="132"/>
    <n v="98.3"/>
    <n v="5280"/>
    <n v="3932"/>
    <n v="1348"/>
    <n v="1"/>
  </r>
  <r>
    <x v="8"/>
    <n v="10108"/>
    <n v="385"/>
    <x v="8"/>
    <x v="6"/>
    <x v="1"/>
    <x v="92"/>
    <n v="31"/>
    <n v="67.099999999999994"/>
    <n v="32.33"/>
    <n v="2080.1"/>
    <n v="1002.23"/>
    <n v="1077.8699999999999"/>
    <n v="1"/>
  </r>
  <r>
    <x v="8"/>
    <n v="10108"/>
    <n v="385"/>
    <x v="8"/>
    <x v="6"/>
    <x v="6"/>
    <x v="93"/>
    <n v="27"/>
    <n v="36.21"/>
    <n v="24.14"/>
    <n v="977.67"/>
    <n v="651.78"/>
    <n v="325.89"/>
    <n v="1"/>
  </r>
  <r>
    <x v="8"/>
    <n v="10108"/>
    <n v="385"/>
    <x v="8"/>
    <x v="6"/>
    <x v="6"/>
    <x v="94"/>
    <n v="31"/>
    <n v="87.76"/>
    <n v="56.13"/>
    <n v="2720.56"/>
    <n v="1740.03"/>
    <n v="980.53"/>
    <n v="1"/>
  </r>
  <r>
    <x v="8"/>
    <n v="10108"/>
    <n v="385"/>
    <x v="8"/>
    <x v="6"/>
    <x v="6"/>
    <x v="95"/>
    <n v="34"/>
    <n v="74.849999999999994"/>
    <n v="34.17"/>
    <n v="2544.9"/>
    <n v="1161.78"/>
    <n v="1383.12"/>
    <n v="1"/>
  </r>
  <r>
    <x v="9"/>
    <n v="10109"/>
    <n v="486"/>
    <x v="9"/>
    <x v="0"/>
    <x v="1"/>
    <x v="96"/>
    <n v="26"/>
    <n v="117.48"/>
    <n v="83.51"/>
    <n v="3054.48"/>
    <n v="2171.2600000000002"/>
    <n v="883.22"/>
    <n v="1"/>
  </r>
  <r>
    <x v="9"/>
    <n v="10109"/>
    <n v="486"/>
    <x v="9"/>
    <x v="0"/>
    <x v="1"/>
    <x v="97"/>
    <n v="38"/>
    <n v="137.97999999999999"/>
    <n v="93.89"/>
    <n v="5243.24"/>
    <n v="3567.82"/>
    <n v="1675.42"/>
    <n v="1"/>
  </r>
  <r>
    <x v="9"/>
    <n v="10109"/>
    <n v="486"/>
    <x v="9"/>
    <x v="0"/>
    <x v="1"/>
    <x v="98"/>
    <n v="26"/>
    <n v="126.72"/>
    <n v="56.76"/>
    <n v="3294.72"/>
    <n v="1475.76"/>
    <n v="1818.96"/>
    <n v="1"/>
  </r>
  <r>
    <x v="9"/>
    <n v="10109"/>
    <n v="486"/>
    <x v="9"/>
    <x v="0"/>
    <x v="1"/>
    <x v="30"/>
    <n v="46"/>
    <n v="160.87"/>
    <n v="77.900000000000006"/>
    <n v="7400.02"/>
    <n v="3583.4"/>
    <n v="3816.62"/>
    <n v="1"/>
  </r>
  <r>
    <x v="9"/>
    <n v="10109"/>
    <n v="486"/>
    <x v="9"/>
    <x v="0"/>
    <x v="1"/>
    <x v="99"/>
    <n v="47"/>
    <n v="125.74"/>
    <n v="62.16"/>
    <n v="5909.78"/>
    <n v="2921.52"/>
    <n v="2988.26"/>
    <n v="1"/>
  </r>
  <r>
    <x v="9"/>
    <n v="10109"/>
    <n v="486"/>
    <x v="9"/>
    <x v="0"/>
    <x v="1"/>
    <x v="100"/>
    <n v="29"/>
    <n v="32.1"/>
    <n v="16.239999999999998"/>
    <n v="930.9"/>
    <n v="470.96"/>
    <n v="459.94"/>
    <n v="1"/>
  </r>
  <r>
    <x v="10"/>
    <n v="10110"/>
    <n v="187"/>
    <x v="10"/>
    <x v="7"/>
    <x v="1"/>
    <x v="101"/>
    <n v="37"/>
    <n v="118.22"/>
    <n v="65.959999999999994"/>
    <n v="4374.1400000000003"/>
    <n v="2440.52"/>
    <n v="1933.62"/>
    <n v="1"/>
  </r>
  <r>
    <x v="10"/>
    <n v="10110"/>
    <n v="187"/>
    <x v="10"/>
    <x v="7"/>
    <x v="0"/>
    <x v="0"/>
    <n v="42"/>
    <n v="153"/>
    <n v="86.7"/>
    <n v="6426"/>
    <n v="3641.4"/>
    <n v="2784.6"/>
    <n v="1"/>
  </r>
  <r>
    <x v="10"/>
    <n v="10110"/>
    <n v="187"/>
    <x v="10"/>
    <x v="7"/>
    <x v="0"/>
    <x v="1"/>
    <n v="32"/>
    <n v="51.46"/>
    <n v="33.299999999999997"/>
    <n v="1646.72"/>
    <n v="1065.5999999999999"/>
    <n v="581.12"/>
    <n v="1"/>
  </r>
  <r>
    <x v="10"/>
    <n v="10110"/>
    <n v="187"/>
    <x v="10"/>
    <x v="7"/>
    <x v="0"/>
    <x v="4"/>
    <n v="33"/>
    <n v="115.69"/>
    <n v="58.48"/>
    <n v="3817.77"/>
    <n v="1929.84"/>
    <n v="1887.93"/>
    <n v="1"/>
  </r>
  <r>
    <x v="10"/>
    <n v="10110"/>
    <n v="187"/>
    <x v="10"/>
    <x v="7"/>
    <x v="0"/>
    <x v="5"/>
    <n v="31"/>
    <n v="163.69"/>
    <n v="72.56"/>
    <n v="5074.3900000000003"/>
    <n v="2249.36"/>
    <n v="2825.03"/>
    <n v="1"/>
  </r>
  <r>
    <x v="10"/>
    <n v="10110"/>
    <n v="187"/>
    <x v="10"/>
    <x v="7"/>
    <x v="0"/>
    <x v="2"/>
    <n v="28"/>
    <n v="81.91"/>
    <n v="43.26"/>
    <n v="2293.48"/>
    <n v="1211.28"/>
    <n v="1082.2"/>
    <n v="1"/>
  </r>
  <r>
    <x v="10"/>
    <n v="10110"/>
    <n v="187"/>
    <x v="10"/>
    <x v="7"/>
    <x v="1"/>
    <x v="102"/>
    <n v="42"/>
    <n v="62"/>
    <n v="34.21"/>
    <n v="2604"/>
    <n v="1436.82"/>
    <n v="1167.18"/>
    <n v="1"/>
  </r>
  <r>
    <x v="10"/>
    <n v="10110"/>
    <n v="187"/>
    <x v="10"/>
    <x v="7"/>
    <x v="1"/>
    <x v="103"/>
    <n v="36"/>
    <n v="72.02"/>
    <n v="49.24"/>
    <n v="2592.7199999999998"/>
    <n v="1772.64"/>
    <n v="820.08"/>
    <n v="1"/>
  </r>
  <r>
    <x v="10"/>
    <n v="10110"/>
    <n v="187"/>
    <x v="10"/>
    <x v="7"/>
    <x v="1"/>
    <x v="104"/>
    <n v="29"/>
    <n v="43.27"/>
    <n v="29.18"/>
    <n v="1254.83"/>
    <n v="846.22"/>
    <n v="408.61"/>
    <n v="1"/>
  </r>
  <r>
    <x v="10"/>
    <n v="10110"/>
    <n v="187"/>
    <x v="10"/>
    <x v="7"/>
    <x v="0"/>
    <x v="6"/>
    <n v="20"/>
    <n v="28.88"/>
    <n v="22.57"/>
    <n v="577.6"/>
    <n v="451.4"/>
    <n v="126.2"/>
    <n v="1"/>
  </r>
  <r>
    <x v="10"/>
    <n v="10110"/>
    <n v="187"/>
    <x v="10"/>
    <x v="7"/>
    <x v="0"/>
    <x v="7"/>
    <n v="39"/>
    <n v="40.770000000000003"/>
    <n v="20.61"/>
    <n v="1590.03"/>
    <n v="803.79"/>
    <n v="786.24"/>
    <n v="1"/>
  </r>
  <r>
    <x v="10"/>
    <n v="10110"/>
    <n v="187"/>
    <x v="10"/>
    <x v="7"/>
    <x v="1"/>
    <x v="105"/>
    <n v="43"/>
    <n v="82.69"/>
    <n v="47.25"/>
    <n v="3555.67"/>
    <n v="2031.75"/>
    <n v="1523.92"/>
    <n v="1"/>
  </r>
  <r>
    <x v="10"/>
    <n v="10110"/>
    <n v="187"/>
    <x v="10"/>
    <x v="7"/>
    <x v="1"/>
    <x v="106"/>
    <n v="46"/>
    <n v="112.74"/>
    <n v="72.819999999999993"/>
    <n v="5186.04"/>
    <n v="3349.72"/>
    <n v="1836.32"/>
    <n v="1"/>
  </r>
  <r>
    <x v="10"/>
    <n v="10110"/>
    <n v="187"/>
    <x v="10"/>
    <x v="7"/>
    <x v="1"/>
    <x v="107"/>
    <n v="27"/>
    <n v="80.47"/>
    <n v="50.51"/>
    <n v="2172.69"/>
    <n v="1363.77"/>
    <n v="808.92"/>
    <n v="1"/>
  </r>
  <r>
    <x v="10"/>
    <n v="10110"/>
    <n v="187"/>
    <x v="10"/>
    <x v="7"/>
    <x v="1"/>
    <x v="108"/>
    <n v="37"/>
    <n v="96.37"/>
    <n v="62.11"/>
    <n v="3565.69"/>
    <n v="2298.0700000000002"/>
    <n v="1267.6199999999999"/>
    <n v="1"/>
  </r>
  <r>
    <x v="10"/>
    <n v="10110"/>
    <n v="187"/>
    <x v="10"/>
    <x v="7"/>
    <x v="0"/>
    <x v="3"/>
    <n v="48"/>
    <n v="35.29"/>
    <n v="21.75"/>
    <n v="1693.92"/>
    <n v="1044"/>
    <n v="649.91999999999996"/>
    <n v="1"/>
  </r>
  <r>
    <x v="11"/>
    <n v="10112"/>
    <n v="144"/>
    <x v="11"/>
    <x v="8"/>
    <x v="1"/>
    <x v="10"/>
    <n v="29"/>
    <n v="197.16"/>
    <n v="98.58"/>
    <n v="5717.64"/>
    <n v="2858.82"/>
    <n v="2858.82"/>
    <n v="1"/>
  </r>
  <r>
    <x v="11"/>
    <n v="10112"/>
    <n v="144"/>
    <x v="11"/>
    <x v="8"/>
    <x v="0"/>
    <x v="15"/>
    <n v="23"/>
    <n v="85.1"/>
    <n v="60.78"/>
    <n v="1957.3"/>
    <n v="1397.94"/>
    <n v="559.36"/>
    <n v="1"/>
  </r>
  <r>
    <x v="12"/>
    <n v="10111"/>
    <n v="129"/>
    <x v="12"/>
    <x v="0"/>
    <x v="0"/>
    <x v="8"/>
    <n v="33"/>
    <n v="87.33"/>
    <n v="60.62"/>
    <n v="2881.89"/>
    <n v="2000.46"/>
    <n v="881.43"/>
    <n v="1"/>
  </r>
  <r>
    <x v="12"/>
    <n v="10111"/>
    <n v="129"/>
    <x v="12"/>
    <x v="0"/>
    <x v="0"/>
    <x v="9"/>
    <n v="48"/>
    <n v="48.52"/>
    <n v="24.26"/>
    <n v="2328.96"/>
    <n v="1164.48"/>
    <n v="1164.48"/>
    <n v="1"/>
  </r>
  <r>
    <x v="12"/>
    <n v="10111"/>
    <n v="129"/>
    <x v="12"/>
    <x v="0"/>
    <x v="0"/>
    <x v="16"/>
    <n v="28"/>
    <n v="53.09"/>
    <n v="34.35"/>
    <n v="1486.52"/>
    <n v="961.8"/>
    <n v="524.72"/>
    <n v="1"/>
  </r>
  <r>
    <x v="12"/>
    <n v="10111"/>
    <n v="129"/>
    <x v="12"/>
    <x v="0"/>
    <x v="0"/>
    <x v="17"/>
    <n v="43"/>
    <n v="94.25"/>
    <n v="60.74"/>
    <n v="4052.75"/>
    <n v="2611.8200000000002"/>
    <n v="1440.93"/>
    <n v="1"/>
  </r>
  <r>
    <x v="12"/>
    <n v="10111"/>
    <n v="129"/>
    <x v="12"/>
    <x v="0"/>
    <x v="0"/>
    <x v="18"/>
    <n v="39"/>
    <n v="91.27"/>
    <n v="57.54"/>
    <n v="3559.53"/>
    <n v="2244.06"/>
    <n v="1315.47"/>
    <n v="1"/>
  </r>
  <r>
    <x v="12"/>
    <n v="10111"/>
    <n v="129"/>
    <x v="12"/>
    <x v="0"/>
    <x v="0"/>
    <x v="22"/>
    <n v="26"/>
    <n v="85.7"/>
    <n v="57.46"/>
    <n v="2228.1999999999998"/>
    <n v="1493.96"/>
    <n v="734.24"/>
    <n v="1"/>
  </r>
  <r>
    <x v="13"/>
    <n v="10113"/>
    <n v="124"/>
    <x v="13"/>
    <x v="0"/>
    <x v="2"/>
    <x v="12"/>
    <n v="21"/>
    <n v="121.64"/>
    <n v="77.900000000000006"/>
    <n v="2554.44"/>
    <n v="1635.9"/>
    <n v="918.54"/>
    <n v="1"/>
  </r>
  <r>
    <x v="13"/>
    <n v="10113"/>
    <n v="124"/>
    <x v="13"/>
    <x v="0"/>
    <x v="2"/>
    <x v="13"/>
    <n v="49"/>
    <n v="101.5"/>
    <n v="58.33"/>
    <n v="4973.5"/>
    <n v="2858.17"/>
    <n v="2115.33"/>
    <n v="1"/>
  </r>
  <r>
    <x v="13"/>
    <n v="10113"/>
    <n v="124"/>
    <x v="13"/>
    <x v="0"/>
    <x v="0"/>
    <x v="20"/>
    <n v="50"/>
    <n v="43.27"/>
    <n v="23.14"/>
    <n v="2163.5"/>
    <n v="1157"/>
    <n v="1006.5"/>
    <n v="1"/>
  </r>
  <r>
    <x v="13"/>
    <n v="10113"/>
    <n v="124"/>
    <x v="13"/>
    <x v="0"/>
    <x v="2"/>
    <x v="24"/>
    <n v="23"/>
    <n v="58.82"/>
    <n v="33.61"/>
    <n v="1352.86"/>
    <n v="773.03"/>
    <n v="579.83000000000004"/>
    <n v="1"/>
  </r>
  <r>
    <x v="14"/>
    <n v="10114"/>
    <n v="172"/>
    <x v="14"/>
    <x v="9"/>
    <x v="1"/>
    <x v="11"/>
    <n v="31"/>
    <n v="128.53"/>
    <n v="103.42"/>
    <n v="3984.43"/>
    <n v="3206.02"/>
    <n v="778.41"/>
    <n v="1"/>
  </r>
  <r>
    <x v="14"/>
    <n v="10114"/>
    <n v="172"/>
    <x v="14"/>
    <x v="9"/>
    <x v="2"/>
    <x v="29"/>
    <n v="39"/>
    <n v="106.78"/>
    <n v="74.86"/>
    <n v="4164.42"/>
    <n v="2919.54"/>
    <n v="1244.8800000000001"/>
    <n v="1"/>
  </r>
  <r>
    <x v="14"/>
    <n v="10114"/>
    <n v="172"/>
    <x v="14"/>
    <x v="9"/>
    <x v="2"/>
    <x v="14"/>
    <n v="45"/>
    <n v="53.48"/>
    <n v="24.92"/>
    <n v="2406.6"/>
    <n v="1121.4000000000001"/>
    <n v="1285.2"/>
    <n v="1"/>
  </r>
  <r>
    <x v="14"/>
    <n v="10114"/>
    <n v="172"/>
    <x v="14"/>
    <x v="9"/>
    <x v="1"/>
    <x v="30"/>
    <n v="48"/>
    <n v="169.34"/>
    <n v="77.900000000000006"/>
    <n v="8128.32"/>
    <n v="3739.2"/>
    <n v="4389.12"/>
    <n v="1"/>
  </r>
  <r>
    <x v="14"/>
    <n v="10114"/>
    <n v="172"/>
    <x v="14"/>
    <x v="9"/>
    <x v="2"/>
    <x v="19"/>
    <n v="41"/>
    <n v="105.34"/>
    <n v="84.76"/>
    <n v="4318.9399999999996"/>
    <n v="3475.16"/>
    <n v="843.78"/>
    <n v="1"/>
  </r>
  <r>
    <x v="14"/>
    <n v="10114"/>
    <n v="172"/>
    <x v="14"/>
    <x v="9"/>
    <x v="2"/>
    <x v="21"/>
    <n v="21"/>
    <n v="102.23"/>
    <n v="61.34"/>
    <n v="2146.83"/>
    <n v="1288.1400000000001"/>
    <n v="858.69"/>
    <n v="1"/>
  </r>
  <r>
    <x v="14"/>
    <n v="10114"/>
    <n v="172"/>
    <x v="14"/>
    <x v="9"/>
    <x v="1"/>
    <x v="33"/>
    <n v="24"/>
    <n v="28.64"/>
    <n v="15.91"/>
    <n v="687.36"/>
    <n v="381.84"/>
    <n v="305.52"/>
    <n v="1"/>
  </r>
  <r>
    <x v="14"/>
    <n v="10114"/>
    <n v="172"/>
    <x v="14"/>
    <x v="9"/>
    <x v="2"/>
    <x v="23"/>
    <n v="32"/>
    <n v="88.61"/>
    <n v="53.93"/>
    <n v="2835.52"/>
    <n v="1725.76"/>
    <n v="1109.76"/>
    <n v="1"/>
  </r>
  <r>
    <x v="14"/>
    <n v="10114"/>
    <n v="172"/>
    <x v="14"/>
    <x v="9"/>
    <x v="2"/>
    <x v="35"/>
    <n v="28"/>
    <n v="43.83"/>
    <n v="25.98"/>
    <n v="1227.24"/>
    <n v="727.44"/>
    <n v="499.8"/>
    <n v="1"/>
  </r>
  <r>
    <x v="14"/>
    <n v="10114"/>
    <n v="172"/>
    <x v="14"/>
    <x v="9"/>
    <x v="1"/>
    <x v="25"/>
    <n v="42"/>
    <n v="82.94"/>
    <n v="46.53"/>
    <n v="3483.48"/>
    <n v="1954.26"/>
    <n v="1529.22"/>
    <n v="1"/>
  </r>
  <r>
    <x v="15"/>
    <n v="10115"/>
    <n v="424"/>
    <x v="15"/>
    <x v="0"/>
    <x v="2"/>
    <x v="27"/>
    <n v="46"/>
    <n v="111.39"/>
    <n v="55.7"/>
    <n v="5123.9399999999996"/>
    <n v="2562.1999999999998"/>
    <n v="2561.7399999999998"/>
    <n v="1"/>
  </r>
  <r>
    <x v="15"/>
    <n v="10115"/>
    <n v="424"/>
    <x v="15"/>
    <x v="0"/>
    <x v="1"/>
    <x v="28"/>
    <n v="46"/>
    <n v="140.81"/>
    <n v="101.51"/>
    <n v="6477.26"/>
    <n v="4669.46"/>
    <n v="1807.8"/>
    <n v="1"/>
  </r>
  <r>
    <x v="15"/>
    <n v="10115"/>
    <n v="424"/>
    <x v="15"/>
    <x v="0"/>
    <x v="1"/>
    <x v="32"/>
    <n v="47"/>
    <n v="56.64"/>
    <n v="32.369999999999997"/>
    <n v="2662.08"/>
    <n v="1521.39"/>
    <n v="1140.69"/>
    <n v="1"/>
  </r>
  <r>
    <x v="15"/>
    <n v="10115"/>
    <n v="424"/>
    <x v="15"/>
    <x v="0"/>
    <x v="1"/>
    <x v="34"/>
    <n v="44"/>
    <n v="106.45"/>
    <n v="69.78"/>
    <n v="4683.8"/>
    <n v="3070.32"/>
    <n v="1613.48"/>
    <n v="1"/>
  </r>
  <r>
    <x v="15"/>
    <n v="10115"/>
    <n v="424"/>
    <x v="15"/>
    <x v="0"/>
    <x v="2"/>
    <x v="37"/>
    <n v="27"/>
    <n v="100.7"/>
    <n v="68.290000000000006"/>
    <n v="2718.9"/>
    <n v="1843.83"/>
    <n v="875.07"/>
    <n v="1"/>
  </r>
  <r>
    <x v="16"/>
    <n v="10116"/>
    <n v="381"/>
    <x v="16"/>
    <x v="10"/>
    <x v="3"/>
    <x v="36"/>
    <n v="27"/>
    <n v="60.28"/>
    <n v="26.72"/>
    <n v="1627.56"/>
    <n v="721.44"/>
    <n v="906.12"/>
    <n v="1"/>
  </r>
  <r>
    <x v="17"/>
    <n v="10117"/>
    <n v="148"/>
    <x v="17"/>
    <x v="11"/>
    <x v="1"/>
    <x v="40"/>
    <n v="33"/>
    <n v="195.33"/>
    <n v="95.59"/>
    <n v="6445.89"/>
    <n v="3154.47"/>
    <n v="3291.42"/>
    <n v="1"/>
  </r>
  <r>
    <x v="17"/>
    <n v="10117"/>
    <n v="148"/>
    <x v="17"/>
    <x v="11"/>
    <x v="1"/>
    <x v="26"/>
    <n v="43"/>
    <n v="148.06"/>
    <n v="89.14"/>
    <n v="6366.58"/>
    <n v="3833.02"/>
    <n v="2533.56"/>
    <n v="1"/>
  </r>
  <r>
    <x v="17"/>
    <n v="10117"/>
    <n v="148"/>
    <x v="17"/>
    <x v="11"/>
    <x v="1"/>
    <x v="41"/>
    <n v="39"/>
    <n v="173.02"/>
    <n v="83.05"/>
    <n v="6747.78"/>
    <n v="3238.95"/>
    <n v="3508.83"/>
    <n v="1"/>
  </r>
  <r>
    <x v="17"/>
    <n v="10117"/>
    <n v="148"/>
    <x v="17"/>
    <x v="11"/>
    <x v="0"/>
    <x v="42"/>
    <n v="26"/>
    <n v="121.57"/>
    <n v="68.3"/>
    <n v="3160.82"/>
    <n v="1775.8"/>
    <n v="1385.02"/>
    <n v="1"/>
  </r>
  <r>
    <x v="17"/>
    <n v="10117"/>
    <n v="148"/>
    <x v="17"/>
    <x v="11"/>
    <x v="3"/>
    <x v="43"/>
    <n v="21"/>
    <n v="81.680000000000007"/>
    <n v="67.56"/>
    <n v="1715.28"/>
    <n v="1418.76"/>
    <n v="296.52"/>
    <n v="1"/>
  </r>
  <r>
    <x v="17"/>
    <n v="10117"/>
    <n v="148"/>
    <x v="17"/>
    <x v="11"/>
    <x v="1"/>
    <x v="31"/>
    <n v="22"/>
    <n v="122.08"/>
    <n v="91.92"/>
    <n v="2685.76"/>
    <n v="2022.24"/>
    <n v="663.52"/>
    <n v="1"/>
  </r>
  <r>
    <x v="17"/>
    <n v="10117"/>
    <n v="148"/>
    <x v="17"/>
    <x v="11"/>
    <x v="0"/>
    <x v="44"/>
    <n v="23"/>
    <n v="73.73"/>
    <n v="52.66"/>
    <n v="1695.79"/>
    <n v="1211.18"/>
    <n v="484.61"/>
    <n v="1"/>
  </r>
  <r>
    <x v="17"/>
    <n v="10117"/>
    <n v="148"/>
    <x v="17"/>
    <x v="11"/>
    <x v="4"/>
    <x v="45"/>
    <n v="41"/>
    <n v="119.2"/>
    <n v="82.34"/>
    <n v="4887.2"/>
    <n v="3375.94"/>
    <n v="1511.26"/>
    <n v="1"/>
  </r>
  <r>
    <x v="17"/>
    <n v="10117"/>
    <n v="148"/>
    <x v="17"/>
    <x v="11"/>
    <x v="3"/>
    <x v="38"/>
    <n v="21"/>
    <n v="55.65"/>
    <n v="37.49"/>
    <n v="1168.6500000000001"/>
    <n v="787.29"/>
    <n v="381.36"/>
    <n v="1"/>
  </r>
  <r>
    <x v="17"/>
    <n v="10117"/>
    <n v="148"/>
    <x v="17"/>
    <x v="11"/>
    <x v="4"/>
    <x v="49"/>
    <n v="38"/>
    <n v="75.349999999999994"/>
    <n v="43.3"/>
    <n v="2863.3"/>
    <n v="1645.4"/>
    <n v="1217.9000000000001"/>
    <n v="1"/>
  </r>
  <r>
    <x v="17"/>
    <n v="10117"/>
    <n v="148"/>
    <x v="17"/>
    <x v="11"/>
    <x v="4"/>
    <x v="52"/>
    <n v="45"/>
    <n v="89.38"/>
    <n v="53.63"/>
    <n v="4022.1"/>
    <n v="2413.35"/>
    <n v="1608.75"/>
    <n v="1"/>
  </r>
  <r>
    <x v="17"/>
    <n v="10117"/>
    <n v="148"/>
    <x v="17"/>
    <x v="11"/>
    <x v="4"/>
    <x v="53"/>
    <n v="50"/>
    <n v="52.42"/>
    <n v="33.299999999999997"/>
    <n v="2621"/>
    <n v="1665"/>
    <n v="956"/>
    <n v="1"/>
  </r>
  <r>
    <x v="18"/>
    <n v="10118"/>
    <n v="216"/>
    <x v="18"/>
    <x v="3"/>
    <x v="4"/>
    <x v="51"/>
    <n v="36"/>
    <n v="86.15"/>
    <n v="51.09"/>
    <n v="3101.4"/>
    <n v="1839.24"/>
    <n v="1262.1600000000001"/>
    <n v="1"/>
  </r>
  <r>
    <x v="19"/>
    <n v="10119"/>
    <n v="382"/>
    <x v="19"/>
    <x v="12"/>
    <x v="1"/>
    <x v="39"/>
    <n v="46"/>
    <n v="112.88"/>
    <n v="85.68"/>
    <n v="5192.4799999999996"/>
    <n v="3941.28"/>
    <n v="1251.2"/>
    <n v="1"/>
  </r>
  <r>
    <x v="19"/>
    <n v="10119"/>
    <n v="382"/>
    <x v="19"/>
    <x v="12"/>
    <x v="5"/>
    <x v="54"/>
    <n v="43"/>
    <n v="151.38"/>
    <n v="77.27"/>
    <n v="6509.34"/>
    <n v="3322.61"/>
    <n v="3186.73"/>
    <n v="1"/>
  </r>
  <r>
    <x v="19"/>
    <n v="10119"/>
    <n v="382"/>
    <x v="19"/>
    <x v="12"/>
    <x v="4"/>
    <x v="56"/>
    <n v="21"/>
    <n v="74.84"/>
    <n v="51.61"/>
    <n v="1571.64"/>
    <n v="1083.81"/>
    <n v="487.83"/>
    <n v="1"/>
  </r>
  <r>
    <x v="19"/>
    <n v="10119"/>
    <n v="382"/>
    <x v="19"/>
    <x v="12"/>
    <x v="0"/>
    <x v="57"/>
    <n v="27"/>
    <n v="95.28"/>
    <n v="64.58"/>
    <n v="2572.56"/>
    <n v="1743.66"/>
    <n v="828.9"/>
    <n v="1"/>
  </r>
  <r>
    <x v="19"/>
    <n v="10119"/>
    <n v="382"/>
    <x v="19"/>
    <x v="12"/>
    <x v="5"/>
    <x v="59"/>
    <n v="41"/>
    <n v="64.400000000000006"/>
    <n v="34.25"/>
    <n v="2640.4"/>
    <n v="1404.25"/>
    <n v="1236.1500000000001"/>
    <n v="1"/>
  </r>
  <r>
    <x v="19"/>
    <n v="10119"/>
    <n v="382"/>
    <x v="19"/>
    <x v="12"/>
    <x v="0"/>
    <x v="46"/>
    <n v="35"/>
    <n v="72.58"/>
    <n v="46.91"/>
    <n v="2540.3000000000002"/>
    <n v="1641.85"/>
    <n v="898.45"/>
    <n v="1"/>
  </r>
  <r>
    <x v="19"/>
    <n v="10119"/>
    <n v="382"/>
    <x v="19"/>
    <x v="12"/>
    <x v="0"/>
    <x v="60"/>
    <n v="20"/>
    <n v="63.12"/>
    <n v="26.3"/>
    <n v="1262.4000000000001"/>
    <n v="526"/>
    <n v="736.4"/>
    <n v="1"/>
  </r>
  <r>
    <x v="19"/>
    <n v="10119"/>
    <n v="382"/>
    <x v="19"/>
    <x v="12"/>
    <x v="0"/>
    <x v="47"/>
    <n v="35"/>
    <n v="82.18"/>
    <n v="48.64"/>
    <n v="2876.3"/>
    <n v="1702.4"/>
    <n v="1173.9000000000001"/>
    <n v="1"/>
  </r>
  <r>
    <x v="19"/>
    <n v="10119"/>
    <n v="382"/>
    <x v="19"/>
    <x v="12"/>
    <x v="5"/>
    <x v="61"/>
    <n v="28"/>
    <n v="62.1"/>
    <n v="29.34"/>
    <n v="1738.8"/>
    <n v="821.52"/>
    <n v="917.28"/>
    <n v="1"/>
  </r>
  <r>
    <x v="19"/>
    <n v="10119"/>
    <n v="382"/>
    <x v="19"/>
    <x v="12"/>
    <x v="4"/>
    <x v="48"/>
    <n v="25"/>
    <n v="57.34"/>
    <n v="34"/>
    <n v="1433.5"/>
    <n v="850"/>
    <n v="583.5"/>
    <n v="1"/>
  </r>
  <r>
    <x v="19"/>
    <n v="10119"/>
    <n v="382"/>
    <x v="19"/>
    <x v="12"/>
    <x v="4"/>
    <x v="66"/>
    <n v="29"/>
    <n v="74.23"/>
    <n v="39.83"/>
    <n v="2152.67"/>
    <n v="1155.07"/>
    <n v="997.6"/>
    <n v="1"/>
  </r>
  <r>
    <x v="19"/>
    <n v="10119"/>
    <n v="382"/>
    <x v="19"/>
    <x v="12"/>
    <x v="4"/>
    <x v="50"/>
    <n v="38"/>
    <n v="67.22"/>
    <n v="33.97"/>
    <n v="2554.36"/>
    <n v="1290.8599999999999"/>
    <n v="1263.5"/>
    <n v="1"/>
  </r>
  <r>
    <x v="19"/>
    <n v="10119"/>
    <n v="382"/>
    <x v="19"/>
    <x v="12"/>
    <x v="5"/>
    <x v="70"/>
    <n v="26"/>
    <n v="63.67"/>
    <n v="36.270000000000003"/>
    <n v="1655.42"/>
    <n v="943.02"/>
    <n v="712.4"/>
    <n v="1"/>
  </r>
  <r>
    <x v="19"/>
    <n v="10119"/>
    <n v="382"/>
    <x v="19"/>
    <x v="12"/>
    <x v="5"/>
    <x v="71"/>
    <n v="28"/>
    <n v="40.22"/>
    <n v="32.770000000000003"/>
    <n v="1126.1600000000001"/>
    <n v="917.56"/>
    <n v="208.6"/>
    <n v="1"/>
  </r>
  <r>
    <x v="20"/>
    <n v="10120"/>
    <n v="114"/>
    <x v="20"/>
    <x v="13"/>
    <x v="6"/>
    <x v="73"/>
    <n v="29"/>
    <n v="118.94"/>
    <n v="68.989999999999995"/>
    <n v="3449.26"/>
    <n v="2000.71"/>
    <n v="1448.55"/>
    <n v="1"/>
  </r>
  <r>
    <x v="20"/>
    <n v="10120"/>
    <n v="114"/>
    <x v="20"/>
    <x v="13"/>
    <x v="6"/>
    <x v="74"/>
    <n v="46"/>
    <n v="158.80000000000001"/>
    <n v="91.02"/>
    <n v="7304.8"/>
    <n v="4186.92"/>
    <n v="3117.88"/>
    <n v="1"/>
  </r>
  <r>
    <x v="20"/>
    <n v="10120"/>
    <n v="114"/>
    <x v="20"/>
    <x v="13"/>
    <x v="5"/>
    <x v="55"/>
    <n v="29"/>
    <n v="82.79"/>
    <n v="49"/>
    <n v="2400.91"/>
    <n v="1421"/>
    <n v="979.91"/>
    <n v="1"/>
  </r>
  <r>
    <x v="20"/>
    <n v="10120"/>
    <n v="114"/>
    <x v="20"/>
    <x v="13"/>
    <x v="6"/>
    <x v="76"/>
    <n v="46"/>
    <n v="57.54"/>
    <n v="24.23"/>
    <n v="2646.84"/>
    <n v="1114.58"/>
    <n v="1532.26"/>
    <n v="1"/>
  </r>
  <r>
    <x v="20"/>
    <n v="10120"/>
    <n v="114"/>
    <x v="20"/>
    <x v="13"/>
    <x v="6"/>
    <x v="77"/>
    <n v="35"/>
    <n v="110.45"/>
    <n v="60.86"/>
    <n v="3865.75"/>
    <n v="2130.1"/>
    <n v="1735.65"/>
    <n v="1"/>
  </r>
  <r>
    <x v="20"/>
    <n v="10120"/>
    <n v="114"/>
    <x v="20"/>
    <x v="13"/>
    <x v="5"/>
    <x v="58"/>
    <n v="39"/>
    <n v="93.01"/>
    <n v="66.739999999999995"/>
    <n v="3627.39"/>
    <n v="2602.86"/>
    <n v="1024.53"/>
    <n v="1"/>
  </r>
  <r>
    <x v="20"/>
    <n v="10120"/>
    <n v="114"/>
    <x v="20"/>
    <x v="13"/>
    <x v="6"/>
    <x v="78"/>
    <n v="34"/>
    <n v="72.36"/>
    <n v="37.32"/>
    <n v="2460.2399999999998"/>
    <n v="1268.8800000000001"/>
    <n v="1191.3599999999999"/>
    <n v="1"/>
  </r>
  <r>
    <x v="20"/>
    <n v="10120"/>
    <n v="114"/>
    <x v="20"/>
    <x v="13"/>
    <x v="5"/>
    <x v="62"/>
    <n v="29"/>
    <n v="71.73"/>
    <n v="36.229999999999997"/>
    <n v="2080.17"/>
    <n v="1050.67"/>
    <n v="1029.5"/>
    <n v="1"/>
  </r>
  <r>
    <x v="20"/>
    <n v="10120"/>
    <n v="114"/>
    <x v="20"/>
    <x v="13"/>
    <x v="6"/>
    <x v="79"/>
    <n v="22"/>
    <n v="94.9"/>
    <n v="66.92"/>
    <n v="2087.8000000000002"/>
    <n v="1472.24"/>
    <n v="615.55999999999995"/>
    <n v="1"/>
  </r>
  <r>
    <x v="20"/>
    <n v="10120"/>
    <n v="114"/>
    <x v="20"/>
    <x v="13"/>
    <x v="0"/>
    <x v="63"/>
    <n v="29"/>
    <n v="68.790000000000006"/>
    <n v="33.020000000000003"/>
    <n v="1994.91"/>
    <n v="957.58"/>
    <n v="1037.33"/>
    <n v="1"/>
  </r>
  <r>
    <x v="20"/>
    <n v="10120"/>
    <n v="114"/>
    <x v="20"/>
    <x v="13"/>
    <x v="0"/>
    <x v="64"/>
    <n v="49"/>
    <n v="41.46"/>
    <n v="27.06"/>
    <n v="2031.54"/>
    <n v="1325.94"/>
    <n v="705.6"/>
    <n v="1"/>
  </r>
  <r>
    <x v="20"/>
    <n v="10120"/>
    <n v="114"/>
    <x v="20"/>
    <x v="13"/>
    <x v="5"/>
    <x v="65"/>
    <n v="47"/>
    <n v="91.34"/>
    <n v="51.15"/>
    <n v="4292.9799999999996"/>
    <n v="2404.0500000000002"/>
    <n v="1888.93"/>
    <n v="1"/>
  </r>
  <r>
    <x v="20"/>
    <n v="10120"/>
    <n v="114"/>
    <x v="20"/>
    <x v="13"/>
    <x v="5"/>
    <x v="67"/>
    <n v="24"/>
    <n v="81.77"/>
    <n v="68.8"/>
    <n v="1962.48"/>
    <n v="1651.2"/>
    <n v="311.27999999999997"/>
    <n v="1"/>
  </r>
  <r>
    <x v="20"/>
    <n v="10120"/>
    <n v="114"/>
    <x v="20"/>
    <x v="13"/>
    <x v="5"/>
    <x v="68"/>
    <n v="24"/>
    <n v="106.79"/>
    <n v="59.33"/>
    <n v="2562.96"/>
    <n v="1423.92"/>
    <n v="1139.04"/>
    <n v="1"/>
  </r>
  <r>
    <x v="20"/>
    <n v="10120"/>
    <n v="114"/>
    <x v="20"/>
    <x v="13"/>
    <x v="5"/>
    <x v="69"/>
    <n v="43"/>
    <n v="72"/>
    <n v="54.4"/>
    <n v="3096"/>
    <n v="2339.1999999999998"/>
    <n v="756.8"/>
    <n v="1"/>
  </r>
  <r>
    <x v="21"/>
    <n v="10121"/>
    <n v="353"/>
    <x v="21"/>
    <x v="9"/>
    <x v="6"/>
    <x v="72"/>
    <n v="34"/>
    <n v="86.13"/>
    <n v="48.81"/>
    <n v="2928.42"/>
    <n v="1659.54"/>
    <n v="1268.8800000000001"/>
    <n v="1"/>
  </r>
  <r>
    <x v="21"/>
    <n v="10121"/>
    <n v="353"/>
    <x v="21"/>
    <x v="9"/>
    <x v="6"/>
    <x v="75"/>
    <n v="50"/>
    <n v="126.52"/>
    <n v="66.27"/>
    <n v="6326"/>
    <n v="3313.5"/>
    <n v="3012.5"/>
    <n v="1"/>
  </r>
  <r>
    <x v="21"/>
    <n v="10121"/>
    <n v="353"/>
    <x v="21"/>
    <x v="9"/>
    <x v="6"/>
    <x v="89"/>
    <n v="32"/>
    <n v="58.18"/>
    <n v="47.1"/>
    <n v="1861.76"/>
    <n v="1507.2"/>
    <n v="354.56"/>
    <n v="1"/>
  </r>
  <r>
    <x v="21"/>
    <n v="10121"/>
    <n v="353"/>
    <x v="21"/>
    <x v="9"/>
    <x v="6"/>
    <x v="94"/>
    <n v="25"/>
    <n v="95.93"/>
    <n v="56.13"/>
    <n v="2398.25"/>
    <n v="1403.25"/>
    <n v="995"/>
    <n v="1"/>
  </r>
  <r>
    <x v="21"/>
    <n v="10121"/>
    <n v="353"/>
    <x v="21"/>
    <x v="9"/>
    <x v="6"/>
    <x v="95"/>
    <n v="44"/>
    <n v="72.41"/>
    <n v="34.17"/>
    <n v="3186.04"/>
    <n v="1503.48"/>
    <n v="1682.56"/>
    <n v="1"/>
  </r>
  <r>
    <x v="22"/>
    <n v="10122"/>
    <n v="350"/>
    <x v="22"/>
    <x v="9"/>
    <x v="1"/>
    <x v="80"/>
    <n v="42"/>
    <n v="155.66"/>
    <n v="95.34"/>
    <n v="6537.72"/>
    <n v="4004.28"/>
    <n v="2533.44"/>
    <n v="1"/>
  </r>
  <r>
    <x v="22"/>
    <n v="10122"/>
    <n v="350"/>
    <x v="22"/>
    <x v="9"/>
    <x v="1"/>
    <x v="81"/>
    <n v="37"/>
    <n v="113.92"/>
    <n v="75.16"/>
    <n v="4215.04"/>
    <n v="2780.92"/>
    <n v="1434.12"/>
    <n v="1"/>
  </r>
  <r>
    <x v="22"/>
    <n v="10122"/>
    <n v="350"/>
    <x v="22"/>
    <x v="9"/>
    <x v="1"/>
    <x v="82"/>
    <n v="32"/>
    <n v="65.44"/>
    <n v="31.92"/>
    <n v="2094.08"/>
    <n v="1021.44"/>
    <n v="1072.6400000000001"/>
    <n v="1"/>
  </r>
  <r>
    <x v="22"/>
    <n v="10122"/>
    <n v="350"/>
    <x v="22"/>
    <x v="9"/>
    <x v="1"/>
    <x v="83"/>
    <n v="20"/>
    <n v="104.8"/>
    <n v="58.73"/>
    <n v="2096"/>
    <n v="1174.5999999999999"/>
    <n v="921.4"/>
    <n v="1"/>
  </r>
  <r>
    <x v="22"/>
    <n v="10122"/>
    <n v="350"/>
    <x v="22"/>
    <x v="9"/>
    <x v="1"/>
    <x v="96"/>
    <n v="34"/>
    <n v="114.65"/>
    <n v="83.51"/>
    <n v="3898.1"/>
    <n v="2839.34"/>
    <n v="1058.76"/>
    <n v="1"/>
  </r>
  <r>
    <x v="22"/>
    <n v="10122"/>
    <n v="350"/>
    <x v="22"/>
    <x v="9"/>
    <x v="1"/>
    <x v="84"/>
    <n v="43"/>
    <n v="62.37"/>
    <n v="53.9"/>
    <n v="2681.91"/>
    <n v="2317.6999999999998"/>
    <n v="364.21"/>
    <n v="1"/>
  </r>
  <r>
    <x v="22"/>
    <n v="10122"/>
    <n v="350"/>
    <x v="22"/>
    <x v="9"/>
    <x v="1"/>
    <x v="97"/>
    <n v="31"/>
    <n v="113.8"/>
    <n v="93.89"/>
    <n v="3527.8"/>
    <n v="2910.59"/>
    <n v="617.21"/>
    <n v="1"/>
  </r>
  <r>
    <x v="22"/>
    <n v="10122"/>
    <n v="350"/>
    <x v="22"/>
    <x v="9"/>
    <x v="1"/>
    <x v="30"/>
    <n v="25"/>
    <n v="137.16999999999999"/>
    <n v="77.900000000000006"/>
    <n v="3429.25"/>
    <n v="1947.5"/>
    <n v="1481.75"/>
    <n v="1"/>
  </r>
  <r>
    <x v="22"/>
    <n v="10122"/>
    <n v="350"/>
    <x v="22"/>
    <x v="9"/>
    <x v="1"/>
    <x v="85"/>
    <n v="21"/>
    <n v="69.150000000000006"/>
    <n v="49.05"/>
    <n v="1452.15"/>
    <n v="1030.05"/>
    <n v="422.1"/>
    <n v="1"/>
  </r>
  <r>
    <x v="22"/>
    <n v="10122"/>
    <n v="350"/>
    <x v="22"/>
    <x v="9"/>
    <x v="1"/>
    <x v="86"/>
    <n v="21"/>
    <n v="133.76"/>
    <n v="73.489999999999995"/>
    <n v="2808.96"/>
    <n v="1543.29"/>
    <n v="1265.67"/>
    <n v="1"/>
  </r>
  <r>
    <x v="22"/>
    <n v="10122"/>
    <n v="350"/>
    <x v="22"/>
    <x v="9"/>
    <x v="6"/>
    <x v="87"/>
    <n v="35"/>
    <n v="59.06"/>
    <n v="32.950000000000003"/>
    <n v="2067.1"/>
    <n v="1153.25"/>
    <n v="913.85"/>
    <n v="1"/>
  </r>
  <r>
    <x v="22"/>
    <n v="10122"/>
    <n v="350"/>
    <x v="22"/>
    <x v="9"/>
    <x v="1"/>
    <x v="88"/>
    <n v="28"/>
    <n v="145.82"/>
    <n v="69.930000000000007"/>
    <n v="4082.96"/>
    <n v="1958.04"/>
    <n v="2124.92"/>
    <n v="1"/>
  </r>
  <r>
    <x v="22"/>
    <n v="10122"/>
    <n v="350"/>
    <x v="22"/>
    <x v="9"/>
    <x v="1"/>
    <x v="100"/>
    <n v="39"/>
    <n v="34.74"/>
    <n v="16.239999999999998"/>
    <n v="1354.86"/>
    <n v="633.36"/>
    <n v="721.5"/>
    <n v="1"/>
  </r>
  <r>
    <x v="22"/>
    <n v="10122"/>
    <n v="350"/>
    <x v="22"/>
    <x v="9"/>
    <x v="1"/>
    <x v="90"/>
    <n v="34"/>
    <n v="50.82"/>
    <n v="38.58"/>
    <n v="1727.88"/>
    <n v="1311.72"/>
    <n v="416.16"/>
    <n v="1"/>
  </r>
  <r>
    <x v="22"/>
    <n v="10122"/>
    <n v="350"/>
    <x v="22"/>
    <x v="9"/>
    <x v="1"/>
    <x v="91"/>
    <n v="43"/>
    <n v="136.22"/>
    <n v="98.3"/>
    <n v="5857.46"/>
    <n v="4226.8999999999996"/>
    <n v="1630.56"/>
    <n v="1"/>
  </r>
  <r>
    <x v="22"/>
    <n v="10122"/>
    <n v="350"/>
    <x v="22"/>
    <x v="9"/>
    <x v="1"/>
    <x v="92"/>
    <n v="29"/>
    <n v="67.099999999999994"/>
    <n v="32.33"/>
    <n v="1945.9"/>
    <n v="937.57"/>
    <n v="1008.33"/>
    <n v="1"/>
  </r>
  <r>
    <x v="22"/>
    <n v="10122"/>
    <n v="350"/>
    <x v="22"/>
    <x v="9"/>
    <x v="6"/>
    <x v="93"/>
    <n v="31"/>
    <n v="33.79"/>
    <n v="24.14"/>
    <n v="1047.49"/>
    <n v="748.34"/>
    <n v="299.14999999999998"/>
    <n v="1"/>
  </r>
  <r>
    <x v="23"/>
    <n v="10123"/>
    <n v="103"/>
    <x v="23"/>
    <x v="9"/>
    <x v="1"/>
    <x v="101"/>
    <n v="26"/>
    <n v="120.71"/>
    <n v="65.959999999999994"/>
    <n v="3138.46"/>
    <n v="1714.96"/>
    <n v="1423.5"/>
    <n v="1"/>
  </r>
  <r>
    <x v="23"/>
    <n v="10123"/>
    <n v="103"/>
    <x v="23"/>
    <x v="9"/>
    <x v="1"/>
    <x v="98"/>
    <n v="46"/>
    <n v="114.84"/>
    <n v="56.76"/>
    <n v="5282.64"/>
    <n v="2610.96"/>
    <n v="2671.68"/>
    <n v="1"/>
  </r>
  <r>
    <x v="23"/>
    <n v="10123"/>
    <n v="103"/>
    <x v="23"/>
    <x v="9"/>
    <x v="1"/>
    <x v="99"/>
    <n v="34"/>
    <n v="117.26"/>
    <n v="62.16"/>
    <n v="3986.84"/>
    <n v="2113.44"/>
    <n v="1873.4"/>
    <n v="1"/>
  </r>
  <r>
    <x v="23"/>
    <n v="10123"/>
    <n v="103"/>
    <x v="23"/>
    <x v="9"/>
    <x v="1"/>
    <x v="104"/>
    <n v="50"/>
    <n v="43.27"/>
    <n v="29.18"/>
    <n v="2163.5"/>
    <n v="1459"/>
    <n v="704.5"/>
    <n v="1"/>
  </r>
  <r>
    <x v="24"/>
    <n v="10124"/>
    <n v="112"/>
    <x v="24"/>
    <x v="0"/>
    <x v="0"/>
    <x v="0"/>
    <n v="21"/>
    <n v="153"/>
    <n v="86.7"/>
    <n v="3213"/>
    <n v="1820.7"/>
    <n v="1392.3"/>
    <n v="1"/>
  </r>
  <r>
    <x v="24"/>
    <n v="10124"/>
    <n v="112"/>
    <x v="24"/>
    <x v="0"/>
    <x v="0"/>
    <x v="1"/>
    <n v="42"/>
    <n v="58.12"/>
    <n v="33.299999999999997"/>
    <n v="2441.04"/>
    <n v="1398.6"/>
    <n v="1042.44"/>
    <n v="1"/>
  </r>
  <r>
    <x v="24"/>
    <n v="10124"/>
    <n v="112"/>
    <x v="24"/>
    <x v="0"/>
    <x v="0"/>
    <x v="4"/>
    <n v="42"/>
    <n v="111.87"/>
    <n v="58.48"/>
    <n v="4698.54"/>
    <n v="2456.16"/>
    <n v="2242.38"/>
    <n v="1"/>
  </r>
  <r>
    <x v="24"/>
    <n v="10124"/>
    <n v="112"/>
    <x v="24"/>
    <x v="0"/>
    <x v="0"/>
    <x v="2"/>
    <n v="36"/>
    <n v="75.459999999999994"/>
    <n v="43.26"/>
    <n v="2716.56"/>
    <n v="1557.36"/>
    <n v="1159.2"/>
    <n v="1"/>
  </r>
  <r>
    <x v="24"/>
    <n v="10124"/>
    <n v="112"/>
    <x v="24"/>
    <x v="0"/>
    <x v="1"/>
    <x v="102"/>
    <n v="23"/>
    <n v="66.28"/>
    <n v="34.21"/>
    <n v="1524.44"/>
    <n v="786.83"/>
    <n v="737.61"/>
    <n v="1"/>
  </r>
  <r>
    <x v="24"/>
    <n v="10124"/>
    <n v="112"/>
    <x v="24"/>
    <x v="0"/>
    <x v="1"/>
    <x v="103"/>
    <n v="22"/>
    <n v="62.47"/>
    <n v="49.24"/>
    <n v="1374.34"/>
    <n v="1083.28"/>
    <n v="291.06"/>
    <n v="1"/>
  </r>
  <r>
    <x v="24"/>
    <n v="10124"/>
    <n v="112"/>
    <x v="24"/>
    <x v="0"/>
    <x v="0"/>
    <x v="6"/>
    <n v="45"/>
    <n v="30.53"/>
    <n v="22.57"/>
    <n v="1373.85"/>
    <n v="1015.65"/>
    <n v="358.2"/>
    <n v="1"/>
  </r>
  <r>
    <x v="24"/>
    <n v="10124"/>
    <n v="112"/>
    <x v="24"/>
    <x v="0"/>
    <x v="0"/>
    <x v="7"/>
    <n v="22"/>
    <n v="36.29"/>
    <n v="20.61"/>
    <n v="798.38"/>
    <n v="453.42"/>
    <n v="344.96"/>
    <n v="1"/>
  </r>
  <r>
    <x v="24"/>
    <n v="10124"/>
    <n v="112"/>
    <x v="24"/>
    <x v="0"/>
    <x v="1"/>
    <x v="105"/>
    <n v="32"/>
    <n v="74.510000000000005"/>
    <n v="47.25"/>
    <n v="2384.3200000000002"/>
    <n v="1512"/>
    <n v="872.32"/>
    <n v="1"/>
  </r>
  <r>
    <x v="24"/>
    <n v="10124"/>
    <n v="112"/>
    <x v="24"/>
    <x v="0"/>
    <x v="1"/>
    <x v="106"/>
    <n v="25"/>
    <n v="93.95"/>
    <n v="72.819999999999993"/>
    <n v="2348.75"/>
    <n v="1820.5"/>
    <n v="528.25"/>
    <n v="1"/>
  </r>
  <r>
    <x v="24"/>
    <n v="10124"/>
    <n v="112"/>
    <x v="24"/>
    <x v="0"/>
    <x v="1"/>
    <x v="107"/>
    <n v="49"/>
    <n v="76.19"/>
    <n v="50.51"/>
    <n v="3733.31"/>
    <n v="2474.9899999999998"/>
    <n v="1258.32"/>
    <n v="1"/>
  </r>
  <r>
    <x v="24"/>
    <n v="10124"/>
    <n v="112"/>
    <x v="24"/>
    <x v="0"/>
    <x v="1"/>
    <x v="108"/>
    <n v="43"/>
    <n v="101.73"/>
    <n v="62.11"/>
    <n v="4374.3900000000003"/>
    <n v="2670.73"/>
    <n v="1703.66"/>
    <n v="1"/>
  </r>
  <r>
    <x v="24"/>
    <n v="10124"/>
    <n v="112"/>
    <x v="24"/>
    <x v="0"/>
    <x v="0"/>
    <x v="3"/>
    <n v="46"/>
    <n v="36.11"/>
    <n v="21.75"/>
    <n v="1661.06"/>
    <n v="1000.5"/>
    <n v="660.56"/>
    <n v="1"/>
  </r>
  <r>
    <x v="24"/>
    <n v="10125"/>
    <n v="114"/>
    <x v="20"/>
    <x v="13"/>
    <x v="0"/>
    <x v="8"/>
    <n v="32"/>
    <n v="89.38"/>
    <n v="60.62"/>
    <n v="2860.16"/>
    <n v="1939.84"/>
    <n v="920.32"/>
    <n v="2"/>
  </r>
  <r>
    <x v="24"/>
    <n v="10125"/>
    <n v="114"/>
    <x v="20"/>
    <x v="13"/>
    <x v="0"/>
    <x v="5"/>
    <n v="34"/>
    <n v="138.38"/>
    <n v="72.56"/>
    <n v="4704.92"/>
    <n v="2467.04"/>
    <n v="2237.88"/>
    <n v="2"/>
  </r>
  <r>
    <x v="25"/>
    <n v="10126"/>
    <n v="458"/>
    <x v="25"/>
    <x v="3"/>
    <x v="1"/>
    <x v="10"/>
    <n v="38"/>
    <n v="205.73"/>
    <n v="98.58"/>
    <n v="7817.74"/>
    <n v="3746.04"/>
    <n v="4071.7"/>
    <n v="1"/>
  </r>
  <r>
    <x v="25"/>
    <n v="10126"/>
    <n v="458"/>
    <x v="25"/>
    <x v="3"/>
    <x v="1"/>
    <x v="11"/>
    <n v="22"/>
    <n v="122.62"/>
    <n v="103.42"/>
    <n v="2697.64"/>
    <n v="2275.2399999999998"/>
    <n v="422.4"/>
    <n v="1"/>
  </r>
  <r>
    <x v="25"/>
    <n v="10126"/>
    <n v="458"/>
    <x v="25"/>
    <x v="3"/>
    <x v="2"/>
    <x v="12"/>
    <n v="21"/>
    <n v="135.30000000000001"/>
    <n v="77.900000000000006"/>
    <n v="2841.3"/>
    <n v="1635.9"/>
    <n v="1205.4000000000001"/>
    <n v="1"/>
  </r>
  <r>
    <x v="25"/>
    <n v="10126"/>
    <n v="458"/>
    <x v="25"/>
    <x v="3"/>
    <x v="2"/>
    <x v="13"/>
    <n v="38"/>
    <n v="116.67"/>
    <n v="58.33"/>
    <n v="4433.46"/>
    <n v="2216.54"/>
    <n v="2216.92"/>
    <n v="1"/>
  </r>
  <r>
    <x v="25"/>
    <n v="10126"/>
    <n v="458"/>
    <x v="25"/>
    <x v="3"/>
    <x v="0"/>
    <x v="9"/>
    <n v="42"/>
    <n v="51.21"/>
    <n v="24.26"/>
    <n v="2150.8200000000002"/>
    <n v="1018.92"/>
    <n v="1131.9000000000001"/>
    <n v="1"/>
  </r>
  <r>
    <x v="25"/>
    <n v="10126"/>
    <n v="458"/>
    <x v="25"/>
    <x v="3"/>
    <x v="2"/>
    <x v="14"/>
    <n v="43"/>
    <n v="51.05"/>
    <n v="24.92"/>
    <n v="2195.15"/>
    <n v="1071.56"/>
    <n v="1123.5899999999999"/>
    <n v="1"/>
  </r>
  <r>
    <x v="25"/>
    <n v="10126"/>
    <n v="458"/>
    <x v="25"/>
    <x v="3"/>
    <x v="0"/>
    <x v="15"/>
    <n v="31"/>
    <n v="93.21"/>
    <n v="60.78"/>
    <n v="2889.51"/>
    <n v="1884.18"/>
    <n v="1005.33"/>
    <n v="1"/>
  </r>
  <r>
    <x v="25"/>
    <n v="10126"/>
    <n v="458"/>
    <x v="25"/>
    <x v="3"/>
    <x v="0"/>
    <x v="16"/>
    <n v="46"/>
    <n v="61.84"/>
    <n v="34.35"/>
    <n v="2844.64"/>
    <n v="1580.1"/>
    <n v="1264.54"/>
    <n v="1"/>
  </r>
  <r>
    <x v="25"/>
    <n v="10126"/>
    <n v="458"/>
    <x v="25"/>
    <x v="3"/>
    <x v="0"/>
    <x v="17"/>
    <n v="30"/>
    <n v="93.2"/>
    <n v="60.74"/>
    <n v="2796"/>
    <n v="1822.2"/>
    <n v="973.8"/>
    <n v="1"/>
  </r>
  <r>
    <x v="25"/>
    <n v="10126"/>
    <n v="458"/>
    <x v="25"/>
    <x v="3"/>
    <x v="0"/>
    <x v="18"/>
    <n v="38"/>
    <n v="94.25"/>
    <n v="57.54"/>
    <n v="3581.5"/>
    <n v="2186.52"/>
    <n v="1394.98"/>
    <n v="1"/>
  </r>
  <r>
    <x v="25"/>
    <n v="10126"/>
    <n v="458"/>
    <x v="25"/>
    <x v="3"/>
    <x v="2"/>
    <x v="19"/>
    <n v="50"/>
    <n v="102.92"/>
    <n v="84.76"/>
    <n v="5146"/>
    <n v="4238"/>
    <n v="908"/>
    <n v="1"/>
  </r>
  <r>
    <x v="25"/>
    <n v="10126"/>
    <n v="458"/>
    <x v="25"/>
    <x v="3"/>
    <x v="0"/>
    <x v="20"/>
    <n v="43"/>
    <n v="47.29"/>
    <n v="23.14"/>
    <n v="2033.47"/>
    <n v="995.02"/>
    <n v="1038.45"/>
    <n v="1"/>
  </r>
  <r>
    <x v="25"/>
    <n v="10126"/>
    <n v="458"/>
    <x v="25"/>
    <x v="3"/>
    <x v="2"/>
    <x v="21"/>
    <n v="27"/>
    <n v="122.68"/>
    <n v="61.34"/>
    <n v="3312.36"/>
    <n v="1656.18"/>
    <n v="1656.18"/>
    <n v="1"/>
  </r>
  <r>
    <x v="25"/>
    <n v="10126"/>
    <n v="458"/>
    <x v="25"/>
    <x v="3"/>
    <x v="0"/>
    <x v="22"/>
    <n v="34"/>
    <n v="83.76"/>
    <n v="57.46"/>
    <n v="2847.84"/>
    <n v="1953.64"/>
    <n v="894.2"/>
    <n v="1"/>
  </r>
  <r>
    <x v="25"/>
    <n v="10126"/>
    <n v="458"/>
    <x v="25"/>
    <x v="3"/>
    <x v="2"/>
    <x v="23"/>
    <n v="43"/>
    <n v="82.83"/>
    <n v="53.93"/>
    <n v="3561.69"/>
    <n v="2318.9899999999998"/>
    <n v="1242.7"/>
    <n v="1"/>
  </r>
  <r>
    <x v="25"/>
    <n v="10126"/>
    <n v="458"/>
    <x v="25"/>
    <x v="3"/>
    <x v="2"/>
    <x v="24"/>
    <n v="26"/>
    <n v="62.05"/>
    <n v="33.61"/>
    <n v="1613.3"/>
    <n v="873.86"/>
    <n v="739.44"/>
    <n v="1"/>
  </r>
  <r>
    <x v="25"/>
    <n v="10126"/>
    <n v="458"/>
    <x v="25"/>
    <x v="3"/>
    <x v="1"/>
    <x v="25"/>
    <n v="45"/>
    <n v="97.1"/>
    <n v="46.53"/>
    <n v="4369.5"/>
    <n v="2093.85"/>
    <n v="2275.65"/>
    <n v="1"/>
  </r>
  <r>
    <x v="26"/>
    <n v="10127"/>
    <n v="151"/>
    <x v="26"/>
    <x v="0"/>
    <x v="1"/>
    <x v="40"/>
    <n v="46"/>
    <n v="193.25"/>
    <n v="95.59"/>
    <n v="8889.5"/>
    <n v="4397.1400000000003"/>
    <n v="4492.3599999999997"/>
    <n v="1"/>
  </r>
  <r>
    <x v="26"/>
    <n v="10127"/>
    <n v="151"/>
    <x v="26"/>
    <x v="0"/>
    <x v="1"/>
    <x v="26"/>
    <n v="46"/>
    <n v="140.5"/>
    <n v="89.14"/>
    <n v="6463"/>
    <n v="4100.4399999999996"/>
    <n v="2362.56"/>
    <n v="1"/>
  </r>
  <r>
    <x v="26"/>
    <n v="10127"/>
    <n v="151"/>
    <x v="26"/>
    <x v="0"/>
    <x v="1"/>
    <x v="41"/>
    <n v="42"/>
    <n v="169.56"/>
    <n v="83.05"/>
    <n v="7121.52"/>
    <n v="3488.1"/>
    <n v="3633.42"/>
    <n v="1"/>
  </r>
  <r>
    <x v="26"/>
    <n v="10127"/>
    <n v="151"/>
    <x v="26"/>
    <x v="0"/>
    <x v="2"/>
    <x v="27"/>
    <n v="24"/>
    <n v="100.73"/>
    <n v="55.7"/>
    <n v="2417.52"/>
    <n v="1336.8"/>
    <n v="1080.72"/>
    <n v="1"/>
  </r>
  <r>
    <x v="26"/>
    <n v="10127"/>
    <n v="151"/>
    <x v="26"/>
    <x v="0"/>
    <x v="1"/>
    <x v="28"/>
    <n v="45"/>
    <n v="140.81"/>
    <n v="101.51"/>
    <n v="6336.45"/>
    <n v="4567.95"/>
    <n v="1768.5"/>
    <n v="1"/>
  </r>
  <r>
    <x v="26"/>
    <n v="10127"/>
    <n v="151"/>
    <x v="26"/>
    <x v="0"/>
    <x v="2"/>
    <x v="29"/>
    <n v="45"/>
    <n v="114.14"/>
    <n v="74.86"/>
    <n v="5136.3"/>
    <n v="3368.7"/>
    <n v="1767.6"/>
    <n v="1"/>
  </r>
  <r>
    <x v="26"/>
    <n v="10127"/>
    <n v="151"/>
    <x v="26"/>
    <x v="0"/>
    <x v="1"/>
    <x v="30"/>
    <n v="22"/>
    <n v="149.02000000000001"/>
    <n v="77.900000000000006"/>
    <n v="3278.44"/>
    <n v="1713.8"/>
    <n v="1564.64"/>
    <n v="1"/>
  </r>
  <r>
    <x v="26"/>
    <n v="10127"/>
    <n v="151"/>
    <x v="26"/>
    <x v="0"/>
    <x v="1"/>
    <x v="31"/>
    <n v="25"/>
    <n v="126.39"/>
    <n v="91.92"/>
    <n v="3159.75"/>
    <n v="2298"/>
    <n v="861.75"/>
    <n v="1"/>
  </r>
  <r>
    <x v="26"/>
    <n v="10127"/>
    <n v="151"/>
    <x v="26"/>
    <x v="0"/>
    <x v="1"/>
    <x v="32"/>
    <n v="20"/>
    <n v="50.86"/>
    <n v="32.369999999999997"/>
    <n v="1017.2"/>
    <n v="647.4"/>
    <n v="369.8"/>
    <n v="1"/>
  </r>
  <r>
    <x v="26"/>
    <n v="10127"/>
    <n v="151"/>
    <x v="26"/>
    <x v="0"/>
    <x v="1"/>
    <x v="33"/>
    <n v="39"/>
    <n v="34.299999999999997"/>
    <n v="15.91"/>
    <n v="1337.7"/>
    <n v="620.49"/>
    <n v="717.21"/>
    <n v="1"/>
  </r>
  <r>
    <x v="26"/>
    <n v="10127"/>
    <n v="151"/>
    <x v="26"/>
    <x v="0"/>
    <x v="1"/>
    <x v="34"/>
    <n v="20"/>
    <n v="107.63"/>
    <n v="69.78"/>
    <n v="2152.6"/>
    <n v="1395.6"/>
    <n v="757"/>
    <n v="1"/>
  </r>
  <r>
    <x v="26"/>
    <n v="10127"/>
    <n v="151"/>
    <x v="26"/>
    <x v="0"/>
    <x v="2"/>
    <x v="35"/>
    <n v="45"/>
    <n v="46.53"/>
    <n v="25.98"/>
    <n v="2093.85"/>
    <n v="1169.0999999999999"/>
    <n v="924.75"/>
    <n v="1"/>
  </r>
  <r>
    <x v="26"/>
    <n v="10127"/>
    <n v="151"/>
    <x v="26"/>
    <x v="0"/>
    <x v="3"/>
    <x v="36"/>
    <n v="29"/>
    <n v="60.9"/>
    <n v="26.72"/>
    <n v="1766.1"/>
    <n v="774.88"/>
    <n v="991.22"/>
    <n v="1"/>
  </r>
  <r>
    <x v="26"/>
    <n v="10127"/>
    <n v="151"/>
    <x v="26"/>
    <x v="0"/>
    <x v="2"/>
    <x v="37"/>
    <n v="46"/>
    <n v="111.12"/>
    <n v="68.290000000000006"/>
    <n v="5111.5200000000004"/>
    <n v="3141.34"/>
    <n v="1970.18"/>
    <n v="1"/>
  </r>
  <r>
    <x v="26"/>
    <n v="10127"/>
    <n v="151"/>
    <x v="26"/>
    <x v="0"/>
    <x v="3"/>
    <x v="38"/>
    <n v="46"/>
    <n v="55.65"/>
    <n v="37.49"/>
    <n v="2559.9"/>
    <n v="1724.54"/>
    <n v="835.36"/>
    <n v="1"/>
  </r>
  <r>
    <x v="27"/>
    <n v="10128"/>
    <n v="141"/>
    <x v="4"/>
    <x v="3"/>
    <x v="0"/>
    <x v="42"/>
    <n v="41"/>
    <n v="120.2"/>
    <n v="68.3"/>
    <n v="4928.2"/>
    <n v="2800.3"/>
    <n v="2127.9"/>
    <n v="2"/>
  </r>
  <r>
    <x v="27"/>
    <n v="10128"/>
    <n v="141"/>
    <x v="4"/>
    <x v="3"/>
    <x v="3"/>
    <x v="43"/>
    <n v="41"/>
    <n v="80.67"/>
    <n v="67.56"/>
    <n v="3307.47"/>
    <n v="2769.96"/>
    <n v="537.51"/>
    <n v="2"/>
  </r>
  <r>
    <x v="27"/>
    <n v="10128"/>
    <n v="141"/>
    <x v="4"/>
    <x v="3"/>
    <x v="0"/>
    <x v="44"/>
    <n v="43"/>
    <n v="77.239999999999995"/>
    <n v="52.66"/>
    <n v="3321.32"/>
    <n v="2264.38"/>
    <n v="1056.94"/>
    <n v="2"/>
  </r>
  <r>
    <x v="27"/>
    <n v="10128"/>
    <n v="141"/>
    <x v="4"/>
    <x v="3"/>
    <x v="4"/>
    <x v="49"/>
    <n v="32"/>
    <n v="72.75"/>
    <n v="43.3"/>
    <n v="2328"/>
    <n v="1385.6"/>
    <n v="942.4"/>
    <n v="2"/>
  </r>
  <r>
    <x v="28"/>
    <n v="10129"/>
    <n v="324"/>
    <x v="27"/>
    <x v="7"/>
    <x v="1"/>
    <x v="39"/>
    <n v="33"/>
    <n v="123.76"/>
    <n v="85.68"/>
    <n v="4084.08"/>
    <n v="2827.44"/>
    <n v="1256.6400000000001"/>
    <n v="1"/>
  </r>
  <r>
    <x v="28"/>
    <n v="10129"/>
    <n v="324"/>
    <x v="27"/>
    <x v="7"/>
    <x v="4"/>
    <x v="45"/>
    <n v="45"/>
    <n v="113.06"/>
    <n v="82.34"/>
    <n v="5087.7"/>
    <n v="3705.3"/>
    <n v="1382.4"/>
    <n v="1"/>
  </r>
  <r>
    <x v="28"/>
    <n v="10129"/>
    <n v="324"/>
    <x v="27"/>
    <x v="7"/>
    <x v="0"/>
    <x v="46"/>
    <n v="41"/>
    <n v="81.430000000000007"/>
    <n v="46.91"/>
    <n v="3338.63"/>
    <n v="1923.31"/>
    <n v="1415.32"/>
    <n v="1"/>
  </r>
  <r>
    <x v="28"/>
    <n v="10129"/>
    <n v="324"/>
    <x v="27"/>
    <x v="7"/>
    <x v="0"/>
    <x v="47"/>
    <n v="50"/>
    <n v="76.31"/>
    <n v="48.64"/>
    <n v="3815.5"/>
    <n v="2432"/>
    <n v="1383.5"/>
    <n v="1"/>
  </r>
  <r>
    <x v="28"/>
    <n v="10129"/>
    <n v="324"/>
    <x v="27"/>
    <x v="7"/>
    <x v="4"/>
    <x v="48"/>
    <n v="31"/>
    <n v="58.67"/>
    <n v="34"/>
    <n v="1818.77"/>
    <n v="1054"/>
    <n v="764.77"/>
    <n v="1"/>
  </r>
  <r>
    <x v="28"/>
    <n v="10129"/>
    <n v="324"/>
    <x v="27"/>
    <x v="7"/>
    <x v="4"/>
    <x v="50"/>
    <n v="45"/>
    <n v="72.28"/>
    <n v="33.97"/>
    <n v="3252.6"/>
    <n v="1528.65"/>
    <n v="1723.95"/>
    <n v="1"/>
  </r>
  <r>
    <x v="28"/>
    <n v="10129"/>
    <n v="324"/>
    <x v="27"/>
    <x v="7"/>
    <x v="4"/>
    <x v="51"/>
    <n v="42"/>
    <n v="90.15"/>
    <n v="51.09"/>
    <n v="3786.3"/>
    <n v="2145.7800000000002"/>
    <n v="1640.52"/>
    <n v="1"/>
  </r>
  <r>
    <x v="28"/>
    <n v="10129"/>
    <n v="324"/>
    <x v="27"/>
    <x v="7"/>
    <x v="4"/>
    <x v="52"/>
    <n v="30"/>
    <n v="94.34"/>
    <n v="53.63"/>
    <n v="2830.2"/>
    <n v="1608.9"/>
    <n v="1221.3"/>
    <n v="1"/>
  </r>
  <r>
    <x v="28"/>
    <n v="10129"/>
    <n v="324"/>
    <x v="27"/>
    <x v="7"/>
    <x v="4"/>
    <x v="53"/>
    <n v="32"/>
    <n v="44.23"/>
    <n v="33.299999999999997"/>
    <n v="1415.36"/>
    <n v="1065.5999999999999"/>
    <n v="349.76"/>
    <n v="1"/>
  </r>
  <r>
    <x v="29"/>
    <n v="10131"/>
    <n v="447"/>
    <x v="28"/>
    <x v="0"/>
    <x v="5"/>
    <x v="54"/>
    <n v="21"/>
    <n v="141.91999999999999"/>
    <n v="77.27"/>
    <n v="2980.32"/>
    <n v="1622.67"/>
    <n v="1357.65"/>
    <n v="1"/>
  </r>
  <r>
    <x v="29"/>
    <n v="10131"/>
    <n v="447"/>
    <x v="28"/>
    <x v="0"/>
    <x v="5"/>
    <x v="59"/>
    <n v="35"/>
    <n v="60.97"/>
    <n v="34.25"/>
    <n v="2133.9499999999998"/>
    <n v="1198.75"/>
    <n v="935.2"/>
    <n v="1"/>
  </r>
  <r>
    <x v="29"/>
    <n v="10131"/>
    <n v="447"/>
    <x v="28"/>
    <x v="0"/>
    <x v="0"/>
    <x v="60"/>
    <n v="29"/>
    <n v="52.6"/>
    <n v="26.3"/>
    <n v="1525.4"/>
    <n v="762.7"/>
    <n v="762.7"/>
    <n v="1"/>
  </r>
  <r>
    <x v="29"/>
    <n v="10131"/>
    <n v="447"/>
    <x v="28"/>
    <x v="0"/>
    <x v="5"/>
    <x v="61"/>
    <n v="50"/>
    <n v="54.59"/>
    <n v="29.34"/>
    <n v="2729.5"/>
    <n v="1467"/>
    <n v="1262.5"/>
    <n v="1"/>
  </r>
  <r>
    <x v="29"/>
    <n v="10131"/>
    <n v="447"/>
    <x v="28"/>
    <x v="0"/>
    <x v="4"/>
    <x v="66"/>
    <n v="22"/>
    <n v="76.94"/>
    <n v="39.83"/>
    <n v="1692.68"/>
    <n v="876.26"/>
    <n v="816.42"/>
    <n v="1"/>
  </r>
  <r>
    <x v="29"/>
    <n v="10131"/>
    <n v="447"/>
    <x v="28"/>
    <x v="0"/>
    <x v="5"/>
    <x v="67"/>
    <n v="40"/>
    <n v="86.76"/>
    <n v="68.8"/>
    <n v="3470.4"/>
    <n v="2752"/>
    <n v="718.4"/>
    <n v="1"/>
  </r>
  <r>
    <x v="29"/>
    <n v="10131"/>
    <n v="447"/>
    <x v="28"/>
    <x v="0"/>
    <x v="5"/>
    <x v="70"/>
    <n v="26"/>
    <n v="63.67"/>
    <n v="36.270000000000003"/>
    <n v="1655.42"/>
    <n v="943.02"/>
    <n v="712.4"/>
    <n v="1"/>
  </r>
  <r>
    <x v="29"/>
    <n v="10131"/>
    <n v="447"/>
    <x v="28"/>
    <x v="0"/>
    <x v="5"/>
    <x v="71"/>
    <n v="21"/>
    <n v="40.22"/>
    <n v="32.770000000000003"/>
    <n v="844.62"/>
    <n v="688.17"/>
    <n v="156.44999999999999"/>
    <n v="1"/>
  </r>
  <r>
    <x v="29"/>
    <n v="10130"/>
    <n v="198"/>
    <x v="29"/>
    <x v="0"/>
    <x v="4"/>
    <x v="56"/>
    <n v="40"/>
    <n v="68.819999999999993"/>
    <n v="51.61"/>
    <n v="2752.8"/>
    <n v="2064.4"/>
    <n v="688.4"/>
    <n v="1"/>
  </r>
  <r>
    <x v="29"/>
    <n v="10130"/>
    <n v="198"/>
    <x v="29"/>
    <x v="0"/>
    <x v="0"/>
    <x v="57"/>
    <n v="33"/>
    <n v="99.52"/>
    <n v="64.58"/>
    <n v="3284.16"/>
    <n v="2131.14"/>
    <n v="1153.02"/>
    <n v="1"/>
  </r>
  <r>
    <x v="30"/>
    <n v="10132"/>
    <n v="323"/>
    <x v="30"/>
    <x v="14"/>
    <x v="5"/>
    <x v="69"/>
    <n v="36"/>
    <n v="80"/>
    <n v="54.4"/>
    <n v="2880"/>
    <n v="1958.4"/>
    <n v="921.6"/>
    <n v="1"/>
  </r>
  <r>
    <x v="31"/>
    <n v="10133"/>
    <n v="141"/>
    <x v="4"/>
    <x v="3"/>
    <x v="5"/>
    <x v="55"/>
    <n v="49"/>
    <n v="80.260000000000005"/>
    <n v="49"/>
    <n v="3932.74"/>
    <n v="2401"/>
    <n v="1531.74"/>
    <n v="3"/>
  </r>
  <r>
    <x v="31"/>
    <n v="10133"/>
    <n v="141"/>
    <x v="4"/>
    <x v="3"/>
    <x v="5"/>
    <x v="58"/>
    <n v="41"/>
    <n v="109.42"/>
    <n v="66.739999999999995"/>
    <n v="4486.22"/>
    <n v="2736.34"/>
    <n v="1749.88"/>
    <n v="3"/>
  </r>
  <r>
    <x v="31"/>
    <n v="10133"/>
    <n v="141"/>
    <x v="4"/>
    <x v="3"/>
    <x v="5"/>
    <x v="62"/>
    <n v="46"/>
    <n v="61.58"/>
    <n v="36.229999999999997"/>
    <n v="2832.68"/>
    <n v="1666.58"/>
    <n v="1166.0999999999999"/>
    <n v="3"/>
  </r>
  <r>
    <x v="31"/>
    <n v="10133"/>
    <n v="141"/>
    <x v="4"/>
    <x v="3"/>
    <x v="6"/>
    <x v="79"/>
    <n v="23"/>
    <n v="80.91"/>
    <n v="66.92"/>
    <n v="1860.93"/>
    <n v="1539.16"/>
    <n v="321.77"/>
    <n v="3"/>
  </r>
  <r>
    <x v="31"/>
    <n v="10133"/>
    <n v="141"/>
    <x v="4"/>
    <x v="3"/>
    <x v="0"/>
    <x v="63"/>
    <n v="49"/>
    <n v="67.41"/>
    <n v="33.020000000000003"/>
    <n v="3303.09"/>
    <n v="1617.98"/>
    <n v="1685.11"/>
    <n v="3"/>
  </r>
  <r>
    <x v="31"/>
    <n v="10133"/>
    <n v="141"/>
    <x v="4"/>
    <x v="3"/>
    <x v="0"/>
    <x v="64"/>
    <n v="27"/>
    <n v="37.090000000000003"/>
    <n v="27.06"/>
    <n v="1001.43"/>
    <n v="730.62"/>
    <n v="270.81"/>
    <n v="3"/>
  </r>
  <r>
    <x v="31"/>
    <n v="10133"/>
    <n v="141"/>
    <x v="4"/>
    <x v="3"/>
    <x v="5"/>
    <x v="65"/>
    <n v="24"/>
    <n v="76.73"/>
    <n v="51.15"/>
    <n v="1841.52"/>
    <n v="1227.5999999999999"/>
    <n v="613.91999999999996"/>
    <n v="3"/>
  </r>
  <r>
    <x v="31"/>
    <n v="10133"/>
    <n v="141"/>
    <x v="4"/>
    <x v="3"/>
    <x v="5"/>
    <x v="68"/>
    <n v="27"/>
    <n v="115.09"/>
    <n v="59.33"/>
    <n v="3107.43"/>
    <n v="1601.91"/>
    <n v="1505.52"/>
    <n v="3"/>
  </r>
  <r>
    <x v="32"/>
    <n v="10134"/>
    <n v="250"/>
    <x v="31"/>
    <x v="9"/>
    <x v="6"/>
    <x v="72"/>
    <n v="41"/>
    <n v="90.92"/>
    <n v="48.81"/>
    <n v="3727.72"/>
    <n v="2001.21"/>
    <n v="1726.51"/>
    <n v="1"/>
  </r>
  <r>
    <x v="32"/>
    <n v="10134"/>
    <n v="250"/>
    <x v="31"/>
    <x v="9"/>
    <x v="6"/>
    <x v="73"/>
    <n v="27"/>
    <n v="116.56"/>
    <n v="68.989999999999995"/>
    <n v="3147.12"/>
    <n v="1862.73"/>
    <n v="1284.3900000000001"/>
    <n v="1"/>
  </r>
  <r>
    <x v="32"/>
    <n v="10134"/>
    <n v="250"/>
    <x v="31"/>
    <x v="9"/>
    <x v="6"/>
    <x v="74"/>
    <n v="31"/>
    <n v="187.85"/>
    <n v="91.02"/>
    <n v="5823.35"/>
    <n v="2821.62"/>
    <n v="3001.73"/>
    <n v="1"/>
  </r>
  <r>
    <x v="32"/>
    <n v="10134"/>
    <n v="250"/>
    <x v="31"/>
    <x v="9"/>
    <x v="6"/>
    <x v="75"/>
    <n v="20"/>
    <n v="131.04"/>
    <n v="66.27"/>
    <n v="2620.8000000000002"/>
    <n v="1325.4"/>
    <n v="1295.4000000000001"/>
    <n v="1"/>
  </r>
  <r>
    <x v="32"/>
    <n v="10134"/>
    <n v="250"/>
    <x v="31"/>
    <x v="9"/>
    <x v="6"/>
    <x v="76"/>
    <n v="30"/>
    <n v="51.48"/>
    <n v="24.23"/>
    <n v="1544.4"/>
    <n v="726.9"/>
    <n v="817.5"/>
    <n v="1"/>
  </r>
  <r>
    <x v="32"/>
    <n v="10134"/>
    <n v="250"/>
    <x v="31"/>
    <x v="9"/>
    <x v="6"/>
    <x v="77"/>
    <n v="35"/>
    <n v="94.67"/>
    <n v="60.86"/>
    <n v="3313.45"/>
    <n v="2130.1"/>
    <n v="1183.3499999999999"/>
    <n v="1"/>
  </r>
  <r>
    <x v="32"/>
    <n v="10134"/>
    <n v="250"/>
    <x v="31"/>
    <x v="9"/>
    <x v="6"/>
    <x v="78"/>
    <n v="43"/>
    <n v="75.41"/>
    <n v="37.32"/>
    <n v="3242.63"/>
    <n v="1604.76"/>
    <n v="1637.87"/>
    <n v="1"/>
  </r>
  <r>
    <x v="33"/>
    <n v="10135"/>
    <n v="124"/>
    <x v="13"/>
    <x v="0"/>
    <x v="1"/>
    <x v="80"/>
    <n v="42"/>
    <n v="173.17"/>
    <n v="95.34"/>
    <n v="7273.14"/>
    <n v="4004.28"/>
    <n v="3268.86"/>
    <n v="2"/>
  </r>
  <r>
    <x v="33"/>
    <n v="10135"/>
    <n v="124"/>
    <x v="13"/>
    <x v="0"/>
    <x v="1"/>
    <x v="81"/>
    <n v="48"/>
    <n v="110.39"/>
    <n v="75.16"/>
    <n v="5298.72"/>
    <n v="3607.68"/>
    <n v="1691.04"/>
    <n v="2"/>
  </r>
  <r>
    <x v="33"/>
    <n v="10135"/>
    <n v="124"/>
    <x v="13"/>
    <x v="0"/>
    <x v="1"/>
    <x v="82"/>
    <n v="24"/>
    <n v="72.62"/>
    <n v="31.92"/>
    <n v="1742.88"/>
    <n v="766.08"/>
    <n v="976.8"/>
    <n v="2"/>
  </r>
  <r>
    <x v="33"/>
    <n v="10135"/>
    <n v="124"/>
    <x v="13"/>
    <x v="0"/>
    <x v="1"/>
    <x v="83"/>
    <n v="29"/>
    <n v="103.64"/>
    <n v="58.73"/>
    <n v="3005.56"/>
    <n v="1703.17"/>
    <n v="1302.3900000000001"/>
    <n v="2"/>
  </r>
  <r>
    <x v="33"/>
    <n v="10135"/>
    <n v="124"/>
    <x v="13"/>
    <x v="0"/>
    <x v="1"/>
    <x v="84"/>
    <n v="48"/>
    <n v="66.989999999999995"/>
    <n v="53.9"/>
    <n v="3215.52"/>
    <n v="2587.1999999999998"/>
    <n v="628.32000000000005"/>
    <n v="2"/>
  </r>
  <r>
    <x v="33"/>
    <n v="10135"/>
    <n v="124"/>
    <x v="13"/>
    <x v="0"/>
    <x v="1"/>
    <x v="85"/>
    <n v="45"/>
    <n v="65.94"/>
    <n v="49.05"/>
    <n v="2967.3"/>
    <n v="2207.25"/>
    <n v="760.05"/>
    <n v="2"/>
  </r>
  <r>
    <x v="33"/>
    <n v="10135"/>
    <n v="124"/>
    <x v="13"/>
    <x v="0"/>
    <x v="1"/>
    <x v="86"/>
    <n v="42"/>
    <n v="139.63999999999999"/>
    <n v="73.489999999999995"/>
    <n v="5864.88"/>
    <n v="3086.58"/>
    <n v="2778.3"/>
    <n v="2"/>
  </r>
  <r>
    <x v="33"/>
    <n v="10135"/>
    <n v="124"/>
    <x v="13"/>
    <x v="0"/>
    <x v="6"/>
    <x v="87"/>
    <n v="45"/>
    <n v="49.74"/>
    <n v="32.950000000000003"/>
    <n v="2238.3000000000002"/>
    <n v="1482.75"/>
    <n v="755.55"/>
    <n v="2"/>
  </r>
  <r>
    <x v="33"/>
    <n v="10135"/>
    <n v="124"/>
    <x v="13"/>
    <x v="0"/>
    <x v="1"/>
    <x v="88"/>
    <n v="31"/>
    <n v="133.91999999999999"/>
    <n v="69.930000000000007"/>
    <n v="4151.5200000000004"/>
    <n v="2167.83"/>
    <n v="1983.69"/>
    <n v="2"/>
  </r>
  <r>
    <x v="33"/>
    <n v="10135"/>
    <n v="124"/>
    <x v="13"/>
    <x v="0"/>
    <x v="6"/>
    <x v="89"/>
    <n v="29"/>
    <n v="67.180000000000007"/>
    <n v="47.1"/>
    <n v="1948.22"/>
    <n v="1365.9"/>
    <n v="582.32000000000005"/>
    <n v="2"/>
  </r>
  <r>
    <x v="33"/>
    <n v="10135"/>
    <n v="124"/>
    <x v="13"/>
    <x v="0"/>
    <x v="1"/>
    <x v="100"/>
    <n v="20"/>
    <n v="34.36"/>
    <n v="16.239999999999998"/>
    <n v="687.2"/>
    <n v="324.8"/>
    <n v="362.4"/>
    <n v="2"/>
  </r>
  <r>
    <x v="33"/>
    <n v="10135"/>
    <n v="124"/>
    <x v="13"/>
    <x v="0"/>
    <x v="1"/>
    <x v="90"/>
    <n v="27"/>
    <n v="52.05"/>
    <n v="38.58"/>
    <n v="1405.35"/>
    <n v="1041.6600000000001"/>
    <n v="363.69"/>
    <n v="2"/>
  </r>
  <r>
    <x v="33"/>
    <n v="10135"/>
    <n v="124"/>
    <x v="13"/>
    <x v="0"/>
    <x v="1"/>
    <x v="91"/>
    <n v="47"/>
    <n v="139.03"/>
    <n v="98.3"/>
    <n v="6534.41"/>
    <n v="4620.1000000000004"/>
    <n v="1914.31"/>
    <n v="2"/>
  </r>
  <r>
    <x v="33"/>
    <n v="10135"/>
    <n v="124"/>
    <x v="13"/>
    <x v="0"/>
    <x v="1"/>
    <x v="92"/>
    <n v="23"/>
    <n v="76.8"/>
    <n v="32.33"/>
    <n v="1766.4"/>
    <n v="743.59"/>
    <n v="1022.81"/>
    <n v="2"/>
  </r>
  <r>
    <x v="33"/>
    <n v="10135"/>
    <n v="124"/>
    <x v="13"/>
    <x v="0"/>
    <x v="6"/>
    <x v="93"/>
    <n v="33"/>
    <n v="38.619999999999997"/>
    <n v="24.14"/>
    <n v="1274.46"/>
    <n v="796.62"/>
    <n v="477.84"/>
    <n v="2"/>
  </r>
  <r>
    <x v="33"/>
    <n v="10135"/>
    <n v="124"/>
    <x v="13"/>
    <x v="0"/>
    <x v="6"/>
    <x v="94"/>
    <n v="30"/>
    <n v="91.85"/>
    <n v="56.13"/>
    <n v="2755.5"/>
    <n v="1683.9"/>
    <n v="1071.5999999999999"/>
    <n v="2"/>
  </r>
  <r>
    <x v="33"/>
    <n v="10135"/>
    <n v="124"/>
    <x v="13"/>
    <x v="0"/>
    <x v="6"/>
    <x v="95"/>
    <n v="44"/>
    <n v="78.92"/>
    <n v="34.17"/>
    <n v="3472.48"/>
    <n v="1503.48"/>
    <n v="1969"/>
    <n v="2"/>
  </r>
  <r>
    <x v="34"/>
    <n v="10136"/>
    <n v="242"/>
    <x v="32"/>
    <x v="9"/>
    <x v="1"/>
    <x v="96"/>
    <n v="25"/>
    <n v="117.48"/>
    <n v="83.51"/>
    <n v="2937"/>
    <n v="2087.75"/>
    <n v="849.25"/>
    <n v="1"/>
  </r>
  <r>
    <x v="34"/>
    <n v="10136"/>
    <n v="242"/>
    <x v="32"/>
    <x v="9"/>
    <x v="1"/>
    <x v="97"/>
    <n v="36"/>
    <n v="120.91"/>
    <n v="93.89"/>
    <n v="4352.76"/>
    <n v="3380.04"/>
    <n v="972.72"/>
    <n v="1"/>
  </r>
  <r>
    <x v="34"/>
    <n v="10136"/>
    <n v="242"/>
    <x v="32"/>
    <x v="9"/>
    <x v="1"/>
    <x v="30"/>
    <n v="41"/>
    <n v="169.34"/>
    <n v="77.900000000000006"/>
    <n v="6942.94"/>
    <n v="3193.9"/>
    <n v="3749.04"/>
    <n v="1"/>
  </r>
  <r>
    <x v="35"/>
    <n v="10138"/>
    <n v="496"/>
    <x v="33"/>
    <x v="14"/>
    <x v="0"/>
    <x v="0"/>
    <n v="33"/>
    <n v="149.6"/>
    <n v="86.7"/>
    <n v="4936.8"/>
    <n v="2861.1"/>
    <n v="2075.6999999999998"/>
    <n v="1"/>
  </r>
  <r>
    <x v="35"/>
    <n v="10138"/>
    <n v="496"/>
    <x v="33"/>
    <x v="14"/>
    <x v="0"/>
    <x v="1"/>
    <n v="22"/>
    <n v="51.46"/>
    <n v="33.299999999999997"/>
    <n v="1132.1199999999999"/>
    <n v="732.6"/>
    <n v="399.52"/>
    <n v="1"/>
  </r>
  <r>
    <x v="35"/>
    <n v="10138"/>
    <n v="496"/>
    <x v="33"/>
    <x v="14"/>
    <x v="0"/>
    <x v="4"/>
    <n v="38"/>
    <n v="114.42"/>
    <n v="58.48"/>
    <n v="4347.96"/>
    <n v="2222.2399999999998"/>
    <n v="2125.7199999999998"/>
    <n v="1"/>
  </r>
  <r>
    <x v="35"/>
    <n v="10138"/>
    <n v="496"/>
    <x v="33"/>
    <x v="14"/>
    <x v="0"/>
    <x v="2"/>
    <n v="47"/>
    <n v="79.150000000000006"/>
    <n v="43.26"/>
    <n v="3720.05"/>
    <n v="2033.22"/>
    <n v="1686.83"/>
    <n v="1"/>
  </r>
  <r>
    <x v="35"/>
    <n v="10138"/>
    <n v="496"/>
    <x v="33"/>
    <x v="14"/>
    <x v="1"/>
    <x v="102"/>
    <n v="23"/>
    <n v="64.86"/>
    <n v="34.21"/>
    <n v="1491.78"/>
    <n v="786.83"/>
    <n v="704.95"/>
    <n v="1"/>
  </r>
  <r>
    <x v="35"/>
    <n v="10138"/>
    <n v="496"/>
    <x v="33"/>
    <x v="14"/>
    <x v="1"/>
    <x v="103"/>
    <n v="45"/>
    <n v="59.53"/>
    <n v="49.24"/>
    <n v="2678.85"/>
    <n v="2215.8000000000002"/>
    <n v="463.05"/>
    <n v="1"/>
  </r>
  <r>
    <x v="35"/>
    <n v="10138"/>
    <n v="496"/>
    <x v="33"/>
    <x v="14"/>
    <x v="0"/>
    <x v="6"/>
    <n v="22"/>
    <n v="33.19"/>
    <n v="22.57"/>
    <n v="730.18"/>
    <n v="496.54"/>
    <n v="233.64"/>
    <n v="1"/>
  </r>
  <r>
    <x v="35"/>
    <n v="10138"/>
    <n v="496"/>
    <x v="33"/>
    <x v="14"/>
    <x v="0"/>
    <x v="7"/>
    <n v="33"/>
    <n v="38.53"/>
    <n v="20.61"/>
    <n v="1271.49"/>
    <n v="680.13"/>
    <n v="591.36"/>
    <n v="1"/>
  </r>
  <r>
    <x v="35"/>
    <n v="10138"/>
    <n v="496"/>
    <x v="33"/>
    <x v="14"/>
    <x v="1"/>
    <x v="105"/>
    <n v="28"/>
    <n v="73.599999999999994"/>
    <n v="47.25"/>
    <n v="2060.8000000000002"/>
    <n v="1323"/>
    <n v="737.8"/>
    <n v="1"/>
  </r>
  <r>
    <x v="35"/>
    <n v="10138"/>
    <n v="496"/>
    <x v="33"/>
    <x v="14"/>
    <x v="1"/>
    <x v="106"/>
    <n v="30"/>
    <n v="96.3"/>
    <n v="72.819999999999993"/>
    <n v="2889"/>
    <n v="2184.6"/>
    <n v="704.4"/>
    <n v="1"/>
  </r>
  <r>
    <x v="35"/>
    <n v="10138"/>
    <n v="496"/>
    <x v="33"/>
    <x v="14"/>
    <x v="1"/>
    <x v="107"/>
    <n v="49"/>
    <n v="77.05"/>
    <n v="50.51"/>
    <n v="3775.45"/>
    <n v="2474.9899999999998"/>
    <n v="1300.46"/>
    <n v="1"/>
  </r>
  <r>
    <x v="35"/>
    <n v="10138"/>
    <n v="496"/>
    <x v="33"/>
    <x v="14"/>
    <x v="1"/>
    <x v="108"/>
    <n v="21"/>
    <n v="99.58"/>
    <n v="62.11"/>
    <n v="2091.1799999999998"/>
    <n v="1304.31"/>
    <n v="786.87"/>
    <n v="1"/>
  </r>
  <r>
    <x v="35"/>
    <n v="10138"/>
    <n v="496"/>
    <x v="33"/>
    <x v="14"/>
    <x v="0"/>
    <x v="3"/>
    <n v="29"/>
    <n v="32.82"/>
    <n v="21.75"/>
    <n v="951.78"/>
    <n v="630.75"/>
    <n v="321.02999999999997"/>
    <n v="1"/>
  </r>
  <r>
    <x v="36"/>
    <n v="10137"/>
    <n v="353"/>
    <x v="21"/>
    <x v="9"/>
    <x v="1"/>
    <x v="101"/>
    <n v="44"/>
    <n v="115.73"/>
    <n v="65.959999999999994"/>
    <n v="5092.12"/>
    <n v="2902.24"/>
    <n v="2189.88"/>
    <n v="2"/>
  </r>
  <r>
    <x v="36"/>
    <n v="10137"/>
    <n v="353"/>
    <x v="21"/>
    <x v="9"/>
    <x v="1"/>
    <x v="98"/>
    <n v="37"/>
    <n v="110.88"/>
    <n v="56.76"/>
    <n v="4102.5600000000004"/>
    <n v="2100.12"/>
    <n v="2002.44"/>
    <n v="2"/>
  </r>
  <r>
    <x v="36"/>
    <n v="10137"/>
    <n v="353"/>
    <x v="21"/>
    <x v="9"/>
    <x v="1"/>
    <x v="99"/>
    <n v="31"/>
    <n v="118.68"/>
    <n v="62.16"/>
    <n v="3679.08"/>
    <n v="1926.96"/>
    <n v="1752.12"/>
    <n v="2"/>
  </r>
  <r>
    <x v="36"/>
    <n v="10137"/>
    <n v="353"/>
    <x v="21"/>
    <x v="9"/>
    <x v="1"/>
    <x v="104"/>
    <n v="26"/>
    <n v="40.25"/>
    <n v="29.18"/>
    <n v="1046.5"/>
    <n v="758.68"/>
    <n v="287.82"/>
    <n v="2"/>
  </r>
  <r>
    <x v="37"/>
    <n v="10139"/>
    <n v="282"/>
    <x v="34"/>
    <x v="13"/>
    <x v="0"/>
    <x v="8"/>
    <n v="31"/>
    <n v="89.38"/>
    <n v="60.62"/>
    <n v="2770.78"/>
    <n v="1879.22"/>
    <n v="891.56"/>
    <n v="1"/>
  </r>
  <r>
    <x v="37"/>
    <n v="10139"/>
    <n v="282"/>
    <x v="34"/>
    <x v="13"/>
    <x v="0"/>
    <x v="9"/>
    <n v="49"/>
    <n v="52.83"/>
    <n v="24.26"/>
    <n v="2588.67"/>
    <n v="1188.74"/>
    <n v="1399.93"/>
    <n v="1"/>
  </r>
  <r>
    <x v="37"/>
    <n v="10139"/>
    <n v="282"/>
    <x v="34"/>
    <x v="13"/>
    <x v="0"/>
    <x v="5"/>
    <n v="41"/>
    <n v="151.88"/>
    <n v="72.56"/>
    <n v="6227.08"/>
    <n v="2974.96"/>
    <n v="3252.12"/>
    <n v="1"/>
  </r>
  <r>
    <x v="37"/>
    <n v="10139"/>
    <n v="282"/>
    <x v="34"/>
    <x v="13"/>
    <x v="0"/>
    <x v="15"/>
    <n v="46"/>
    <n v="91.18"/>
    <n v="60.78"/>
    <n v="4194.28"/>
    <n v="2795.88"/>
    <n v="1398.4"/>
    <n v="1"/>
  </r>
  <r>
    <x v="37"/>
    <n v="10139"/>
    <n v="282"/>
    <x v="34"/>
    <x v="13"/>
    <x v="0"/>
    <x v="16"/>
    <n v="20"/>
    <n v="52.47"/>
    <n v="34.35"/>
    <n v="1049.4000000000001"/>
    <n v="687"/>
    <n v="362.4"/>
    <n v="1"/>
  </r>
  <r>
    <x v="37"/>
    <n v="10139"/>
    <n v="282"/>
    <x v="34"/>
    <x v="13"/>
    <x v="0"/>
    <x v="17"/>
    <n v="20"/>
    <n v="101.58"/>
    <n v="60.74"/>
    <n v="2031.6"/>
    <n v="1214.8"/>
    <n v="816.8"/>
    <n v="1"/>
  </r>
  <r>
    <x v="37"/>
    <n v="10139"/>
    <n v="282"/>
    <x v="34"/>
    <x v="13"/>
    <x v="0"/>
    <x v="18"/>
    <n v="30"/>
    <n v="81.349999999999994"/>
    <n v="57.54"/>
    <n v="2440.5"/>
    <n v="1726.2"/>
    <n v="714.3"/>
    <n v="1"/>
  </r>
  <r>
    <x v="37"/>
    <n v="10139"/>
    <n v="282"/>
    <x v="34"/>
    <x v="13"/>
    <x v="0"/>
    <x v="22"/>
    <n v="29"/>
    <n v="93.49"/>
    <n v="57.46"/>
    <n v="2711.21"/>
    <n v="1666.34"/>
    <n v="1044.8699999999999"/>
    <n v="1"/>
  </r>
  <r>
    <x v="38"/>
    <n v="10140"/>
    <n v="161"/>
    <x v="35"/>
    <x v="0"/>
    <x v="1"/>
    <x v="10"/>
    <n v="37"/>
    <n v="186.44"/>
    <n v="98.58"/>
    <n v="6898.28"/>
    <n v="3647.46"/>
    <n v="3250.82"/>
    <n v="1"/>
  </r>
  <r>
    <x v="38"/>
    <n v="10140"/>
    <n v="161"/>
    <x v="35"/>
    <x v="0"/>
    <x v="1"/>
    <x v="11"/>
    <n v="26"/>
    <n v="131.49"/>
    <n v="103.42"/>
    <n v="3418.74"/>
    <n v="2688.92"/>
    <n v="729.82"/>
    <n v="1"/>
  </r>
  <r>
    <x v="38"/>
    <n v="10140"/>
    <n v="161"/>
    <x v="35"/>
    <x v="0"/>
    <x v="2"/>
    <x v="12"/>
    <n v="38"/>
    <n v="118.9"/>
    <n v="77.900000000000006"/>
    <n v="4518.2"/>
    <n v="2960.2"/>
    <n v="1558"/>
    <n v="1"/>
  </r>
  <r>
    <x v="38"/>
    <n v="10140"/>
    <n v="161"/>
    <x v="35"/>
    <x v="0"/>
    <x v="2"/>
    <x v="13"/>
    <n v="32"/>
    <n v="95.67"/>
    <n v="58.33"/>
    <n v="3061.44"/>
    <n v="1866.56"/>
    <n v="1194.8800000000001"/>
    <n v="1"/>
  </r>
  <r>
    <x v="38"/>
    <n v="10140"/>
    <n v="161"/>
    <x v="35"/>
    <x v="0"/>
    <x v="2"/>
    <x v="14"/>
    <n v="46"/>
    <n v="51.05"/>
    <n v="24.92"/>
    <n v="2348.3000000000002"/>
    <n v="1146.32"/>
    <n v="1201.98"/>
    <n v="1"/>
  </r>
  <r>
    <x v="38"/>
    <n v="10140"/>
    <n v="161"/>
    <x v="35"/>
    <x v="0"/>
    <x v="2"/>
    <x v="19"/>
    <n v="40"/>
    <n v="100.5"/>
    <n v="84.76"/>
    <n v="4020"/>
    <n v="3390.4"/>
    <n v="629.6"/>
    <n v="1"/>
  </r>
  <r>
    <x v="38"/>
    <n v="10140"/>
    <n v="161"/>
    <x v="35"/>
    <x v="0"/>
    <x v="0"/>
    <x v="20"/>
    <n v="29"/>
    <n v="40.25"/>
    <n v="23.14"/>
    <n v="1167.25"/>
    <n v="671.06"/>
    <n v="496.19"/>
    <n v="1"/>
  </r>
  <r>
    <x v="38"/>
    <n v="10140"/>
    <n v="161"/>
    <x v="35"/>
    <x v="0"/>
    <x v="2"/>
    <x v="21"/>
    <n v="47"/>
    <n v="118.84"/>
    <n v="61.34"/>
    <n v="5585.48"/>
    <n v="2882.98"/>
    <n v="2702.5"/>
    <n v="1"/>
  </r>
  <r>
    <x v="38"/>
    <n v="10140"/>
    <n v="161"/>
    <x v="35"/>
    <x v="0"/>
    <x v="2"/>
    <x v="23"/>
    <n v="26"/>
    <n v="87.64"/>
    <n v="53.93"/>
    <n v="2278.64"/>
    <n v="1402.18"/>
    <n v="876.46"/>
    <n v="1"/>
  </r>
  <r>
    <x v="38"/>
    <n v="10140"/>
    <n v="161"/>
    <x v="35"/>
    <x v="0"/>
    <x v="2"/>
    <x v="24"/>
    <n v="28"/>
    <n v="62.05"/>
    <n v="33.61"/>
    <n v="1737.4"/>
    <n v="941.08"/>
    <n v="796.32"/>
    <n v="1"/>
  </r>
  <r>
    <x v="38"/>
    <n v="10140"/>
    <n v="161"/>
    <x v="35"/>
    <x v="0"/>
    <x v="1"/>
    <x v="25"/>
    <n v="36"/>
    <n v="101.15"/>
    <n v="46.53"/>
    <n v="3641.4"/>
    <n v="1675.08"/>
    <n v="1966.32"/>
    <n v="1"/>
  </r>
  <r>
    <x v="39"/>
    <n v="10141"/>
    <n v="334"/>
    <x v="36"/>
    <x v="15"/>
    <x v="2"/>
    <x v="27"/>
    <n v="21"/>
    <n v="114.95"/>
    <n v="55.7"/>
    <n v="2413.9499999999998"/>
    <n v="1169.7"/>
    <n v="1244.25"/>
    <n v="1"/>
  </r>
  <r>
    <x v="39"/>
    <n v="10141"/>
    <n v="334"/>
    <x v="36"/>
    <x v="15"/>
    <x v="1"/>
    <x v="28"/>
    <n v="39"/>
    <n v="160.46"/>
    <n v="101.51"/>
    <n v="6257.94"/>
    <n v="3958.89"/>
    <n v="2299.0500000000002"/>
    <n v="1"/>
  </r>
  <r>
    <x v="39"/>
    <n v="10141"/>
    <n v="334"/>
    <x v="36"/>
    <x v="15"/>
    <x v="2"/>
    <x v="29"/>
    <n v="47"/>
    <n v="103.09"/>
    <n v="74.86"/>
    <n v="4845.2299999999996"/>
    <n v="3518.42"/>
    <n v="1326.81"/>
    <n v="1"/>
  </r>
  <r>
    <x v="39"/>
    <n v="10141"/>
    <n v="334"/>
    <x v="36"/>
    <x v="15"/>
    <x v="1"/>
    <x v="30"/>
    <n v="34"/>
    <n v="143.94"/>
    <n v="77.900000000000006"/>
    <n v="4893.96"/>
    <n v="2648.6"/>
    <n v="2245.36"/>
    <n v="1"/>
  </r>
  <r>
    <x v="39"/>
    <n v="10141"/>
    <n v="334"/>
    <x v="36"/>
    <x v="15"/>
    <x v="1"/>
    <x v="32"/>
    <n v="20"/>
    <n v="50.86"/>
    <n v="32.369999999999997"/>
    <n v="1017.2"/>
    <n v="647.4"/>
    <n v="369.8"/>
    <n v="1"/>
  </r>
  <r>
    <x v="39"/>
    <n v="10141"/>
    <n v="334"/>
    <x v="36"/>
    <x v="15"/>
    <x v="1"/>
    <x v="33"/>
    <n v="21"/>
    <n v="32.18"/>
    <n v="15.91"/>
    <n v="675.78"/>
    <n v="334.11"/>
    <n v="341.67"/>
    <n v="1"/>
  </r>
  <r>
    <x v="39"/>
    <n v="10141"/>
    <n v="334"/>
    <x v="36"/>
    <x v="15"/>
    <x v="1"/>
    <x v="34"/>
    <n v="40"/>
    <n v="104.09"/>
    <n v="69.78"/>
    <n v="4163.6000000000004"/>
    <n v="2791.2"/>
    <n v="1372.4"/>
    <n v="1"/>
  </r>
  <r>
    <x v="39"/>
    <n v="10141"/>
    <n v="334"/>
    <x v="36"/>
    <x v="15"/>
    <x v="2"/>
    <x v="35"/>
    <n v="24"/>
    <n v="53.03"/>
    <n v="25.98"/>
    <n v="1272.72"/>
    <n v="623.52"/>
    <n v="649.20000000000005"/>
    <n v="1"/>
  </r>
  <r>
    <x v="39"/>
    <n v="10141"/>
    <n v="334"/>
    <x v="36"/>
    <x v="15"/>
    <x v="2"/>
    <x v="37"/>
    <n v="44"/>
    <n v="94.92"/>
    <n v="68.290000000000006"/>
    <n v="4176.4799999999996"/>
    <n v="3004.76"/>
    <n v="1171.72"/>
    <n v="1"/>
  </r>
  <r>
    <x v="40"/>
    <n v="10142"/>
    <n v="124"/>
    <x v="13"/>
    <x v="0"/>
    <x v="1"/>
    <x v="40"/>
    <n v="33"/>
    <n v="166.24"/>
    <n v="95.59"/>
    <n v="5485.92"/>
    <n v="3154.47"/>
    <n v="2331.4499999999998"/>
    <n v="3"/>
  </r>
  <r>
    <x v="40"/>
    <n v="10142"/>
    <n v="124"/>
    <x v="13"/>
    <x v="0"/>
    <x v="1"/>
    <x v="26"/>
    <n v="33"/>
    <n v="140.5"/>
    <n v="89.14"/>
    <n v="4636.5"/>
    <n v="2941.62"/>
    <n v="1694.88"/>
    <n v="3"/>
  </r>
  <r>
    <x v="40"/>
    <n v="10142"/>
    <n v="124"/>
    <x v="13"/>
    <x v="0"/>
    <x v="1"/>
    <x v="41"/>
    <n v="46"/>
    <n v="167.83"/>
    <n v="83.05"/>
    <n v="7720.18"/>
    <n v="3820.3"/>
    <n v="3899.88"/>
    <n v="3"/>
  </r>
  <r>
    <x v="40"/>
    <n v="10142"/>
    <n v="124"/>
    <x v="13"/>
    <x v="0"/>
    <x v="0"/>
    <x v="42"/>
    <n v="47"/>
    <n v="129.76"/>
    <n v="68.3"/>
    <n v="6098.72"/>
    <n v="3210.1"/>
    <n v="2888.62"/>
    <n v="3"/>
  </r>
  <r>
    <x v="40"/>
    <n v="10142"/>
    <n v="124"/>
    <x v="13"/>
    <x v="0"/>
    <x v="3"/>
    <x v="43"/>
    <n v="22"/>
    <n v="95.8"/>
    <n v="67.56"/>
    <n v="2107.6"/>
    <n v="1486.32"/>
    <n v="621.28"/>
    <n v="3"/>
  </r>
  <r>
    <x v="40"/>
    <n v="10142"/>
    <n v="124"/>
    <x v="13"/>
    <x v="0"/>
    <x v="1"/>
    <x v="31"/>
    <n v="24"/>
    <n v="122.08"/>
    <n v="91.92"/>
    <n v="2929.92"/>
    <n v="2206.08"/>
    <n v="723.84"/>
    <n v="3"/>
  </r>
  <r>
    <x v="40"/>
    <n v="10142"/>
    <n v="124"/>
    <x v="13"/>
    <x v="0"/>
    <x v="0"/>
    <x v="44"/>
    <n v="24"/>
    <n v="79.87"/>
    <n v="52.66"/>
    <n v="1916.88"/>
    <n v="1263.8399999999999"/>
    <n v="653.04"/>
    <n v="3"/>
  </r>
  <r>
    <x v="40"/>
    <n v="10142"/>
    <n v="124"/>
    <x v="13"/>
    <x v="0"/>
    <x v="4"/>
    <x v="45"/>
    <n v="33"/>
    <n v="114.29"/>
    <n v="82.34"/>
    <n v="3771.57"/>
    <n v="2717.22"/>
    <n v="1054.3499999999999"/>
    <n v="3"/>
  </r>
  <r>
    <x v="40"/>
    <n v="10142"/>
    <n v="124"/>
    <x v="13"/>
    <x v="0"/>
    <x v="0"/>
    <x v="46"/>
    <n v="49"/>
    <n v="74.349999999999994"/>
    <n v="46.91"/>
    <n v="3643.15"/>
    <n v="2298.59"/>
    <n v="1344.56"/>
    <n v="3"/>
  </r>
  <r>
    <x v="40"/>
    <n v="10142"/>
    <n v="124"/>
    <x v="13"/>
    <x v="0"/>
    <x v="3"/>
    <x v="36"/>
    <n v="42"/>
    <n v="60.9"/>
    <n v="26.72"/>
    <n v="2557.8000000000002"/>
    <n v="1122.24"/>
    <n v="1435.56"/>
    <n v="3"/>
  </r>
  <r>
    <x v="40"/>
    <n v="10142"/>
    <n v="124"/>
    <x v="13"/>
    <x v="0"/>
    <x v="3"/>
    <x v="38"/>
    <n v="42"/>
    <n v="56.24"/>
    <n v="37.49"/>
    <n v="2362.08"/>
    <n v="1574.58"/>
    <n v="787.5"/>
    <n v="3"/>
  </r>
  <r>
    <x v="40"/>
    <n v="10142"/>
    <n v="124"/>
    <x v="13"/>
    <x v="0"/>
    <x v="4"/>
    <x v="48"/>
    <n v="41"/>
    <n v="55.34"/>
    <n v="34"/>
    <n v="2268.94"/>
    <n v="1394"/>
    <n v="874.94"/>
    <n v="3"/>
  </r>
  <r>
    <x v="40"/>
    <n v="10142"/>
    <n v="124"/>
    <x v="13"/>
    <x v="0"/>
    <x v="4"/>
    <x v="49"/>
    <n v="43"/>
    <n v="77.08"/>
    <n v="43.3"/>
    <n v="3314.44"/>
    <n v="1861.9"/>
    <n v="1452.54"/>
    <n v="3"/>
  </r>
  <r>
    <x v="40"/>
    <n v="10142"/>
    <n v="124"/>
    <x v="13"/>
    <x v="0"/>
    <x v="4"/>
    <x v="51"/>
    <n v="21"/>
    <n v="92.16"/>
    <n v="51.09"/>
    <n v="1935.36"/>
    <n v="1072.8900000000001"/>
    <n v="862.47"/>
    <n v="3"/>
  </r>
  <r>
    <x v="40"/>
    <n v="10142"/>
    <n v="124"/>
    <x v="13"/>
    <x v="0"/>
    <x v="4"/>
    <x v="52"/>
    <n v="38"/>
    <n v="91.37"/>
    <n v="53.63"/>
    <n v="3472.06"/>
    <n v="2037.94"/>
    <n v="1434.12"/>
    <n v="3"/>
  </r>
  <r>
    <x v="40"/>
    <n v="10142"/>
    <n v="124"/>
    <x v="13"/>
    <x v="0"/>
    <x v="4"/>
    <x v="53"/>
    <n v="39"/>
    <n v="46.96"/>
    <n v="33.299999999999997"/>
    <n v="1831.44"/>
    <n v="1298.7"/>
    <n v="532.74"/>
    <n v="3"/>
  </r>
  <r>
    <x v="41"/>
    <n v="10143"/>
    <n v="320"/>
    <x v="37"/>
    <x v="0"/>
    <x v="1"/>
    <x v="39"/>
    <n v="49"/>
    <n v="133.28"/>
    <n v="85.68"/>
    <n v="6530.72"/>
    <n v="4198.32"/>
    <n v="2332.4"/>
    <n v="1"/>
  </r>
  <r>
    <x v="41"/>
    <n v="10143"/>
    <n v="320"/>
    <x v="37"/>
    <x v="0"/>
    <x v="5"/>
    <x v="54"/>
    <n v="32"/>
    <n v="126.15"/>
    <n v="77.27"/>
    <n v="4036.8"/>
    <n v="2472.64"/>
    <n v="1564.16"/>
    <n v="1"/>
  </r>
  <r>
    <x v="41"/>
    <n v="10143"/>
    <n v="320"/>
    <x v="37"/>
    <x v="0"/>
    <x v="4"/>
    <x v="56"/>
    <n v="46"/>
    <n v="70.540000000000006"/>
    <n v="51.61"/>
    <n v="3244.84"/>
    <n v="2374.06"/>
    <n v="870.78"/>
    <n v="1"/>
  </r>
  <r>
    <x v="41"/>
    <n v="10143"/>
    <n v="320"/>
    <x v="37"/>
    <x v="0"/>
    <x v="0"/>
    <x v="57"/>
    <n v="34"/>
    <n v="99.52"/>
    <n v="64.58"/>
    <n v="3383.68"/>
    <n v="2195.7199999999998"/>
    <n v="1187.96"/>
    <n v="1"/>
  </r>
  <r>
    <x v="41"/>
    <n v="10143"/>
    <n v="320"/>
    <x v="37"/>
    <x v="0"/>
    <x v="5"/>
    <x v="59"/>
    <n v="27"/>
    <n v="63.71"/>
    <n v="34.25"/>
    <n v="1720.17"/>
    <n v="924.75"/>
    <n v="795.42"/>
    <n v="1"/>
  </r>
  <r>
    <x v="41"/>
    <n v="10143"/>
    <n v="320"/>
    <x v="37"/>
    <x v="0"/>
    <x v="0"/>
    <x v="60"/>
    <n v="33"/>
    <n v="59.83"/>
    <n v="26.3"/>
    <n v="1974.39"/>
    <n v="867.9"/>
    <n v="1106.49"/>
    <n v="1"/>
  </r>
  <r>
    <x v="41"/>
    <n v="10143"/>
    <n v="320"/>
    <x v="37"/>
    <x v="0"/>
    <x v="0"/>
    <x v="47"/>
    <n v="23"/>
    <n v="74.64"/>
    <n v="48.64"/>
    <n v="1716.72"/>
    <n v="1118.72"/>
    <n v="598"/>
    <n v="1"/>
  </r>
  <r>
    <x v="41"/>
    <n v="10143"/>
    <n v="320"/>
    <x v="37"/>
    <x v="0"/>
    <x v="5"/>
    <x v="61"/>
    <n v="28"/>
    <n v="55.96"/>
    <n v="29.34"/>
    <n v="1566.88"/>
    <n v="821.52"/>
    <n v="745.36"/>
    <n v="1"/>
  </r>
  <r>
    <x v="41"/>
    <n v="10143"/>
    <n v="320"/>
    <x v="37"/>
    <x v="0"/>
    <x v="0"/>
    <x v="64"/>
    <n v="34"/>
    <n v="34.909999999999997"/>
    <n v="27.06"/>
    <n v="1186.94"/>
    <n v="920.04"/>
    <n v="266.89999999999998"/>
    <n v="1"/>
  </r>
  <r>
    <x v="41"/>
    <n v="10143"/>
    <n v="320"/>
    <x v="37"/>
    <x v="0"/>
    <x v="5"/>
    <x v="65"/>
    <n v="36"/>
    <n v="86.77"/>
    <n v="51.15"/>
    <n v="3123.72"/>
    <n v="1841.4"/>
    <n v="1282.32"/>
    <n v="1"/>
  </r>
  <r>
    <x v="41"/>
    <n v="10143"/>
    <n v="320"/>
    <x v="37"/>
    <x v="0"/>
    <x v="4"/>
    <x v="66"/>
    <n v="26"/>
    <n v="87.8"/>
    <n v="39.83"/>
    <n v="2282.8000000000002"/>
    <n v="1035.58"/>
    <n v="1247.22"/>
    <n v="1"/>
  </r>
  <r>
    <x v="41"/>
    <n v="10143"/>
    <n v="320"/>
    <x v="37"/>
    <x v="0"/>
    <x v="5"/>
    <x v="67"/>
    <n v="26"/>
    <n v="79.78"/>
    <n v="68.8"/>
    <n v="2074.2800000000002"/>
    <n v="1788.8"/>
    <n v="285.48"/>
    <n v="1"/>
  </r>
  <r>
    <x v="41"/>
    <n v="10143"/>
    <n v="320"/>
    <x v="37"/>
    <x v="0"/>
    <x v="4"/>
    <x v="50"/>
    <n v="31"/>
    <n v="69.39"/>
    <n v="33.97"/>
    <n v="2151.09"/>
    <n v="1053.07"/>
    <n v="1098.02"/>
    <n v="1"/>
  </r>
  <r>
    <x v="41"/>
    <n v="10143"/>
    <n v="320"/>
    <x v="37"/>
    <x v="0"/>
    <x v="5"/>
    <x v="69"/>
    <n v="28"/>
    <n v="70.400000000000006"/>
    <n v="54.4"/>
    <n v="1971.2"/>
    <n v="1523.2"/>
    <n v="448"/>
    <n v="1"/>
  </r>
  <r>
    <x v="41"/>
    <n v="10143"/>
    <n v="320"/>
    <x v="37"/>
    <x v="0"/>
    <x v="5"/>
    <x v="70"/>
    <n v="34"/>
    <n v="65.150000000000006"/>
    <n v="36.270000000000003"/>
    <n v="2215.1"/>
    <n v="1233.18"/>
    <n v="981.92"/>
    <n v="1"/>
  </r>
  <r>
    <x v="41"/>
    <n v="10143"/>
    <n v="320"/>
    <x v="37"/>
    <x v="0"/>
    <x v="5"/>
    <x v="71"/>
    <n v="37"/>
    <n v="49.66"/>
    <n v="32.770000000000003"/>
    <n v="1837.42"/>
    <n v="1212.49"/>
    <n v="624.92999999999995"/>
    <n v="1"/>
  </r>
  <r>
    <x v="42"/>
    <n v="10144"/>
    <n v="381"/>
    <x v="16"/>
    <x v="10"/>
    <x v="0"/>
    <x v="63"/>
    <n v="20"/>
    <n v="56.41"/>
    <n v="33.020000000000003"/>
    <n v="1128.2"/>
    <n v="660.4"/>
    <n v="467.8"/>
    <n v="2"/>
  </r>
  <r>
    <x v="43"/>
    <n v="10145"/>
    <n v="205"/>
    <x v="38"/>
    <x v="0"/>
    <x v="6"/>
    <x v="72"/>
    <n v="45"/>
    <n v="76.56"/>
    <n v="48.81"/>
    <n v="3445.2"/>
    <n v="2196.4499999999998"/>
    <n v="1248.75"/>
    <n v="1"/>
  </r>
  <r>
    <x v="43"/>
    <n v="10145"/>
    <n v="205"/>
    <x v="38"/>
    <x v="0"/>
    <x v="6"/>
    <x v="73"/>
    <n v="37"/>
    <n v="104.67"/>
    <n v="68.989999999999995"/>
    <n v="3872.79"/>
    <n v="2552.63"/>
    <n v="1320.16"/>
    <n v="1"/>
  </r>
  <r>
    <x v="43"/>
    <n v="10145"/>
    <n v="205"/>
    <x v="38"/>
    <x v="0"/>
    <x v="6"/>
    <x v="74"/>
    <n v="33"/>
    <n v="154.93"/>
    <n v="91.02"/>
    <n v="5112.6899999999996"/>
    <n v="3003.66"/>
    <n v="2109.0300000000002"/>
    <n v="1"/>
  </r>
  <r>
    <x v="43"/>
    <n v="10145"/>
    <n v="205"/>
    <x v="38"/>
    <x v="0"/>
    <x v="6"/>
    <x v="75"/>
    <n v="49"/>
    <n v="146.1"/>
    <n v="66.27"/>
    <n v="7158.9"/>
    <n v="3247.23"/>
    <n v="3911.67"/>
    <n v="1"/>
  </r>
  <r>
    <x v="43"/>
    <n v="10145"/>
    <n v="205"/>
    <x v="38"/>
    <x v="0"/>
    <x v="5"/>
    <x v="55"/>
    <n v="30"/>
    <n v="71.81"/>
    <n v="49"/>
    <n v="2154.3000000000002"/>
    <n v="1470"/>
    <n v="684.3"/>
    <n v="1"/>
  </r>
  <r>
    <x v="43"/>
    <n v="10145"/>
    <n v="205"/>
    <x v="38"/>
    <x v="0"/>
    <x v="6"/>
    <x v="76"/>
    <n v="30"/>
    <n v="52.7"/>
    <n v="24.23"/>
    <n v="1581"/>
    <n v="726.9"/>
    <n v="854.1"/>
    <n v="1"/>
  </r>
  <r>
    <x v="43"/>
    <n v="10145"/>
    <n v="205"/>
    <x v="38"/>
    <x v="0"/>
    <x v="6"/>
    <x v="77"/>
    <n v="43"/>
    <n v="103.68"/>
    <n v="60.86"/>
    <n v="4458.24"/>
    <n v="2616.98"/>
    <n v="1841.26"/>
    <n v="1"/>
  </r>
  <r>
    <x v="43"/>
    <n v="10145"/>
    <n v="205"/>
    <x v="38"/>
    <x v="0"/>
    <x v="5"/>
    <x v="58"/>
    <n v="40"/>
    <n v="87.54"/>
    <n v="66.739999999999995"/>
    <n v="3501.6"/>
    <n v="2669.6"/>
    <n v="832"/>
    <n v="1"/>
  </r>
  <r>
    <x v="43"/>
    <n v="10145"/>
    <n v="205"/>
    <x v="38"/>
    <x v="0"/>
    <x v="6"/>
    <x v="78"/>
    <n v="47"/>
    <n v="63.98"/>
    <n v="37.32"/>
    <n v="3007.06"/>
    <n v="1754.04"/>
    <n v="1253.02"/>
    <n v="1"/>
  </r>
  <r>
    <x v="43"/>
    <n v="10145"/>
    <n v="205"/>
    <x v="38"/>
    <x v="0"/>
    <x v="6"/>
    <x v="89"/>
    <n v="27"/>
    <n v="56.1"/>
    <n v="47.1"/>
    <n v="1514.7"/>
    <n v="1271.7"/>
    <n v="243"/>
    <n v="1"/>
  </r>
  <r>
    <x v="43"/>
    <n v="10145"/>
    <n v="205"/>
    <x v="38"/>
    <x v="0"/>
    <x v="5"/>
    <x v="62"/>
    <n v="33"/>
    <n v="71.73"/>
    <n v="36.229999999999997"/>
    <n v="2367.09"/>
    <n v="1195.5899999999999"/>
    <n v="1171.5"/>
    <n v="1"/>
  </r>
  <r>
    <x v="43"/>
    <n v="10145"/>
    <n v="205"/>
    <x v="38"/>
    <x v="0"/>
    <x v="6"/>
    <x v="79"/>
    <n v="33"/>
    <n v="99.89"/>
    <n v="66.92"/>
    <n v="3296.37"/>
    <n v="2208.36"/>
    <n v="1088.01"/>
    <n v="1"/>
  </r>
  <r>
    <x v="43"/>
    <n v="10145"/>
    <n v="205"/>
    <x v="38"/>
    <x v="0"/>
    <x v="6"/>
    <x v="93"/>
    <n v="31"/>
    <n v="39.43"/>
    <n v="24.14"/>
    <n v="1222.33"/>
    <n v="748.34"/>
    <n v="473.99"/>
    <n v="1"/>
  </r>
  <r>
    <x v="43"/>
    <n v="10145"/>
    <n v="205"/>
    <x v="38"/>
    <x v="0"/>
    <x v="6"/>
    <x v="94"/>
    <n v="27"/>
    <n v="95.93"/>
    <n v="56.13"/>
    <n v="2590.11"/>
    <n v="1515.51"/>
    <n v="1074.5999999999999"/>
    <n v="1"/>
  </r>
  <r>
    <x v="43"/>
    <n v="10145"/>
    <n v="205"/>
    <x v="38"/>
    <x v="0"/>
    <x v="6"/>
    <x v="95"/>
    <n v="38"/>
    <n v="73.22"/>
    <n v="34.17"/>
    <n v="2782.36"/>
    <n v="1298.46"/>
    <n v="1483.9"/>
    <n v="1"/>
  </r>
  <r>
    <x v="43"/>
    <n v="10145"/>
    <n v="205"/>
    <x v="38"/>
    <x v="0"/>
    <x v="5"/>
    <x v="68"/>
    <n v="20"/>
    <n v="113.9"/>
    <n v="59.33"/>
    <n v="2278"/>
    <n v="1186.5999999999999"/>
    <n v="1091.4000000000001"/>
    <n v="1"/>
  </r>
  <r>
    <x v="44"/>
    <n v="10146"/>
    <n v="447"/>
    <x v="28"/>
    <x v="0"/>
    <x v="6"/>
    <x v="87"/>
    <n v="47"/>
    <n v="60.3"/>
    <n v="32.950000000000003"/>
    <n v="2834.1"/>
    <n v="1548.65"/>
    <n v="1285.45"/>
    <n v="2"/>
  </r>
  <r>
    <x v="44"/>
    <n v="10146"/>
    <n v="447"/>
    <x v="28"/>
    <x v="0"/>
    <x v="1"/>
    <x v="88"/>
    <n v="29"/>
    <n v="130.94"/>
    <n v="69.930000000000007"/>
    <n v="3797.26"/>
    <n v="2027.97"/>
    <n v="1769.29"/>
    <n v="2"/>
  </r>
  <r>
    <x v="45"/>
    <n v="10147"/>
    <n v="379"/>
    <x v="39"/>
    <x v="0"/>
    <x v="1"/>
    <x v="80"/>
    <n v="48"/>
    <n v="161.49"/>
    <n v="95.34"/>
    <n v="7751.52"/>
    <n v="4576.32"/>
    <n v="3175.2"/>
    <n v="1"/>
  </r>
  <r>
    <x v="45"/>
    <n v="10147"/>
    <n v="379"/>
    <x v="39"/>
    <x v="0"/>
    <x v="1"/>
    <x v="81"/>
    <n v="31"/>
    <n v="110.39"/>
    <n v="75.16"/>
    <n v="3422.09"/>
    <n v="2329.96"/>
    <n v="1092.1300000000001"/>
    <n v="1"/>
  </r>
  <r>
    <x v="45"/>
    <n v="10147"/>
    <n v="379"/>
    <x v="39"/>
    <x v="0"/>
    <x v="1"/>
    <x v="82"/>
    <n v="21"/>
    <n v="74.209999999999994"/>
    <n v="31.92"/>
    <n v="1558.41"/>
    <n v="670.32"/>
    <n v="888.09"/>
    <n v="1"/>
  </r>
  <r>
    <x v="45"/>
    <n v="10147"/>
    <n v="379"/>
    <x v="39"/>
    <x v="0"/>
    <x v="1"/>
    <x v="83"/>
    <n v="33"/>
    <n v="97.89"/>
    <n v="58.73"/>
    <n v="3230.37"/>
    <n v="1938.09"/>
    <n v="1292.28"/>
    <n v="1"/>
  </r>
  <r>
    <x v="45"/>
    <n v="10147"/>
    <n v="379"/>
    <x v="39"/>
    <x v="0"/>
    <x v="1"/>
    <x v="84"/>
    <n v="26"/>
    <n v="70.84"/>
    <n v="53.9"/>
    <n v="1841.84"/>
    <n v="1401.4"/>
    <n v="440.44"/>
    <n v="1"/>
  </r>
  <r>
    <x v="45"/>
    <n v="10147"/>
    <n v="379"/>
    <x v="39"/>
    <x v="0"/>
    <x v="1"/>
    <x v="85"/>
    <n v="36"/>
    <n v="74.78"/>
    <n v="49.05"/>
    <n v="2692.08"/>
    <n v="1765.8"/>
    <n v="926.28"/>
    <n v="1"/>
  </r>
  <r>
    <x v="45"/>
    <n v="10147"/>
    <n v="379"/>
    <x v="39"/>
    <x v="0"/>
    <x v="1"/>
    <x v="86"/>
    <n v="37"/>
    <n v="129.35"/>
    <n v="73.489999999999995"/>
    <n v="4785.95"/>
    <n v="2719.13"/>
    <n v="2066.8200000000002"/>
    <n v="1"/>
  </r>
  <r>
    <x v="45"/>
    <n v="10147"/>
    <n v="379"/>
    <x v="39"/>
    <x v="0"/>
    <x v="1"/>
    <x v="100"/>
    <n v="25"/>
    <n v="33.229999999999997"/>
    <n v="16.239999999999998"/>
    <n v="830.75"/>
    <n v="406"/>
    <n v="424.75"/>
    <n v="1"/>
  </r>
  <r>
    <x v="45"/>
    <n v="10147"/>
    <n v="379"/>
    <x v="39"/>
    <x v="0"/>
    <x v="1"/>
    <x v="90"/>
    <n v="30"/>
    <n v="48.98"/>
    <n v="38.58"/>
    <n v="1469.4"/>
    <n v="1157.4000000000001"/>
    <n v="312"/>
    <n v="1"/>
  </r>
  <r>
    <x v="45"/>
    <n v="10147"/>
    <n v="379"/>
    <x v="39"/>
    <x v="0"/>
    <x v="1"/>
    <x v="91"/>
    <n v="23"/>
    <n v="123.58"/>
    <n v="98.3"/>
    <n v="2842.34"/>
    <n v="2260.9"/>
    <n v="581.44000000000005"/>
    <n v="1"/>
  </r>
  <r>
    <x v="45"/>
    <n v="10147"/>
    <n v="379"/>
    <x v="39"/>
    <x v="0"/>
    <x v="1"/>
    <x v="92"/>
    <n v="31"/>
    <n v="72.760000000000005"/>
    <n v="32.33"/>
    <n v="2255.56"/>
    <n v="1002.23"/>
    <n v="1253.33"/>
    <n v="1"/>
  </r>
  <r>
    <x v="46"/>
    <n v="10148"/>
    <n v="276"/>
    <x v="40"/>
    <x v="13"/>
    <x v="1"/>
    <x v="96"/>
    <n v="23"/>
    <n v="114.65"/>
    <n v="83.51"/>
    <n v="2636.95"/>
    <n v="1920.73"/>
    <n v="716.22"/>
    <n v="1"/>
  </r>
  <r>
    <x v="46"/>
    <n v="10148"/>
    <n v="276"/>
    <x v="40"/>
    <x v="13"/>
    <x v="1"/>
    <x v="101"/>
    <n v="47"/>
    <n v="108.26"/>
    <n v="65.959999999999994"/>
    <n v="5088.22"/>
    <n v="3100.12"/>
    <n v="1988.1"/>
    <n v="1"/>
  </r>
  <r>
    <x v="46"/>
    <n v="10148"/>
    <n v="276"/>
    <x v="40"/>
    <x v="13"/>
    <x v="1"/>
    <x v="97"/>
    <n v="25"/>
    <n v="136.56"/>
    <n v="93.89"/>
    <n v="3414"/>
    <n v="2347.25"/>
    <n v="1066.75"/>
    <n v="1"/>
  </r>
  <r>
    <x v="46"/>
    <n v="10148"/>
    <n v="276"/>
    <x v="40"/>
    <x v="13"/>
    <x v="1"/>
    <x v="98"/>
    <n v="27"/>
    <n v="113.52"/>
    <n v="56.76"/>
    <n v="3065.04"/>
    <n v="1532.52"/>
    <n v="1532.52"/>
    <n v="1"/>
  </r>
  <r>
    <x v="46"/>
    <n v="10148"/>
    <n v="276"/>
    <x v="40"/>
    <x v="13"/>
    <x v="1"/>
    <x v="30"/>
    <n v="32"/>
    <n v="143.94"/>
    <n v="77.900000000000006"/>
    <n v="4606.08"/>
    <n v="2492.8000000000002"/>
    <n v="2113.2800000000002"/>
    <n v="1"/>
  </r>
  <r>
    <x v="46"/>
    <n v="10148"/>
    <n v="276"/>
    <x v="40"/>
    <x v="13"/>
    <x v="1"/>
    <x v="99"/>
    <n v="28"/>
    <n v="135.63"/>
    <n v="62.16"/>
    <n v="3797.64"/>
    <n v="1740.48"/>
    <n v="2057.16"/>
    <n v="1"/>
  </r>
  <r>
    <x v="46"/>
    <n v="10148"/>
    <n v="276"/>
    <x v="40"/>
    <x v="13"/>
    <x v="0"/>
    <x v="2"/>
    <n v="34"/>
    <n v="83.75"/>
    <n v="43.26"/>
    <n v="2847.5"/>
    <n v="1470.84"/>
    <n v="1376.66"/>
    <n v="1"/>
  </r>
  <r>
    <x v="46"/>
    <n v="10148"/>
    <n v="276"/>
    <x v="40"/>
    <x v="13"/>
    <x v="1"/>
    <x v="102"/>
    <n v="29"/>
    <n v="66.28"/>
    <n v="34.21"/>
    <n v="1922.12"/>
    <n v="992.09"/>
    <n v="930.03"/>
    <n v="1"/>
  </r>
  <r>
    <x v="46"/>
    <n v="10148"/>
    <n v="276"/>
    <x v="40"/>
    <x v="13"/>
    <x v="1"/>
    <x v="103"/>
    <n v="25"/>
    <n v="65.41"/>
    <n v="49.24"/>
    <n v="1635.25"/>
    <n v="1231"/>
    <n v="404.25"/>
    <n v="1"/>
  </r>
  <r>
    <x v="46"/>
    <n v="10148"/>
    <n v="276"/>
    <x v="40"/>
    <x v="13"/>
    <x v="1"/>
    <x v="104"/>
    <n v="47"/>
    <n v="46.29"/>
    <n v="29.18"/>
    <n v="2175.63"/>
    <n v="1371.46"/>
    <n v="804.17"/>
    <n v="1"/>
  </r>
  <r>
    <x v="46"/>
    <n v="10148"/>
    <n v="276"/>
    <x v="40"/>
    <x v="13"/>
    <x v="1"/>
    <x v="105"/>
    <n v="21"/>
    <n v="77.239999999999995"/>
    <n v="47.25"/>
    <n v="1622.04"/>
    <n v="992.25"/>
    <n v="629.79"/>
    <n v="1"/>
  </r>
  <r>
    <x v="46"/>
    <n v="10148"/>
    <n v="276"/>
    <x v="40"/>
    <x v="13"/>
    <x v="1"/>
    <x v="106"/>
    <n v="34"/>
    <n v="115.09"/>
    <n v="72.819999999999993"/>
    <n v="3913.06"/>
    <n v="2475.88"/>
    <n v="1437.18"/>
    <n v="1"/>
  </r>
  <r>
    <x v="46"/>
    <n v="10148"/>
    <n v="276"/>
    <x v="40"/>
    <x v="13"/>
    <x v="1"/>
    <x v="107"/>
    <n v="31"/>
    <n v="71.91"/>
    <n v="50.51"/>
    <n v="2229.21"/>
    <n v="1565.81"/>
    <n v="663.4"/>
    <n v="1"/>
  </r>
  <r>
    <x v="46"/>
    <n v="10148"/>
    <n v="276"/>
    <x v="40"/>
    <x v="13"/>
    <x v="1"/>
    <x v="108"/>
    <n v="27"/>
    <n v="96.37"/>
    <n v="62.11"/>
    <n v="2601.9899999999998"/>
    <n v="1676.97"/>
    <n v="925.02"/>
    <n v="1"/>
  </r>
  <r>
    <x v="47"/>
    <n v="10149"/>
    <n v="487"/>
    <x v="41"/>
    <x v="0"/>
    <x v="0"/>
    <x v="8"/>
    <n v="50"/>
    <n v="87.33"/>
    <n v="60.62"/>
    <n v="4366.5"/>
    <n v="3031"/>
    <n v="1335.5"/>
    <n v="1"/>
  </r>
  <r>
    <x v="47"/>
    <n v="10149"/>
    <n v="487"/>
    <x v="41"/>
    <x v="0"/>
    <x v="0"/>
    <x v="9"/>
    <n v="30"/>
    <n v="48.52"/>
    <n v="24.26"/>
    <n v="1455.6"/>
    <n v="727.8"/>
    <n v="727.8"/>
    <n v="1"/>
  </r>
  <r>
    <x v="47"/>
    <n v="10149"/>
    <n v="487"/>
    <x v="41"/>
    <x v="0"/>
    <x v="0"/>
    <x v="0"/>
    <n v="34"/>
    <n v="156.4"/>
    <n v="86.7"/>
    <n v="5317.6"/>
    <n v="2947.8"/>
    <n v="2369.8000000000002"/>
    <n v="1"/>
  </r>
  <r>
    <x v="47"/>
    <n v="10149"/>
    <n v="487"/>
    <x v="41"/>
    <x v="0"/>
    <x v="0"/>
    <x v="1"/>
    <n v="24"/>
    <n v="50.85"/>
    <n v="33.299999999999997"/>
    <n v="1220.4000000000001"/>
    <n v="799.2"/>
    <n v="421.2"/>
    <n v="1"/>
  </r>
  <r>
    <x v="47"/>
    <n v="10149"/>
    <n v="487"/>
    <x v="41"/>
    <x v="0"/>
    <x v="0"/>
    <x v="4"/>
    <n v="33"/>
    <n v="125.86"/>
    <n v="58.48"/>
    <n v="4153.38"/>
    <n v="1929.84"/>
    <n v="2223.54"/>
    <n v="1"/>
  </r>
  <r>
    <x v="47"/>
    <n v="10149"/>
    <n v="487"/>
    <x v="41"/>
    <x v="0"/>
    <x v="0"/>
    <x v="5"/>
    <n v="23"/>
    <n v="167.06"/>
    <n v="72.56"/>
    <n v="3842.38"/>
    <n v="1668.88"/>
    <n v="2173.5"/>
    <n v="1"/>
  </r>
  <r>
    <x v="47"/>
    <n v="10149"/>
    <n v="487"/>
    <x v="41"/>
    <x v="0"/>
    <x v="0"/>
    <x v="18"/>
    <n v="42"/>
    <n v="89.29"/>
    <n v="57.54"/>
    <n v="3750.18"/>
    <n v="2416.6799999999998"/>
    <n v="1333.5"/>
    <n v="1"/>
  </r>
  <r>
    <x v="47"/>
    <n v="10149"/>
    <n v="487"/>
    <x v="41"/>
    <x v="0"/>
    <x v="0"/>
    <x v="6"/>
    <n v="36"/>
    <n v="31.2"/>
    <n v="22.57"/>
    <n v="1123.2"/>
    <n v="812.52"/>
    <n v="310.68"/>
    <n v="1"/>
  </r>
  <r>
    <x v="47"/>
    <n v="10149"/>
    <n v="487"/>
    <x v="41"/>
    <x v="0"/>
    <x v="0"/>
    <x v="7"/>
    <n v="49"/>
    <n v="39.869999999999997"/>
    <n v="20.61"/>
    <n v="1953.63"/>
    <n v="1009.89"/>
    <n v="943.74"/>
    <n v="1"/>
  </r>
  <r>
    <x v="47"/>
    <n v="10149"/>
    <n v="487"/>
    <x v="41"/>
    <x v="0"/>
    <x v="0"/>
    <x v="3"/>
    <n v="26"/>
    <n v="38.57"/>
    <n v="21.75"/>
    <n v="1002.82"/>
    <n v="565.5"/>
    <n v="437.32"/>
    <n v="1"/>
  </r>
  <r>
    <x v="47"/>
    <n v="10149"/>
    <n v="487"/>
    <x v="41"/>
    <x v="0"/>
    <x v="0"/>
    <x v="22"/>
    <n v="20"/>
    <n v="90.57"/>
    <n v="57.46"/>
    <n v="1811.4"/>
    <n v="1149.2"/>
    <n v="662.2"/>
    <n v="1"/>
  </r>
  <r>
    <x v="48"/>
    <n v="10150"/>
    <n v="148"/>
    <x v="17"/>
    <x v="11"/>
    <x v="1"/>
    <x v="10"/>
    <n v="45"/>
    <n v="182.16"/>
    <n v="98.58"/>
    <n v="8197.2000000000007"/>
    <n v="4436.1000000000004"/>
    <n v="3761.1"/>
    <n v="2"/>
  </r>
  <r>
    <x v="48"/>
    <n v="10150"/>
    <n v="148"/>
    <x v="17"/>
    <x v="11"/>
    <x v="1"/>
    <x v="11"/>
    <n v="20"/>
    <n v="121.15"/>
    <n v="103.42"/>
    <n v="2423"/>
    <n v="2068.4"/>
    <n v="354.6"/>
    <n v="2"/>
  </r>
  <r>
    <x v="48"/>
    <n v="10150"/>
    <n v="148"/>
    <x v="17"/>
    <x v="11"/>
    <x v="2"/>
    <x v="12"/>
    <n v="30"/>
    <n v="135.30000000000001"/>
    <n v="77.900000000000006"/>
    <n v="4059"/>
    <n v="2337"/>
    <n v="1722"/>
    <n v="2"/>
  </r>
  <r>
    <x v="48"/>
    <n v="10150"/>
    <n v="148"/>
    <x v="17"/>
    <x v="11"/>
    <x v="2"/>
    <x v="13"/>
    <n v="34"/>
    <n v="95.67"/>
    <n v="58.33"/>
    <n v="3252.78"/>
    <n v="1983.22"/>
    <n v="1269.56"/>
    <n v="2"/>
  </r>
  <r>
    <x v="48"/>
    <n v="10150"/>
    <n v="148"/>
    <x v="17"/>
    <x v="11"/>
    <x v="0"/>
    <x v="15"/>
    <n v="47"/>
    <n v="93.21"/>
    <n v="60.78"/>
    <n v="4380.87"/>
    <n v="2856.66"/>
    <n v="1524.21"/>
    <n v="2"/>
  </r>
  <r>
    <x v="48"/>
    <n v="10150"/>
    <n v="148"/>
    <x v="17"/>
    <x v="11"/>
    <x v="0"/>
    <x v="16"/>
    <n v="30"/>
    <n v="56.21"/>
    <n v="34.35"/>
    <n v="1686.3"/>
    <n v="1030.5"/>
    <n v="655.8"/>
    <n v="2"/>
  </r>
  <r>
    <x v="48"/>
    <n v="10150"/>
    <n v="148"/>
    <x v="17"/>
    <x v="11"/>
    <x v="0"/>
    <x v="17"/>
    <n v="26"/>
    <n v="97.39"/>
    <n v="60.74"/>
    <n v="2532.14"/>
    <n v="1579.24"/>
    <n v="952.9"/>
    <n v="2"/>
  </r>
  <r>
    <x v="48"/>
    <n v="10150"/>
    <n v="148"/>
    <x v="17"/>
    <x v="11"/>
    <x v="2"/>
    <x v="19"/>
    <n v="49"/>
    <n v="111.39"/>
    <n v="84.76"/>
    <n v="5458.11"/>
    <n v="4153.24"/>
    <n v="1304.8699999999999"/>
    <n v="2"/>
  </r>
  <r>
    <x v="48"/>
    <n v="10150"/>
    <n v="148"/>
    <x v="17"/>
    <x v="11"/>
    <x v="0"/>
    <x v="20"/>
    <n v="30"/>
    <n v="47.29"/>
    <n v="23.14"/>
    <n v="1418.7"/>
    <n v="694.2"/>
    <n v="724.5"/>
    <n v="2"/>
  </r>
  <r>
    <x v="48"/>
    <n v="10150"/>
    <n v="148"/>
    <x v="17"/>
    <x v="11"/>
    <x v="2"/>
    <x v="24"/>
    <n v="49"/>
    <n v="62.05"/>
    <n v="33.61"/>
    <n v="3040.45"/>
    <n v="1646.89"/>
    <n v="1393.56"/>
    <n v="2"/>
  </r>
  <r>
    <x v="48"/>
    <n v="10150"/>
    <n v="148"/>
    <x v="17"/>
    <x v="11"/>
    <x v="1"/>
    <x v="25"/>
    <n v="20"/>
    <n v="95.08"/>
    <n v="46.53"/>
    <n v="1901.6"/>
    <n v="930.6"/>
    <n v="971"/>
    <n v="2"/>
  </r>
  <r>
    <x v="49"/>
    <n v="10151"/>
    <n v="311"/>
    <x v="42"/>
    <x v="15"/>
    <x v="2"/>
    <x v="27"/>
    <n v="24"/>
    <n v="114.95"/>
    <n v="55.7"/>
    <n v="2758.8"/>
    <n v="1336.8"/>
    <n v="1422"/>
    <n v="1"/>
  </r>
  <r>
    <x v="49"/>
    <n v="10151"/>
    <n v="311"/>
    <x v="42"/>
    <x v="15"/>
    <x v="1"/>
    <x v="28"/>
    <n v="43"/>
    <n v="152.27000000000001"/>
    <n v="101.51"/>
    <n v="6547.61"/>
    <n v="4364.93"/>
    <n v="2182.6799999999998"/>
    <n v="1"/>
  </r>
  <r>
    <x v="49"/>
    <n v="10151"/>
    <n v="311"/>
    <x v="42"/>
    <x v="15"/>
    <x v="2"/>
    <x v="29"/>
    <n v="49"/>
    <n v="106.78"/>
    <n v="74.86"/>
    <n v="5232.22"/>
    <n v="3668.14"/>
    <n v="1564.08"/>
    <n v="1"/>
  </r>
  <r>
    <x v="49"/>
    <n v="10151"/>
    <n v="311"/>
    <x v="42"/>
    <x v="15"/>
    <x v="2"/>
    <x v="14"/>
    <n v="39"/>
    <n v="58.34"/>
    <n v="24.92"/>
    <n v="2275.2600000000002"/>
    <n v="971.88"/>
    <n v="1303.3800000000001"/>
    <n v="1"/>
  </r>
  <r>
    <x v="49"/>
    <n v="10151"/>
    <n v="311"/>
    <x v="42"/>
    <x v="15"/>
    <x v="1"/>
    <x v="30"/>
    <n v="21"/>
    <n v="167.65"/>
    <n v="77.900000000000006"/>
    <n v="3520.65"/>
    <n v="1635.9"/>
    <n v="1884.75"/>
    <n v="1"/>
  </r>
  <r>
    <x v="49"/>
    <n v="10151"/>
    <n v="311"/>
    <x v="42"/>
    <x v="15"/>
    <x v="2"/>
    <x v="21"/>
    <n v="42"/>
    <n v="109.9"/>
    <n v="61.34"/>
    <n v="4615.8"/>
    <n v="2576.2800000000002"/>
    <n v="2039.52"/>
    <n v="1"/>
  </r>
  <r>
    <x v="49"/>
    <n v="10151"/>
    <n v="311"/>
    <x v="42"/>
    <x v="15"/>
    <x v="1"/>
    <x v="33"/>
    <n v="30"/>
    <n v="29.35"/>
    <n v="15.91"/>
    <n v="880.5"/>
    <n v="477.3"/>
    <n v="403.2"/>
    <n v="1"/>
  </r>
  <r>
    <x v="49"/>
    <n v="10151"/>
    <n v="311"/>
    <x v="42"/>
    <x v="15"/>
    <x v="2"/>
    <x v="23"/>
    <n v="27"/>
    <n v="84.75"/>
    <n v="53.93"/>
    <n v="2288.25"/>
    <n v="1456.11"/>
    <n v="832.14"/>
    <n v="1"/>
  </r>
  <r>
    <x v="49"/>
    <n v="10151"/>
    <n v="311"/>
    <x v="42"/>
    <x v="15"/>
    <x v="2"/>
    <x v="35"/>
    <n v="41"/>
    <n v="43.29"/>
    <n v="25.98"/>
    <n v="1774.89"/>
    <n v="1065.18"/>
    <n v="709.71"/>
    <n v="1"/>
  </r>
  <r>
    <x v="49"/>
    <n v="10151"/>
    <n v="311"/>
    <x v="42"/>
    <x v="15"/>
    <x v="2"/>
    <x v="37"/>
    <n v="26"/>
    <n v="108.81"/>
    <n v="68.290000000000006"/>
    <n v="2829.06"/>
    <n v="1775.54"/>
    <n v="1053.52"/>
    <n v="1"/>
  </r>
  <r>
    <x v="50"/>
    <n v="10152"/>
    <n v="333"/>
    <x v="43"/>
    <x v="13"/>
    <x v="1"/>
    <x v="31"/>
    <n v="35"/>
    <n v="117.77"/>
    <n v="91.92"/>
    <n v="4121.95"/>
    <n v="3217.2"/>
    <n v="904.75"/>
    <n v="1"/>
  </r>
  <r>
    <x v="50"/>
    <n v="10152"/>
    <n v="333"/>
    <x v="43"/>
    <x v="13"/>
    <x v="1"/>
    <x v="32"/>
    <n v="25"/>
    <n v="49.13"/>
    <n v="32.369999999999997"/>
    <n v="1228.25"/>
    <n v="809.25"/>
    <n v="419"/>
    <n v="1"/>
  </r>
  <r>
    <x v="50"/>
    <n v="10152"/>
    <n v="333"/>
    <x v="43"/>
    <x v="13"/>
    <x v="1"/>
    <x v="34"/>
    <n v="23"/>
    <n v="112.37"/>
    <n v="69.78"/>
    <n v="2584.5100000000002"/>
    <n v="1604.94"/>
    <n v="979.57"/>
    <n v="1"/>
  </r>
  <r>
    <x v="50"/>
    <n v="10152"/>
    <n v="333"/>
    <x v="43"/>
    <x v="13"/>
    <x v="3"/>
    <x v="36"/>
    <n v="33"/>
    <n v="57.17"/>
    <n v="26.72"/>
    <n v="1886.61"/>
    <n v="881.76"/>
    <n v="1004.85"/>
    <n v="1"/>
  </r>
  <r>
    <x v="51"/>
    <n v="10153"/>
    <n v="141"/>
    <x v="4"/>
    <x v="3"/>
    <x v="1"/>
    <x v="40"/>
    <n v="20"/>
    <n v="201.57"/>
    <n v="95.59"/>
    <n v="4031.4"/>
    <n v="1911.8"/>
    <n v="2119.6"/>
    <n v="4"/>
  </r>
  <r>
    <x v="51"/>
    <n v="10153"/>
    <n v="141"/>
    <x v="4"/>
    <x v="3"/>
    <x v="1"/>
    <x v="26"/>
    <n v="42"/>
    <n v="128.41999999999999"/>
    <n v="89.14"/>
    <n v="5393.64"/>
    <n v="3743.88"/>
    <n v="1649.76"/>
    <n v="4"/>
  </r>
  <r>
    <x v="51"/>
    <n v="10153"/>
    <n v="141"/>
    <x v="4"/>
    <x v="3"/>
    <x v="1"/>
    <x v="41"/>
    <n v="49"/>
    <n v="155.72"/>
    <n v="83.05"/>
    <n v="7630.28"/>
    <n v="4069.45"/>
    <n v="3560.83"/>
    <n v="4"/>
  </r>
  <r>
    <x v="51"/>
    <n v="10153"/>
    <n v="141"/>
    <x v="4"/>
    <x v="3"/>
    <x v="0"/>
    <x v="42"/>
    <n v="31"/>
    <n v="125.66"/>
    <n v="68.3"/>
    <n v="3895.46"/>
    <n v="2117.3000000000002"/>
    <n v="1778.16"/>
    <n v="4"/>
  </r>
  <r>
    <x v="51"/>
    <n v="10153"/>
    <n v="141"/>
    <x v="4"/>
    <x v="3"/>
    <x v="3"/>
    <x v="43"/>
    <n v="29"/>
    <n v="82.69"/>
    <n v="67.56"/>
    <n v="2398.0100000000002"/>
    <n v="1959.24"/>
    <n v="438.77"/>
    <n v="4"/>
  </r>
  <r>
    <x v="51"/>
    <n v="10153"/>
    <n v="141"/>
    <x v="4"/>
    <x v="3"/>
    <x v="0"/>
    <x v="44"/>
    <n v="22"/>
    <n v="82.5"/>
    <n v="52.66"/>
    <n v="1815"/>
    <n v="1158.52"/>
    <n v="656.48"/>
    <n v="4"/>
  </r>
  <r>
    <x v="51"/>
    <n v="10153"/>
    <n v="141"/>
    <x v="4"/>
    <x v="3"/>
    <x v="4"/>
    <x v="45"/>
    <n v="40"/>
    <n v="111.83"/>
    <n v="82.34"/>
    <n v="4473.2"/>
    <n v="3293.6"/>
    <n v="1179.5999999999999"/>
    <n v="4"/>
  </r>
  <r>
    <x v="51"/>
    <n v="10153"/>
    <n v="141"/>
    <x v="4"/>
    <x v="3"/>
    <x v="3"/>
    <x v="38"/>
    <n v="31"/>
    <n v="53.31"/>
    <n v="37.49"/>
    <n v="1652.61"/>
    <n v="1162.19"/>
    <n v="490.42"/>
    <n v="4"/>
  </r>
  <r>
    <x v="51"/>
    <n v="10153"/>
    <n v="141"/>
    <x v="4"/>
    <x v="3"/>
    <x v="4"/>
    <x v="48"/>
    <n v="43"/>
    <n v="58"/>
    <n v="34"/>
    <n v="2494"/>
    <n v="1462"/>
    <n v="1032"/>
    <n v="4"/>
  </r>
  <r>
    <x v="51"/>
    <n v="10153"/>
    <n v="141"/>
    <x v="4"/>
    <x v="3"/>
    <x v="4"/>
    <x v="49"/>
    <n v="31"/>
    <n v="80.55"/>
    <n v="43.3"/>
    <n v="2497.0500000000002"/>
    <n v="1342.3"/>
    <n v="1154.75"/>
    <n v="4"/>
  </r>
  <r>
    <x v="51"/>
    <n v="10153"/>
    <n v="141"/>
    <x v="4"/>
    <x v="3"/>
    <x v="4"/>
    <x v="51"/>
    <n v="50"/>
    <n v="87.15"/>
    <n v="51.09"/>
    <n v="4357.5"/>
    <n v="2554.5"/>
    <n v="1803"/>
    <n v="4"/>
  </r>
  <r>
    <x v="51"/>
    <n v="10153"/>
    <n v="141"/>
    <x v="4"/>
    <x v="3"/>
    <x v="4"/>
    <x v="52"/>
    <n v="20"/>
    <n v="85.41"/>
    <n v="53.63"/>
    <n v="1708.2"/>
    <n v="1072.5999999999999"/>
    <n v="635.6"/>
    <n v="4"/>
  </r>
  <r>
    <x v="51"/>
    <n v="10153"/>
    <n v="141"/>
    <x v="4"/>
    <x v="3"/>
    <x v="4"/>
    <x v="53"/>
    <n v="50"/>
    <n v="51.87"/>
    <n v="33.299999999999997"/>
    <n v="2593.5"/>
    <n v="1665"/>
    <n v="928.5"/>
    <n v="4"/>
  </r>
  <r>
    <x v="52"/>
    <n v="10154"/>
    <n v="219"/>
    <x v="44"/>
    <x v="0"/>
    <x v="0"/>
    <x v="46"/>
    <n v="31"/>
    <n v="75.23"/>
    <n v="46.91"/>
    <n v="2332.13"/>
    <n v="1454.21"/>
    <n v="877.92"/>
    <n v="1"/>
  </r>
  <r>
    <x v="52"/>
    <n v="10154"/>
    <n v="219"/>
    <x v="44"/>
    <x v="0"/>
    <x v="4"/>
    <x v="50"/>
    <n v="36"/>
    <n v="59.27"/>
    <n v="33.97"/>
    <n v="2133.7199999999998"/>
    <n v="1222.92"/>
    <n v="910.8"/>
    <n v="1"/>
  </r>
  <r>
    <x v="53"/>
    <n v="10300"/>
    <n v="128"/>
    <x v="1"/>
    <x v="1"/>
    <x v="1"/>
    <x v="80"/>
    <n v="33"/>
    <n v="184.84"/>
    <n v="95.34"/>
    <n v="6099.72"/>
    <n v="3146.22"/>
    <n v="2953.5"/>
    <n v="2"/>
  </r>
  <r>
    <x v="53"/>
    <n v="10300"/>
    <n v="128"/>
    <x v="1"/>
    <x v="1"/>
    <x v="1"/>
    <x v="81"/>
    <n v="29"/>
    <n v="116.27"/>
    <n v="75.16"/>
    <n v="3371.83"/>
    <n v="2179.64"/>
    <n v="1192.19"/>
    <n v="2"/>
  </r>
  <r>
    <x v="53"/>
    <n v="10300"/>
    <n v="128"/>
    <x v="1"/>
    <x v="1"/>
    <x v="1"/>
    <x v="82"/>
    <n v="22"/>
    <n v="76.61"/>
    <n v="31.92"/>
    <n v="1685.42"/>
    <n v="702.24"/>
    <n v="983.18"/>
    <n v="2"/>
  </r>
  <r>
    <x v="53"/>
    <n v="10300"/>
    <n v="128"/>
    <x v="1"/>
    <x v="1"/>
    <x v="1"/>
    <x v="83"/>
    <n v="23"/>
    <n v="95.58"/>
    <n v="58.73"/>
    <n v="2198.34"/>
    <n v="1350.79"/>
    <n v="847.55"/>
    <n v="2"/>
  </r>
  <r>
    <x v="53"/>
    <n v="10300"/>
    <n v="128"/>
    <x v="1"/>
    <x v="1"/>
    <x v="1"/>
    <x v="84"/>
    <n v="41"/>
    <n v="63.14"/>
    <n v="53.9"/>
    <n v="2588.7399999999998"/>
    <n v="2209.9"/>
    <n v="378.84"/>
    <n v="2"/>
  </r>
  <r>
    <x v="53"/>
    <n v="10300"/>
    <n v="128"/>
    <x v="1"/>
    <x v="1"/>
    <x v="1"/>
    <x v="85"/>
    <n v="49"/>
    <n v="65.94"/>
    <n v="49.05"/>
    <n v="3231.06"/>
    <n v="2403.4499999999998"/>
    <n v="827.61"/>
    <n v="2"/>
  </r>
  <r>
    <x v="53"/>
    <n v="10300"/>
    <n v="128"/>
    <x v="1"/>
    <x v="1"/>
    <x v="1"/>
    <x v="86"/>
    <n v="23"/>
    <n v="144.05000000000001"/>
    <n v="73.489999999999995"/>
    <n v="3313.15"/>
    <n v="1690.27"/>
    <n v="1622.88"/>
    <n v="2"/>
  </r>
  <r>
    <x v="53"/>
    <n v="10300"/>
    <n v="128"/>
    <x v="1"/>
    <x v="1"/>
    <x v="1"/>
    <x v="90"/>
    <n v="31"/>
    <n v="52.05"/>
    <n v="38.58"/>
    <n v="1613.55"/>
    <n v="1195.98"/>
    <n v="417.57"/>
    <n v="2"/>
  </r>
  <r>
    <x v="54"/>
    <n v="10301"/>
    <n v="299"/>
    <x v="45"/>
    <x v="2"/>
    <x v="1"/>
    <x v="96"/>
    <n v="37"/>
    <n v="114.65"/>
    <n v="83.51"/>
    <n v="4242.05"/>
    <n v="3089.87"/>
    <n v="1152.18"/>
    <n v="1"/>
  </r>
  <r>
    <x v="54"/>
    <n v="10301"/>
    <n v="299"/>
    <x v="45"/>
    <x v="2"/>
    <x v="1"/>
    <x v="101"/>
    <n v="32"/>
    <n v="118.22"/>
    <n v="65.959999999999994"/>
    <n v="3783.04"/>
    <n v="2110.7199999999998"/>
    <n v="1672.32"/>
    <n v="1"/>
  </r>
  <r>
    <x v="54"/>
    <n v="10301"/>
    <n v="299"/>
    <x v="45"/>
    <x v="2"/>
    <x v="1"/>
    <x v="97"/>
    <n v="47"/>
    <n v="119.49"/>
    <n v="93.89"/>
    <n v="5616.03"/>
    <n v="4412.83"/>
    <n v="1203.2"/>
    <n v="1"/>
  </r>
  <r>
    <x v="54"/>
    <n v="10301"/>
    <n v="299"/>
    <x v="45"/>
    <x v="2"/>
    <x v="1"/>
    <x v="98"/>
    <n v="22"/>
    <n v="113.52"/>
    <n v="56.76"/>
    <n v="2497.44"/>
    <n v="1248.72"/>
    <n v="1248.72"/>
    <n v="1"/>
  </r>
  <r>
    <x v="54"/>
    <n v="10301"/>
    <n v="299"/>
    <x v="45"/>
    <x v="2"/>
    <x v="1"/>
    <x v="30"/>
    <n v="23"/>
    <n v="135.47"/>
    <n v="77.900000000000006"/>
    <n v="3115.81"/>
    <n v="1791.7"/>
    <n v="1324.11"/>
    <n v="1"/>
  </r>
  <r>
    <x v="54"/>
    <n v="10301"/>
    <n v="299"/>
    <x v="45"/>
    <x v="2"/>
    <x v="1"/>
    <x v="99"/>
    <n v="39"/>
    <n v="137.04"/>
    <n v="62.16"/>
    <n v="5344.56"/>
    <n v="2424.2399999999998"/>
    <n v="2920.32"/>
    <n v="1"/>
  </r>
  <r>
    <x v="54"/>
    <n v="10301"/>
    <n v="299"/>
    <x v="45"/>
    <x v="2"/>
    <x v="1"/>
    <x v="103"/>
    <n v="27"/>
    <n v="64.67"/>
    <n v="49.24"/>
    <n v="1746.09"/>
    <n v="1329.48"/>
    <n v="416.61"/>
    <n v="1"/>
  </r>
  <r>
    <x v="54"/>
    <n v="10301"/>
    <n v="299"/>
    <x v="45"/>
    <x v="2"/>
    <x v="1"/>
    <x v="104"/>
    <n v="22"/>
    <n v="40.75"/>
    <n v="29.18"/>
    <n v="896.5"/>
    <n v="641.96"/>
    <n v="254.54"/>
    <n v="1"/>
  </r>
  <r>
    <x v="54"/>
    <n v="10301"/>
    <n v="299"/>
    <x v="45"/>
    <x v="2"/>
    <x v="1"/>
    <x v="100"/>
    <n v="48"/>
    <n v="32.1"/>
    <n v="16.239999999999998"/>
    <n v="1540.8"/>
    <n v="779.52"/>
    <n v="761.28"/>
    <n v="1"/>
  </r>
  <r>
    <x v="54"/>
    <n v="10301"/>
    <n v="299"/>
    <x v="45"/>
    <x v="2"/>
    <x v="1"/>
    <x v="108"/>
    <n v="22"/>
    <n v="86.73"/>
    <n v="62.11"/>
    <n v="1908.06"/>
    <n v="1366.42"/>
    <n v="541.64"/>
    <n v="1"/>
  </r>
  <r>
    <x v="54"/>
    <n v="10301"/>
    <n v="299"/>
    <x v="45"/>
    <x v="2"/>
    <x v="1"/>
    <x v="91"/>
    <n v="50"/>
    <n v="122.17"/>
    <n v="98.3"/>
    <n v="6108.5"/>
    <n v="4915"/>
    <n v="1193.5"/>
    <n v="1"/>
  </r>
  <r>
    <x v="55"/>
    <n v="10155"/>
    <n v="186"/>
    <x v="46"/>
    <x v="15"/>
    <x v="1"/>
    <x v="39"/>
    <n v="32"/>
    <n v="129.19999999999999"/>
    <n v="85.68"/>
    <n v="4134.3999999999996"/>
    <n v="2741.76"/>
    <n v="1392.64"/>
    <n v="1"/>
  </r>
  <r>
    <x v="55"/>
    <n v="10155"/>
    <n v="186"/>
    <x v="46"/>
    <x v="15"/>
    <x v="5"/>
    <x v="54"/>
    <n v="38"/>
    <n v="138.77000000000001"/>
    <n v="77.27"/>
    <n v="5273.26"/>
    <n v="2936.26"/>
    <n v="2337"/>
    <n v="1"/>
  </r>
  <r>
    <x v="55"/>
    <n v="10155"/>
    <n v="186"/>
    <x v="46"/>
    <x v="15"/>
    <x v="4"/>
    <x v="56"/>
    <n v="44"/>
    <n v="83.44"/>
    <n v="51.61"/>
    <n v="3671.36"/>
    <n v="2270.84"/>
    <n v="1400.52"/>
    <n v="1"/>
  </r>
  <r>
    <x v="55"/>
    <n v="10155"/>
    <n v="186"/>
    <x v="46"/>
    <x v="15"/>
    <x v="0"/>
    <x v="57"/>
    <n v="29"/>
    <n v="105.87"/>
    <n v="64.58"/>
    <n v="3070.23"/>
    <n v="1872.82"/>
    <n v="1197.4100000000001"/>
    <n v="1"/>
  </r>
  <r>
    <x v="55"/>
    <n v="10155"/>
    <n v="186"/>
    <x v="46"/>
    <x v="15"/>
    <x v="5"/>
    <x v="59"/>
    <n v="23"/>
    <n v="62.34"/>
    <n v="34.25"/>
    <n v="1433.82"/>
    <n v="787.75"/>
    <n v="646.07000000000005"/>
    <n v="1"/>
  </r>
  <r>
    <x v="55"/>
    <n v="10155"/>
    <n v="186"/>
    <x v="46"/>
    <x v="15"/>
    <x v="0"/>
    <x v="60"/>
    <n v="34"/>
    <n v="56.55"/>
    <n v="26.3"/>
    <n v="1922.7"/>
    <n v="894.2"/>
    <n v="1028.5"/>
    <n v="1"/>
  </r>
  <r>
    <x v="55"/>
    <n v="10155"/>
    <n v="186"/>
    <x v="46"/>
    <x v="15"/>
    <x v="0"/>
    <x v="47"/>
    <n v="37"/>
    <n v="76.31"/>
    <n v="48.64"/>
    <n v="2823.47"/>
    <n v="1799.68"/>
    <n v="1023.79"/>
    <n v="1"/>
  </r>
  <r>
    <x v="55"/>
    <n v="10155"/>
    <n v="186"/>
    <x v="46"/>
    <x v="15"/>
    <x v="5"/>
    <x v="61"/>
    <n v="44"/>
    <n v="58.69"/>
    <n v="29.34"/>
    <n v="2582.36"/>
    <n v="1290.96"/>
    <n v="1291.4000000000001"/>
    <n v="1"/>
  </r>
  <r>
    <x v="55"/>
    <n v="10155"/>
    <n v="186"/>
    <x v="46"/>
    <x v="15"/>
    <x v="4"/>
    <x v="66"/>
    <n v="32"/>
    <n v="89.61"/>
    <n v="39.83"/>
    <n v="2867.52"/>
    <n v="1274.56"/>
    <n v="1592.96"/>
    <n v="1"/>
  </r>
  <r>
    <x v="55"/>
    <n v="10155"/>
    <n v="186"/>
    <x v="46"/>
    <x v="15"/>
    <x v="5"/>
    <x v="67"/>
    <n v="20"/>
    <n v="87.75"/>
    <n v="68.8"/>
    <n v="1755"/>
    <n v="1376"/>
    <n v="379"/>
    <n v="1"/>
  </r>
  <r>
    <x v="55"/>
    <n v="10155"/>
    <n v="186"/>
    <x v="46"/>
    <x v="15"/>
    <x v="5"/>
    <x v="69"/>
    <n v="43"/>
    <n v="76.8"/>
    <n v="54.4"/>
    <n v="3302.4"/>
    <n v="2339.1999999999998"/>
    <n v="963.2"/>
    <n v="1"/>
  </r>
  <r>
    <x v="55"/>
    <n v="10155"/>
    <n v="186"/>
    <x v="46"/>
    <x v="15"/>
    <x v="5"/>
    <x v="70"/>
    <n v="44"/>
    <n v="70.33"/>
    <n v="36.270000000000003"/>
    <n v="3094.52"/>
    <n v="1595.88"/>
    <n v="1498.64"/>
    <n v="1"/>
  </r>
  <r>
    <x v="55"/>
    <n v="10155"/>
    <n v="186"/>
    <x v="46"/>
    <x v="15"/>
    <x v="5"/>
    <x v="71"/>
    <n v="34"/>
    <n v="49.16"/>
    <n v="32.770000000000003"/>
    <n v="1671.44"/>
    <n v="1114.18"/>
    <n v="557.26"/>
    <n v="1"/>
  </r>
  <r>
    <x v="55"/>
    <n v="10302"/>
    <n v="201"/>
    <x v="47"/>
    <x v="7"/>
    <x v="0"/>
    <x v="0"/>
    <n v="43"/>
    <n v="166.6"/>
    <n v="86.7"/>
    <n v="7163.8"/>
    <n v="3728.1"/>
    <n v="3435.7"/>
    <n v="1"/>
  </r>
  <r>
    <x v="55"/>
    <n v="10302"/>
    <n v="201"/>
    <x v="47"/>
    <x v="7"/>
    <x v="0"/>
    <x v="2"/>
    <n v="38"/>
    <n v="82.83"/>
    <n v="43.26"/>
    <n v="3147.54"/>
    <n v="1643.88"/>
    <n v="1503.66"/>
    <n v="1"/>
  </r>
  <r>
    <x v="55"/>
    <n v="10302"/>
    <n v="201"/>
    <x v="47"/>
    <x v="7"/>
    <x v="1"/>
    <x v="102"/>
    <n v="23"/>
    <n v="70.56"/>
    <n v="34.21"/>
    <n v="1622.88"/>
    <n v="786.83"/>
    <n v="836.05"/>
    <n v="1"/>
  </r>
  <r>
    <x v="55"/>
    <n v="10302"/>
    <n v="201"/>
    <x v="47"/>
    <x v="7"/>
    <x v="1"/>
    <x v="105"/>
    <n v="49"/>
    <n v="75.42"/>
    <n v="47.25"/>
    <n v="3695.58"/>
    <n v="2315.25"/>
    <n v="1380.33"/>
    <n v="1"/>
  </r>
  <r>
    <x v="55"/>
    <n v="10302"/>
    <n v="201"/>
    <x v="47"/>
    <x v="7"/>
    <x v="1"/>
    <x v="106"/>
    <n v="45"/>
    <n v="104.52"/>
    <n v="72.819999999999993"/>
    <n v="4703.3999999999996"/>
    <n v="3276.9"/>
    <n v="1426.5"/>
    <n v="1"/>
  </r>
  <r>
    <x v="55"/>
    <n v="10302"/>
    <n v="201"/>
    <x v="47"/>
    <x v="7"/>
    <x v="1"/>
    <x v="107"/>
    <n v="48"/>
    <n v="74.48"/>
    <n v="50.51"/>
    <n v="3575.04"/>
    <n v="2424.48"/>
    <n v="1150.56"/>
    <n v="1"/>
  </r>
  <r>
    <x v="56"/>
    <n v="10156"/>
    <n v="141"/>
    <x v="4"/>
    <x v="3"/>
    <x v="0"/>
    <x v="64"/>
    <n v="20"/>
    <n v="43.64"/>
    <n v="27.06"/>
    <n v="872.8"/>
    <n v="541.20000000000005"/>
    <n v="331.6"/>
    <n v="5"/>
  </r>
  <r>
    <x v="56"/>
    <n v="10156"/>
    <n v="141"/>
    <x v="4"/>
    <x v="3"/>
    <x v="5"/>
    <x v="65"/>
    <n v="48"/>
    <n v="77.64"/>
    <n v="51.15"/>
    <n v="3726.72"/>
    <n v="2455.1999999999998"/>
    <n v="1271.52"/>
    <n v="5"/>
  </r>
  <r>
    <x v="57"/>
    <n v="10157"/>
    <n v="473"/>
    <x v="48"/>
    <x v="5"/>
    <x v="5"/>
    <x v="55"/>
    <n v="33"/>
    <n v="69.27"/>
    <n v="49"/>
    <n v="2285.91"/>
    <n v="1617"/>
    <n v="668.91"/>
    <n v="1"/>
  </r>
  <r>
    <x v="57"/>
    <n v="10157"/>
    <n v="473"/>
    <x v="48"/>
    <x v="5"/>
    <x v="5"/>
    <x v="58"/>
    <n v="40"/>
    <n v="89.72"/>
    <n v="66.739999999999995"/>
    <n v="3588.8"/>
    <n v="2669.6"/>
    <n v="919.2"/>
    <n v="1"/>
  </r>
  <r>
    <x v="57"/>
    <n v="10157"/>
    <n v="473"/>
    <x v="48"/>
    <x v="5"/>
    <x v="5"/>
    <x v="62"/>
    <n v="33"/>
    <n v="66.650000000000006"/>
    <n v="36.229999999999997"/>
    <n v="2199.4499999999998"/>
    <n v="1195.5899999999999"/>
    <n v="1003.86"/>
    <n v="1"/>
  </r>
  <r>
    <x v="57"/>
    <n v="10157"/>
    <n v="473"/>
    <x v="48"/>
    <x v="5"/>
    <x v="6"/>
    <x v="79"/>
    <n v="34"/>
    <n v="83.91"/>
    <n v="66.92"/>
    <n v="2852.94"/>
    <n v="2275.2800000000002"/>
    <n v="577.66"/>
    <n v="1"/>
  </r>
  <r>
    <x v="57"/>
    <n v="10157"/>
    <n v="473"/>
    <x v="48"/>
    <x v="5"/>
    <x v="0"/>
    <x v="63"/>
    <n v="28"/>
    <n v="56.41"/>
    <n v="33.020000000000003"/>
    <n v="1579.48"/>
    <n v="924.56"/>
    <n v="654.91999999999996"/>
    <n v="1"/>
  </r>
  <r>
    <x v="57"/>
    <n v="10157"/>
    <n v="473"/>
    <x v="48"/>
    <x v="5"/>
    <x v="5"/>
    <x v="68"/>
    <n v="48"/>
    <n v="109.16"/>
    <n v="59.33"/>
    <n v="5239.68"/>
    <n v="2847.84"/>
    <n v="2391.84"/>
    <n v="1"/>
  </r>
  <r>
    <x v="58"/>
    <n v="10159"/>
    <n v="321"/>
    <x v="49"/>
    <x v="0"/>
    <x v="6"/>
    <x v="72"/>
    <n v="49"/>
    <n v="81.349999999999994"/>
    <n v="48.81"/>
    <n v="3986.15"/>
    <n v="2391.69"/>
    <n v="1594.46"/>
    <n v="1"/>
  </r>
  <r>
    <x v="58"/>
    <n v="10159"/>
    <n v="321"/>
    <x v="49"/>
    <x v="0"/>
    <x v="6"/>
    <x v="73"/>
    <n v="37"/>
    <n v="101.1"/>
    <n v="68.989999999999995"/>
    <n v="3740.7"/>
    <n v="2552.63"/>
    <n v="1188.07"/>
    <n v="1"/>
  </r>
  <r>
    <x v="58"/>
    <n v="10159"/>
    <n v="321"/>
    <x v="49"/>
    <x v="0"/>
    <x v="6"/>
    <x v="74"/>
    <n v="22"/>
    <n v="170.42"/>
    <n v="91.02"/>
    <n v="3749.24"/>
    <n v="2002.44"/>
    <n v="1746.8"/>
    <n v="1"/>
  </r>
  <r>
    <x v="58"/>
    <n v="10159"/>
    <n v="321"/>
    <x v="49"/>
    <x v="0"/>
    <x v="1"/>
    <x v="80"/>
    <n v="41"/>
    <n v="188.73"/>
    <n v="95.34"/>
    <n v="7737.93"/>
    <n v="3908.94"/>
    <n v="3828.99"/>
    <n v="1"/>
  </r>
  <r>
    <x v="58"/>
    <n v="10159"/>
    <n v="321"/>
    <x v="49"/>
    <x v="0"/>
    <x v="6"/>
    <x v="75"/>
    <n v="38"/>
    <n v="131.04"/>
    <n v="66.27"/>
    <n v="4979.5200000000004"/>
    <n v="2518.2600000000002"/>
    <n v="2461.2600000000002"/>
    <n v="1"/>
  </r>
  <r>
    <x v="58"/>
    <n v="10159"/>
    <n v="321"/>
    <x v="49"/>
    <x v="0"/>
    <x v="1"/>
    <x v="82"/>
    <n v="24"/>
    <n v="67.03"/>
    <n v="31.92"/>
    <n v="1608.72"/>
    <n v="766.08"/>
    <n v="842.64"/>
    <n v="1"/>
  </r>
  <r>
    <x v="58"/>
    <n v="10159"/>
    <n v="321"/>
    <x v="49"/>
    <x v="0"/>
    <x v="6"/>
    <x v="76"/>
    <n v="42"/>
    <n v="51.48"/>
    <n v="24.23"/>
    <n v="2162.16"/>
    <n v="1017.66"/>
    <n v="1144.5"/>
    <n v="1"/>
  </r>
  <r>
    <x v="58"/>
    <n v="10159"/>
    <n v="321"/>
    <x v="49"/>
    <x v="0"/>
    <x v="1"/>
    <x v="85"/>
    <n v="21"/>
    <n v="66.739999999999995"/>
    <n v="49.05"/>
    <n v="1401.54"/>
    <n v="1030.05"/>
    <n v="371.49"/>
    <n v="1"/>
  </r>
  <r>
    <x v="58"/>
    <n v="10159"/>
    <n v="321"/>
    <x v="49"/>
    <x v="0"/>
    <x v="1"/>
    <x v="86"/>
    <n v="25"/>
    <n v="129.35"/>
    <n v="73.489999999999995"/>
    <n v="3233.75"/>
    <n v="1837.25"/>
    <n v="1396.5"/>
    <n v="1"/>
  </r>
  <r>
    <x v="58"/>
    <n v="10159"/>
    <n v="321"/>
    <x v="49"/>
    <x v="0"/>
    <x v="6"/>
    <x v="87"/>
    <n v="21"/>
    <n v="54.71"/>
    <n v="32.950000000000003"/>
    <n v="1148.9100000000001"/>
    <n v="691.95"/>
    <n v="456.96"/>
    <n v="1"/>
  </r>
  <r>
    <x v="58"/>
    <n v="10159"/>
    <n v="321"/>
    <x v="49"/>
    <x v="0"/>
    <x v="1"/>
    <x v="88"/>
    <n v="32"/>
    <n v="142.85"/>
    <n v="69.930000000000007"/>
    <n v="4571.2"/>
    <n v="2237.7600000000002"/>
    <n v="2333.44"/>
    <n v="1"/>
  </r>
  <r>
    <x v="58"/>
    <n v="10159"/>
    <n v="321"/>
    <x v="49"/>
    <x v="0"/>
    <x v="6"/>
    <x v="77"/>
    <n v="44"/>
    <n v="100.3"/>
    <n v="60.86"/>
    <n v="4413.2"/>
    <n v="2677.84"/>
    <n v="1735.36"/>
    <n v="1"/>
  </r>
  <r>
    <x v="58"/>
    <n v="10159"/>
    <n v="321"/>
    <x v="49"/>
    <x v="0"/>
    <x v="6"/>
    <x v="89"/>
    <n v="27"/>
    <n v="67.180000000000007"/>
    <n v="47.1"/>
    <n v="1813.86"/>
    <n v="1271.7"/>
    <n v="542.16"/>
    <n v="1"/>
  </r>
  <r>
    <x v="58"/>
    <n v="10159"/>
    <n v="321"/>
    <x v="49"/>
    <x v="0"/>
    <x v="1"/>
    <x v="90"/>
    <n v="50"/>
    <n v="49.6"/>
    <n v="38.58"/>
    <n v="2480"/>
    <n v="1929"/>
    <n v="551"/>
    <n v="1"/>
  </r>
  <r>
    <x v="58"/>
    <n v="10159"/>
    <n v="321"/>
    <x v="49"/>
    <x v="0"/>
    <x v="1"/>
    <x v="92"/>
    <n v="23"/>
    <n v="80.84"/>
    <n v="32.33"/>
    <n v="1859.32"/>
    <n v="743.59"/>
    <n v="1115.73"/>
    <n v="1"/>
  </r>
  <r>
    <x v="58"/>
    <n v="10159"/>
    <n v="321"/>
    <x v="49"/>
    <x v="0"/>
    <x v="6"/>
    <x v="93"/>
    <n v="35"/>
    <n v="39.43"/>
    <n v="24.14"/>
    <n v="1380.05"/>
    <n v="844.9"/>
    <n v="535.15"/>
    <n v="1"/>
  </r>
  <r>
    <x v="58"/>
    <n v="10159"/>
    <n v="321"/>
    <x v="49"/>
    <x v="0"/>
    <x v="6"/>
    <x v="94"/>
    <n v="23"/>
    <n v="86.74"/>
    <n v="56.13"/>
    <n v="1995.02"/>
    <n v="1290.99"/>
    <n v="704.03"/>
    <n v="1"/>
  </r>
  <r>
    <x v="58"/>
    <n v="10159"/>
    <n v="321"/>
    <x v="49"/>
    <x v="0"/>
    <x v="6"/>
    <x v="95"/>
    <n v="31"/>
    <n v="78.11"/>
    <n v="34.17"/>
    <n v="2421.41"/>
    <n v="1059.27"/>
    <n v="1362.14"/>
    <n v="1"/>
  </r>
  <r>
    <x v="58"/>
    <n v="10158"/>
    <n v="121"/>
    <x v="3"/>
    <x v="2"/>
    <x v="6"/>
    <x v="78"/>
    <n v="22"/>
    <n v="67.790000000000006"/>
    <n v="37.32"/>
    <n v="1491.38"/>
    <n v="821.04"/>
    <n v="670.34"/>
    <n v="2"/>
  </r>
  <r>
    <x v="59"/>
    <n v="10160"/>
    <n v="347"/>
    <x v="50"/>
    <x v="0"/>
    <x v="1"/>
    <x v="81"/>
    <n v="46"/>
    <n v="96.3"/>
    <n v="75.16"/>
    <n v="4429.8"/>
    <n v="3457.36"/>
    <n v="972.44"/>
    <n v="1"/>
  </r>
  <r>
    <x v="59"/>
    <n v="10160"/>
    <n v="347"/>
    <x v="50"/>
    <x v="0"/>
    <x v="1"/>
    <x v="83"/>
    <n v="50"/>
    <n v="93.28"/>
    <n v="58.73"/>
    <n v="4664"/>
    <n v="2936.5"/>
    <n v="1727.5"/>
    <n v="1"/>
  </r>
  <r>
    <x v="59"/>
    <n v="10160"/>
    <n v="347"/>
    <x v="50"/>
    <x v="0"/>
    <x v="1"/>
    <x v="84"/>
    <n v="38"/>
    <n v="70.84"/>
    <n v="53.9"/>
    <n v="2691.92"/>
    <n v="2048.1999999999998"/>
    <n v="643.72"/>
    <n v="1"/>
  </r>
  <r>
    <x v="59"/>
    <n v="10160"/>
    <n v="347"/>
    <x v="50"/>
    <x v="0"/>
    <x v="1"/>
    <x v="30"/>
    <n v="20"/>
    <n v="140.55000000000001"/>
    <n v="77.900000000000006"/>
    <n v="2811"/>
    <n v="1558"/>
    <n v="1253"/>
    <n v="1"/>
  </r>
  <r>
    <x v="59"/>
    <n v="10160"/>
    <n v="347"/>
    <x v="50"/>
    <x v="0"/>
    <x v="1"/>
    <x v="100"/>
    <n v="42"/>
    <n v="30.59"/>
    <n v="16.239999999999998"/>
    <n v="1284.78"/>
    <n v="682.08"/>
    <n v="602.70000000000005"/>
    <n v="1"/>
  </r>
  <r>
    <x v="59"/>
    <n v="10160"/>
    <n v="347"/>
    <x v="50"/>
    <x v="0"/>
    <x v="1"/>
    <x v="91"/>
    <n v="35"/>
    <n v="130.6"/>
    <n v="98.3"/>
    <n v="4571"/>
    <n v="3440.5"/>
    <n v="1130.5"/>
    <n v="1"/>
  </r>
  <r>
    <x v="60"/>
    <n v="10161"/>
    <n v="227"/>
    <x v="51"/>
    <x v="4"/>
    <x v="1"/>
    <x v="96"/>
    <n v="28"/>
    <n v="121.72"/>
    <n v="83.51"/>
    <n v="3408.16"/>
    <n v="2338.2800000000002"/>
    <n v="1069.8800000000001"/>
    <n v="1"/>
  </r>
  <r>
    <x v="60"/>
    <n v="10161"/>
    <n v="227"/>
    <x v="51"/>
    <x v="4"/>
    <x v="1"/>
    <x v="101"/>
    <n v="43"/>
    <n v="102.04"/>
    <n v="65.959999999999994"/>
    <n v="4387.72"/>
    <n v="2836.28"/>
    <n v="1551.44"/>
    <n v="1"/>
  </r>
  <r>
    <x v="60"/>
    <n v="10161"/>
    <n v="227"/>
    <x v="51"/>
    <x v="4"/>
    <x v="1"/>
    <x v="97"/>
    <n v="48"/>
    <n v="139.41"/>
    <n v="93.89"/>
    <n v="6691.68"/>
    <n v="4506.72"/>
    <n v="2184.96"/>
    <n v="1"/>
  </r>
  <r>
    <x v="60"/>
    <n v="10161"/>
    <n v="227"/>
    <x v="51"/>
    <x v="4"/>
    <x v="1"/>
    <x v="98"/>
    <n v="23"/>
    <n v="125.4"/>
    <n v="56.76"/>
    <n v="2884.2"/>
    <n v="1305.48"/>
    <n v="1578.72"/>
    <n v="1"/>
  </r>
  <r>
    <x v="60"/>
    <n v="10161"/>
    <n v="227"/>
    <x v="51"/>
    <x v="4"/>
    <x v="1"/>
    <x v="99"/>
    <n v="36"/>
    <n v="132.80000000000001"/>
    <n v="62.16"/>
    <n v="4780.8"/>
    <n v="2237.7600000000002"/>
    <n v="2543.04"/>
    <n v="1"/>
  </r>
  <r>
    <x v="60"/>
    <n v="10161"/>
    <n v="227"/>
    <x v="51"/>
    <x v="4"/>
    <x v="1"/>
    <x v="102"/>
    <n v="25"/>
    <n v="62.72"/>
    <n v="34.21"/>
    <n v="1568"/>
    <n v="855.25"/>
    <n v="712.75"/>
    <n v="1"/>
  </r>
  <r>
    <x v="60"/>
    <n v="10161"/>
    <n v="227"/>
    <x v="51"/>
    <x v="4"/>
    <x v="1"/>
    <x v="103"/>
    <n v="37"/>
    <n v="73.489999999999995"/>
    <n v="49.24"/>
    <n v="2719.13"/>
    <n v="1821.88"/>
    <n v="897.25"/>
    <n v="1"/>
  </r>
  <r>
    <x v="60"/>
    <n v="10161"/>
    <n v="227"/>
    <x v="51"/>
    <x v="4"/>
    <x v="1"/>
    <x v="104"/>
    <n v="23"/>
    <n v="47.29"/>
    <n v="29.18"/>
    <n v="1087.67"/>
    <n v="671.14"/>
    <n v="416.53"/>
    <n v="1"/>
  </r>
  <r>
    <x v="60"/>
    <n v="10161"/>
    <n v="227"/>
    <x v="51"/>
    <x v="4"/>
    <x v="1"/>
    <x v="105"/>
    <n v="20"/>
    <n v="82.69"/>
    <n v="47.25"/>
    <n v="1653.8"/>
    <n v="945"/>
    <n v="708.8"/>
    <n v="1"/>
  </r>
  <r>
    <x v="60"/>
    <n v="10161"/>
    <n v="227"/>
    <x v="51"/>
    <x v="4"/>
    <x v="1"/>
    <x v="106"/>
    <n v="25"/>
    <n v="108.04"/>
    <n v="72.819999999999993"/>
    <n v="2701"/>
    <n v="1820.5"/>
    <n v="880.5"/>
    <n v="1"/>
  </r>
  <r>
    <x v="60"/>
    <n v="10161"/>
    <n v="227"/>
    <x v="51"/>
    <x v="4"/>
    <x v="1"/>
    <x v="107"/>
    <n v="20"/>
    <n v="72.77"/>
    <n v="50.51"/>
    <n v="1455.4"/>
    <n v="1010.2"/>
    <n v="445.2"/>
    <n v="1"/>
  </r>
  <r>
    <x v="60"/>
    <n v="10161"/>
    <n v="227"/>
    <x v="51"/>
    <x v="4"/>
    <x v="1"/>
    <x v="108"/>
    <n v="30"/>
    <n v="94.23"/>
    <n v="62.11"/>
    <n v="2826.9"/>
    <n v="1863.3"/>
    <n v="963.6"/>
    <n v="1"/>
  </r>
  <r>
    <x v="61"/>
    <n v="10162"/>
    <n v="321"/>
    <x v="49"/>
    <x v="0"/>
    <x v="0"/>
    <x v="8"/>
    <n v="48"/>
    <n v="87.33"/>
    <n v="60.62"/>
    <n v="4191.84"/>
    <n v="2909.76"/>
    <n v="1282.08"/>
    <n v="2"/>
  </r>
  <r>
    <x v="61"/>
    <n v="10162"/>
    <n v="321"/>
    <x v="49"/>
    <x v="0"/>
    <x v="0"/>
    <x v="9"/>
    <n v="45"/>
    <n v="45.28"/>
    <n v="24.26"/>
    <n v="2037.6"/>
    <n v="1091.7"/>
    <n v="945.9"/>
    <n v="2"/>
  </r>
  <r>
    <x v="61"/>
    <n v="10162"/>
    <n v="321"/>
    <x v="49"/>
    <x v="0"/>
    <x v="0"/>
    <x v="0"/>
    <n v="29"/>
    <n v="141.1"/>
    <n v="86.7"/>
    <n v="4091.9"/>
    <n v="2514.3000000000002"/>
    <n v="1577.6"/>
    <n v="2"/>
  </r>
  <r>
    <x v="61"/>
    <n v="10162"/>
    <n v="321"/>
    <x v="49"/>
    <x v="0"/>
    <x v="0"/>
    <x v="1"/>
    <n v="27"/>
    <n v="53.28"/>
    <n v="33.299999999999997"/>
    <n v="1438.56"/>
    <n v="899.1"/>
    <n v="539.46"/>
    <n v="2"/>
  </r>
  <r>
    <x v="61"/>
    <n v="10162"/>
    <n v="321"/>
    <x v="49"/>
    <x v="0"/>
    <x v="0"/>
    <x v="4"/>
    <n v="38"/>
    <n v="113.15"/>
    <n v="58.48"/>
    <n v="4299.7"/>
    <n v="2222.2399999999998"/>
    <n v="2077.46"/>
    <n v="2"/>
  </r>
  <r>
    <x v="61"/>
    <n v="10162"/>
    <n v="321"/>
    <x v="49"/>
    <x v="0"/>
    <x v="0"/>
    <x v="5"/>
    <n v="48"/>
    <n v="156.94"/>
    <n v="72.56"/>
    <n v="7533.12"/>
    <n v="3482.88"/>
    <n v="4050.24"/>
    <n v="2"/>
  </r>
  <r>
    <x v="61"/>
    <n v="10162"/>
    <n v="321"/>
    <x v="49"/>
    <x v="0"/>
    <x v="0"/>
    <x v="2"/>
    <n v="39"/>
    <n v="86.51"/>
    <n v="43.26"/>
    <n v="3373.89"/>
    <n v="1687.14"/>
    <n v="1686.75"/>
    <n v="2"/>
  </r>
  <r>
    <x v="61"/>
    <n v="10162"/>
    <n v="321"/>
    <x v="49"/>
    <x v="0"/>
    <x v="0"/>
    <x v="6"/>
    <n v="37"/>
    <n v="27.55"/>
    <n v="22.57"/>
    <n v="1019.35"/>
    <n v="835.09"/>
    <n v="184.26"/>
    <n v="2"/>
  </r>
  <r>
    <x v="61"/>
    <n v="10162"/>
    <n v="321"/>
    <x v="49"/>
    <x v="0"/>
    <x v="0"/>
    <x v="7"/>
    <n v="43"/>
    <n v="38.979999999999997"/>
    <n v="20.61"/>
    <n v="1676.14"/>
    <n v="886.23"/>
    <n v="789.91"/>
    <n v="2"/>
  </r>
  <r>
    <x v="61"/>
    <n v="10162"/>
    <n v="321"/>
    <x v="49"/>
    <x v="0"/>
    <x v="0"/>
    <x v="3"/>
    <n v="37"/>
    <n v="32.82"/>
    <n v="21.75"/>
    <n v="1214.3399999999999"/>
    <n v="804.75"/>
    <n v="409.59"/>
    <n v="2"/>
  </r>
  <r>
    <x v="62"/>
    <n v="10163"/>
    <n v="424"/>
    <x v="15"/>
    <x v="0"/>
    <x v="1"/>
    <x v="10"/>
    <n v="21"/>
    <n v="212.16"/>
    <n v="98.58"/>
    <n v="4455.3599999999997"/>
    <n v="2070.1799999999998"/>
    <n v="2385.1799999999998"/>
    <n v="2"/>
  </r>
  <r>
    <x v="62"/>
    <n v="10163"/>
    <n v="424"/>
    <x v="15"/>
    <x v="0"/>
    <x v="0"/>
    <x v="15"/>
    <n v="31"/>
    <n v="101.31"/>
    <n v="60.78"/>
    <n v="3140.61"/>
    <n v="1884.18"/>
    <n v="1256.43"/>
    <n v="2"/>
  </r>
  <r>
    <x v="62"/>
    <n v="10163"/>
    <n v="424"/>
    <x v="15"/>
    <x v="0"/>
    <x v="0"/>
    <x v="16"/>
    <n v="48"/>
    <n v="59.96"/>
    <n v="34.35"/>
    <n v="2878.08"/>
    <n v="1648.8"/>
    <n v="1229.28"/>
    <n v="2"/>
  </r>
  <r>
    <x v="62"/>
    <n v="10163"/>
    <n v="424"/>
    <x v="15"/>
    <x v="0"/>
    <x v="0"/>
    <x v="17"/>
    <n v="40"/>
    <n v="101.58"/>
    <n v="60.74"/>
    <n v="4063.2"/>
    <n v="2429.6"/>
    <n v="1633.6"/>
    <n v="2"/>
  </r>
  <r>
    <x v="62"/>
    <n v="10163"/>
    <n v="424"/>
    <x v="15"/>
    <x v="0"/>
    <x v="0"/>
    <x v="18"/>
    <n v="43"/>
    <n v="80.36"/>
    <n v="57.54"/>
    <n v="3455.48"/>
    <n v="2474.2199999999998"/>
    <n v="981.26"/>
    <n v="2"/>
  </r>
  <r>
    <x v="62"/>
    <n v="10163"/>
    <n v="424"/>
    <x v="15"/>
    <x v="0"/>
    <x v="0"/>
    <x v="22"/>
    <n v="42"/>
    <n v="96.42"/>
    <n v="57.46"/>
    <n v="4049.64"/>
    <n v="2413.3200000000002"/>
    <n v="1636.32"/>
    <n v="2"/>
  </r>
  <r>
    <x v="63"/>
    <n v="10164"/>
    <n v="452"/>
    <x v="52"/>
    <x v="12"/>
    <x v="1"/>
    <x v="11"/>
    <n v="21"/>
    <n v="143.31"/>
    <n v="103.42"/>
    <n v="3009.51"/>
    <n v="2171.8200000000002"/>
    <n v="837.69"/>
    <n v="1"/>
  </r>
  <r>
    <x v="63"/>
    <n v="10164"/>
    <n v="452"/>
    <x v="52"/>
    <x v="12"/>
    <x v="2"/>
    <x v="12"/>
    <n v="49"/>
    <n v="121.64"/>
    <n v="77.900000000000006"/>
    <n v="5960.36"/>
    <n v="3817.1"/>
    <n v="2143.2600000000002"/>
    <n v="1"/>
  </r>
  <r>
    <x v="63"/>
    <n v="10164"/>
    <n v="452"/>
    <x v="52"/>
    <x v="12"/>
    <x v="2"/>
    <x v="13"/>
    <n v="36"/>
    <n v="103.84"/>
    <n v="58.33"/>
    <n v="3738.24"/>
    <n v="2099.88"/>
    <n v="1638.36"/>
    <n v="1"/>
  </r>
  <r>
    <x v="63"/>
    <n v="10164"/>
    <n v="452"/>
    <x v="52"/>
    <x v="12"/>
    <x v="2"/>
    <x v="19"/>
    <n v="45"/>
    <n v="107.76"/>
    <n v="84.76"/>
    <n v="4849.2"/>
    <n v="3814.2"/>
    <n v="1035"/>
    <n v="1"/>
  </r>
  <r>
    <x v="63"/>
    <n v="10164"/>
    <n v="452"/>
    <x v="52"/>
    <x v="12"/>
    <x v="0"/>
    <x v="20"/>
    <n v="25"/>
    <n v="46.29"/>
    <n v="23.14"/>
    <n v="1157.25"/>
    <n v="578.5"/>
    <n v="578.75"/>
    <n v="1"/>
  </r>
  <r>
    <x v="63"/>
    <n v="10164"/>
    <n v="452"/>
    <x v="52"/>
    <x v="12"/>
    <x v="2"/>
    <x v="23"/>
    <n v="24"/>
    <n v="91.49"/>
    <n v="53.93"/>
    <n v="2195.7600000000002"/>
    <n v="1294.32"/>
    <n v="901.44"/>
    <n v="1"/>
  </r>
  <r>
    <x v="63"/>
    <n v="10164"/>
    <n v="452"/>
    <x v="52"/>
    <x v="12"/>
    <x v="2"/>
    <x v="24"/>
    <n v="49"/>
    <n v="57.53"/>
    <n v="33.61"/>
    <n v="2818.97"/>
    <n v="1646.89"/>
    <n v="1172.08"/>
    <n v="1"/>
  </r>
  <r>
    <x v="63"/>
    <n v="10164"/>
    <n v="452"/>
    <x v="52"/>
    <x v="12"/>
    <x v="1"/>
    <x v="25"/>
    <n v="39"/>
    <n v="86.99"/>
    <n v="46.53"/>
    <n v="3392.61"/>
    <n v="1814.67"/>
    <n v="1577.94"/>
    <n v="1"/>
  </r>
  <r>
    <x v="63"/>
    <n v="10166"/>
    <n v="462"/>
    <x v="53"/>
    <x v="0"/>
    <x v="0"/>
    <x v="42"/>
    <n v="43"/>
    <n v="136.59"/>
    <n v="68.3"/>
    <n v="5873.37"/>
    <n v="2936.9"/>
    <n v="2936.47"/>
    <n v="1"/>
  </r>
  <r>
    <x v="63"/>
    <n v="10166"/>
    <n v="462"/>
    <x v="53"/>
    <x v="0"/>
    <x v="0"/>
    <x v="44"/>
    <n v="26"/>
    <n v="72.849999999999994"/>
    <n v="52.66"/>
    <n v="1894.1"/>
    <n v="1369.16"/>
    <n v="524.94000000000005"/>
    <n v="1"/>
  </r>
  <r>
    <x v="63"/>
    <n v="10166"/>
    <n v="462"/>
    <x v="53"/>
    <x v="0"/>
    <x v="4"/>
    <x v="49"/>
    <n v="29"/>
    <n v="76.22"/>
    <n v="43.3"/>
    <n v="2210.38"/>
    <n v="1255.7"/>
    <n v="954.68"/>
    <n v="1"/>
  </r>
  <r>
    <x v="64"/>
    <n v="10165"/>
    <n v="148"/>
    <x v="17"/>
    <x v="11"/>
    <x v="1"/>
    <x v="40"/>
    <n v="44"/>
    <n v="168.32"/>
    <n v="95.59"/>
    <n v="7406.08"/>
    <n v="4205.96"/>
    <n v="3200.12"/>
    <n v="3"/>
  </r>
  <r>
    <x v="64"/>
    <n v="10165"/>
    <n v="148"/>
    <x v="17"/>
    <x v="11"/>
    <x v="1"/>
    <x v="26"/>
    <n v="34"/>
    <n v="123.89"/>
    <n v="89.14"/>
    <n v="4212.26"/>
    <n v="3030.76"/>
    <n v="1181.5"/>
    <n v="3"/>
  </r>
  <r>
    <x v="64"/>
    <n v="10165"/>
    <n v="148"/>
    <x v="17"/>
    <x v="11"/>
    <x v="1"/>
    <x v="41"/>
    <n v="27"/>
    <n v="152.26"/>
    <n v="83.05"/>
    <n v="4111.0200000000004"/>
    <n v="2242.35"/>
    <n v="1868.67"/>
    <n v="3"/>
  </r>
  <r>
    <x v="64"/>
    <n v="10165"/>
    <n v="148"/>
    <x v="17"/>
    <x v="11"/>
    <x v="2"/>
    <x v="27"/>
    <n v="48"/>
    <n v="109.02"/>
    <n v="55.7"/>
    <n v="5232.96"/>
    <n v="2673.6"/>
    <n v="2559.36"/>
    <n v="3"/>
  </r>
  <r>
    <x v="64"/>
    <n v="10165"/>
    <n v="148"/>
    <x v="17"/>
    <x v="11"/>
    <x v="1"/>
    <x v="28"/>
    <n v="29"/>
    <n v="134.26"/>
    <n v="101.51"/>
    <n v="3893.54"/>
    <n v="2943.79"/>
    <n v="949.75"/>
    <n v="3"/>
  </r>
  <r>
    <x v="64"/>
    <n v="10165"/>
    <n v="148"/>
    <x v="17"/>
    <x v="11"/>
    <x v="2"/>
    <x v="29"/>
    <n v="46"/>
    <n v="120.28"/>
    <n v="74.86"/>
    <n v="5532.88"/>
    <n v="3443.56"/>
    <n v="2089.3200000000002"/>
    <n v="3"/>
  </r>
  <r>
    <x v="64"/>
    <n v="10165"/>
    <n v="148"/>
    <x v="17"/>
    <x v="11"/>
    <x v="2"/>
    <x v="14"/>
    <n v="31"/>
    <n v="60.77"/>
    <n v="24.92"/>
    <n v="1883.87"/>
    <n v="772.52"/>
    <n v="1111.3499999999999"/>
    <n v="3"/>
  </r>
  <r>
    <x v="64"/>
    <n v="10165"/>
    <n v="148"/>
    <x v="17"/>
    <x v="11"/>
    <x v="1"/>
    <x v="30"/>
    <n v="47"/>
    <n v="154.1"/>
    <n v="77.900000000000006"/>
    <n v="7242.7"/>
    <n v="3661.3"/>
    <n v="3581.4"/>
    <n v="3"/>
  </r>
  <r>
    <x v="64"/>
    <n v="10165"/>
    <n v="148"/>
    <x v="17"/>
    <x v="11"/>
    <x v="3"/>
    <x v="43"/>
    <n v="50"/>
    <n v="84.71"/>
    <n v="67.56"/>
    <n v="4235.5"/>
    <n v="3378"/>
    <n v="857.5"/>
    <n v="3"/>
  </r>
  <r>
    <x v="64"/>
    <n v="10165"/>
    <n v="148"/>
    <x v="17"/>
    <x v="11"/>
    <x v="1"/>
    <x v="31"/>
    <n v="28"/>
    <n v="123.51"/>
    <n v="91.92"/>
    <n v="3458.28"/>
    <n v="2573.7600000000002"/>
    <n v="884.52"/>
    <n v="3"/>
  </r>
  <r>
    <x v="64"/>
    <n v="10165"/>
    <n v="148"/>
    <x v="17"/>
    <x v="11"/>
    <x v="1"/>
    <x v="32"/>
    <n v="25"/>
    <n v="46.82"/>
    <n v="32.369999999999997"/>
    <n v="1170.5"/>
    <n v="809.25"/>
    <n v="361.25"/>
    <n v="3"/>
  </r>
  <r>
    <x v="64"/>
    <n v="10165"/>
    <n v="148"/>
    <x v="17"/>
    <x v="11"/>
    <x v="2"/>
    <x v="21"/>
    <n v="32"/>
    <n v="117.57"/>
    <n v="61.34"/>
    <n v="3762.24"/>
    <n v="1962.88"/>
    <n v="1799.36"/>
    <n v="3"/>
  </r>
  <r>
    <x v="64"/>
    <n v="10165"/>
    <n v="148"/>
    <x v="17"/>
    <x v="11"/>
    <x v="1"/>
    <x v="33"/>
    <n v="27"/>
    <n v="31.12"/>
    <n v="15.91"/>
    <n v="840.24"/>
    <n v="429.57"/>
    <n v="410.67"/>
    <n v="3"/>
  </r>
  <r>
    <x v="64"/>
    <n v="10165"/>
    <n v="148"/>
    <x v="17"/>
    <x v="11"/>
    <x v="1"/>
    <x v="34"/>
    <n v="24"/>
    <n v="106.45"/>
    <n v="69.78"/>
    <n v="2554.8000000000002"/>
    <n v="1674.72"/>
    <n v="880.08"/>
    <n v="3"/>
  </r>
  <r>
    <x v="64"/>
    <n v="10165"/>
    <n v="148"/>
    <x v="17"/>
    <x v="11"/>
    <x v="2"/>
    <x v="35"/>
    <n v="48"/>
    <n v="50.86"/>
    <n v="25.98"/>
    <n v="2441.2800000000002"/>
    <n v="1247.04"/>
    <n v="1194.24"/>
    <n v="3"/>
  </r>
  <r>
    <x v="64"/>
    <n v="10165"/>
    <n v="148"/>
    <x v="17"/>
    <x v="11"/>
    <x v="3"/>
    <x v="36"/>
    <n v="44"/>
    <n v="55.3"/>
    <n v="26.72"/>
    <n v="2433.1999999999998"/>
    <n v="1175.68"/>
    <n v="1257.52"/>
    <n v="3"/>
  </r>
  <r>
    <x v="64"/>
    <n v="10165"/>
    <n v="148"/>
    <x v="17"/>
    <x v="11"/>
    <x v="2"/>
    <x v="37"/>
    <n v="48"/>
    <n v="106.49"/>
    <n v="68.290000000000006"/>
    <n v="5111.5200000000004"/>
    <n v="3277.92"/>
    <n v="1833.6"/>
    <n v="3"/>
  </r>
  <r>
    <x v="64"/>
    <n v="10165"/>
    <n v="148"/>
    <x v="17"/>
    <x v="11"/>
    <x v="3"/>
    <x v="38"/>
    <n v="38"/>
    <n v="49.21"/>
    <n v="37.49"/>
    <n v="1869.98"/>
    <n v="1424.62"/>
    <n v="445.36"/>
    <n v="3"/>
  </r>
  <r>
    <x v="65"/>
    <n v="10167"/>
    <n v="448"/>
    <x v="54"/>
    <x v="8"/>
    <x v="1"/>
    <x v="39"/>
    <n v="44"/>
    <n v="123.76"/>
    <n v="85.68"/>
    <n v="5445.44"/>
    <n v="3769.92"/>
    <n v="1675.52"/>
    <n v="1"/>
  </r>
  <r>
    <x v="65"/>
    <n v="10167"/>
    <n v="448"/>
    <x v="54"/>
    <x v="8"/>
    <x v="5"/>
    <x v="54"/>
    <n v="43"/>
    <n v="141.91999999999999"/>
    <n v="77.27"/>
    <n v="6102.56"/>
    <n v="3322.61"/>
    <n v="2779.95"/>
    <n v="1"/>
  </r>
  <r>
    <x v="65"/>
    <n v="10167"/>
    <n v="448"/>
    <x v="54"/>
    <x v="8"/>
    <x v="4"/>
    <x v="56"/>
    <n v="46"/>
    <n v="69.680000000000007"/>
    <n v="51.61"/>
    <n v="3205.28"/>
    <n v="2374.06"/>
    <n v="831.22"/>
    <n v="1"/>
  </r>
  <r>
    <x v="65"/>
    <n v="10167"/>
    <n v="448"/>
    <x v="54"/>
    <x v="8"/>
    <x v="0"/>
    <x v="57"/>
    <n v="34"/>
    <n v="84.7"/>
    <n v="64.58"/>
    <n v="2879.8"/>
    <n v="2195.7199999999998"/>
    <n v="684.08"/>
    <n v="1"/>
  </r>
  <r>
    <x v="65"/>
    <n v="10167"/>
    <n v="448"/>
    <x v="54"/>
    <x v="8"/>
    <x v="4"/>
    <x v="45"/>
    <n v="33"/>
    <n v="110.6"/>
    <n v="82.34"/>
    <n v="3649.8"/>
    <n v="2717.22"/>
    <n v="932.58"/>
    <n v="1"/>
  </r>
  <r>
    <x v="65"/>
    <n v="10167"/>
    <n v="448"/>
    <x v="54"/>
    <x v="8"/>
    <x v="5"/>
    <x v="59"/>
    <n v="21"/>
    <n v="54.81"/>
    <n v="34.25"/>
    <n v="1151.01"/>
    <n v="719.25"/>
    <n v="431.76"/>
    <n v="1"/>
  </r>
  <r>
    <x v="65"/>
    <n v="10167"/>
    <n v="448"/>
    <x v="54"/>
    <x v="8"/>
    <x v="0"/>
    <x v="46"/>
    <n v="20"/>
    <n v="77"/>
    <n v="46.91"/>
    <n v="1540"/>
    <n v="938.2"/>
    <n v="601.79999999999995"/>
    <n v="1"/>
  </r>
  <r>
    <x v="65"/>
    <n v="10167"/>
    <n v="448"/>
    <x v="54"/>
    <x v="8"/>
    <x v="0"/>
    <x v="60"/>
    <n v="32"/>
    <n v="64.44"/>
    <n v="26.3"/>
    <n v="2062.08"/>
    <n v="841.6"/>
    <n v="1220.48"/>
    <n v="1"/>
  </r>
  <r>
    <x v="65"/>
    <n v="10167"/>
    <n v="448"/>
    <x v="54"/>
    <x v="8"/>
    <x v="0"/>
    <x v="47"/>
    <n v="29"/>
    <n v="73.8"/>
    <n v="48.64"/>
    <n v="2140.1999999999998"/>
    <n v="1410.56"/>
    <n v="729.64"/>
    <n v="1"/>
  </r>
  <r>
    <x v="65"/>
    <n v="10167"/>
    <n v="448"/>
    <x v="54"/>
    <x v="8"/>
    <x v="4"/>
    <x v="48"/>
    <n v="43"/>
    <n v="66"/>
    <n v="34"/>
    <n v="2838"/>
    <n v="1462"/>
    <n v="1376"/>
    <n v="1"/>
  </r>
  <r>
    <x v="65"/>
    <n v="10167"/>
    <n v="448"/>
    <x v="54"/>
    <x v="8"/>
    <x v="4"/>
    <x v="66"/>
    <n v="29"/>
    <n v="87.8"/>
    <n v="39.83"/>
    <n v="2546.1999999999998"/>
    <n v="1155.07"/>
    <n v="1391.13"/>
    <n v="1"/>
  </r>
  <r>
    <x v="65"/>
    <n v="10167"/>
    <n v="448"/>
    <x v="54"/>
    <x v="8"/>
    <x v="4"/>
    <x v="50"/>
    <n v="46"/>
    <n v="62.16"/>
    <n v="33.97"/>
    <n v="2859.36"/>
    <n v="1562.62"/>
    <n v="1296.74"/>
    <n v="1"/>
  </r>
  <r>
    <x v="65"/>
    <n v="10167"/>
    <n v="448"/>
    <x v="54"/>
    <x v="8"/>
    <x v="4"/>
    <x v="51"/>
    <n v="24"/>
    <n v="85.14"/>
    <n v="51.09"/>
    <n v="2043.36"/>
    <n v="1226.1600000000001"/>
    <n v="817.2"/>
    <n v="1"/>
  </r>
  <r>
    <x v="65"/>
    <n v="10167"/>
    <n v="448"/>
    <x v="54"/>
    <x v="8"/>
    <x v="4"/>
    <x v="52"/>
    <n v="28"/>
    <n v="83.42"/>
    <n v="53.63"/>
    <n v="2335.7600000000002"/>
    <n v="1501.64"/>
    <n v="834.12"/>
    <n v="1"/>
  </r>
  <r>
    <x v="65"/>
    <n v="10167"/>
    <n v="448"/>
    <x v="54"/>
    <x v="8"/>
    <x v="5"/>
    <x v="71"/>
    <n v="40"/>
    <n v="42.71"/>
    <n v="32.770000000000003"/>
    <n v="1708.4"/>
    <n v="1310.8"/>
    <n v="397.6"/>
    <n v="1"/>
  </r>
  <r>
    <x v="65"/>
    <n v="10167"/>
    <n v="448"/>
    <x v="54"/>
    <x v="8"/>
    <x v="4"/>
    <x v="53"/>
    <n v="38"/>
    <n v="43.68"/>
    <n v="33.299999999999997"/>
    <n v="1659.84"/>
    <n v="1265.4000000000001"/>
    <n v="394.44"/>
    <n v="1"/>
  </r>
  <r>
    <x v="66"/>
    <n v="10168"/>
    <n v="161"/>
    <x v="35"/>
    <x v="0"/>
    <x v="6"/>
    <x v="72"/>
    <n v="36"/>
    <n v="94.74"/>
    <n v="48.81"/>
    <n v="3410.64"/>
    <n v="1757.16"/>
    <n v="1653.48"/>
    <n v="2"/>
  </r>
  <r>
    <x v="66"/>
    <n v="10168"/>
    <n v="161"/>
    <x v="35"/>
    <x v="0"/>
    <x v="6"/>
    <x v="73"/>
    <n v="27"/>
    <n v="97.53"/>
    <n v="68.989999999999995"/>
    <n v="2633.31"/>
    <n v="1862.73"/>
    <n v="770.58"/>
    <n v="2"/>
  </r>
  <r>
    <x v="66"/>
    <n v="10168"/>
    <n v="161"/>
    <x v="35"/>
    <x v="0"/>
    <x v="6"/>
    <x v="74"/>
    <n v="20"/>
    <n v="160.74"/>
    <n v="91.02"/>
    <n v="3214.8"/>
    <n v="1820.4"/>
    <n v="1394.4"/>
    <n v="2"/>
  </r>
  <r>
    <x v="66"/>
    <n v="10168"/>
    <n v="161"/>
    <x v="35"/>
    <x v="0"/>
    <x v="5"/>
    <x v="55"/>
    <n v="21"/>
    <n v="75.19"/>
    <n v="49"/>
    <n v="1578.99"/>
    <n v="1029"/>
    <n v="549.99"/>
    <n v="2"/>
  </r>
  <r>
    <x v="66"/>
    <n v="10168"/>
    <n v="161"/>
    <x v="35"/>
    <x v="0"/>
    <x v="6"/>
    <x v="76"/>
    <n v="46"/>
    <n v="49.06"/>
    <n v="24.23"/>
    <n v="2256.7600000000002"/>
    <n v="1114.58"/>
    <n v="1142.18"/>
    <n v="2"/>
  </r>
  <r>
    <x v="66"/>
    <n v="10168"/>
    <n v="161"/>
    <x v="35"/>
    <x v="0"/>
    <x v="6"/>
    <x v="77"/>
    <n v="50"/>
    <n v="103.68"/>
    <n v="60.86"/>
    <n v="5184"/>
    <n v="3043"/>
    <n v="2141"/>
    <n v="2"/>
  </r>
  <r>
    <x v="66"/>
    <n v="10168"/>
    <n v="161"/>
    <x v="35"/>
    <x v="0"/>
    <x v="5"/>
    <x v="58"/>
    <n v="49"/>
    <n v="93.01"/>
    <n v="66.739999999999995"/>
    <n v="4557.49"/>
    <n v="3270.26"/>
    <n v="1287.23"/>
    <n v="2"/>
  </r>
  <r>
    <x v="66"/>
    <n v="10168"/>
    <n v="161"/>
    <x v="35"/>
    <x v="0"/>
    <x v="6"/>
    <x v="78"/>
    <n v="29"/>
    <n v="72.36"/>
    <n v="37.32"/>
    <n v="2098.44"/>
    <n v="1082.28"/>
    <n v="1016.16"/>
    <n v="2"/>
  </r>
  <r>
    <x v="66"/>
    <n v="10168"/>
    <n v="161"/>
    <x v="35"/>
    <x v="0"/>
    <x v="5"/>
    <x v="61"/>
    <n v="27"/>
    <n v="57.32"/>
    <n v="29.34"/>
    <n v="1547.64"/>
    <n v="792.18"/>
    <n v="755.46"/>
    <n v="2"/>
  </r>
  <r>
    <x v="66"/>
    <n v="10168"/>
    <n v="161"/>
    <x v="35"/>
    <x v="0"/>
    <x v="5"/>
    <x v="62"/>
    <n v="48"/>
    <n v="68.099999999999994"/>
    <n v="36.229999999999997"/>
    <n v="3268.8"/>
    <n v="1739.04"/>
    <n v="1529.76"/>
    <n v="2"/>
  </r>
  <r>
    <x v="66"/>
    <n v="10168"/>
    <n v="161"/>
    <x v="35"/>
    <x v="0"/>
    <x v="6"/>
    <x v="79"/>
    <n v="28"/>
    <n v="89.9"/>
    <n v="66.92"/>
    <n v="2517.1999999999998"/>
    <n v="1873.76"/>
    <n v="643.44000000000005"/>
    <n v="2"/>
  </r>
  <r>
    <x v="66"/>
    <n v="10168"/>
    <n v="161"/>
    <x v="35"/>
    <x v="0"/>
    <x v="0"/>
    <x v="63"/>
    <n v="31"/>
    <n v="57.78"/>
    <n v="33.020000000000003"/>
    <n v="1791.18"/>
    <n v="1023.62"/>
    <n v="767.56"/>
    <n v="2"/>
  </r>
  <r>
    <x v="66"/>
    <n v="10168"/>
    <n v="161"/>
    <x v="35"/>
    <x v="0"/>
    <x v="0"/>
    <x v="64"/>
    <n v="48"/>
    <n v="39.71"/>
    <n v="27.06"/>
    <n v="1906.08"/>
    <n v="1298.8800000000001"/>
    <n v="607.20000000000005"/>
    <n v="2"/>
  </r>
  <r>
    <x v="66"/>
    <n v="10168"/>
    <n v="161"/>
    <x v="35"/>
    <x v="0"/>
    <x v="5"/>
    <x v="65"/>
    <n v="28"/>
    <n v="91.34"/>
    <n v="51.15"/>
    <n v="2557.52"/>
    <n v="1432.2"/>
    <n v="1125.32"/>
    <n v="2"/>
  </r>
  <r>
    <x v="66"/>
    <n v="10168"/>
    <n v="161"/>
    <x v="35"/>
    <x v="0"/>
    <x v="5"/>
    <x v="67"/>
    <n v="31"/>
    <n v="87.75"/>
    <n v="68.8"/>
    <n v="2720.25"/>
    <n v="2132.8000000000002"/>
    <n v="587.45000000000005"/>
    <n v="2"/>
  </r>
  <r>
    <x v="66"/>
    <n v="10168"/>
    <n v="161"/>
    <x v="35"/>
    <x v="0"/>
    <x v="5"/>
    <x v="68"/>
    <n v="36"/>
    <n v="94.92"/>
    <n v="59.33"/>
    <n v="3417.12"/>
    <n v="2135.88"/>
    <n v="1281.24"/>
    <n v="2"/>
  </r>
  <r>
    <x v="66"/>
    <n v="10168"/>
    <n v="161"/>
    <x v="35"/>
    <x v="0"/>
    <x v="5"/>
    <x v="69"/>
    <n v="48"/>
    <n v="72"/>
    <n v="54.4"/>
    <n v="3456"/>
    <n v="2611.1999999999998"/>
    <n v="844.8"/>
    <n v="2"/>
  </r>
  <r>
    <x v="66"/>
    <n v="10168"/>
    <n v="161"/>
    <x v="35"/>
    <x v="0"/>
    <x v="5"/>
    <x v="70"/>
    <n v="39"/>
    <n v="67.37"/>
    <n v="36.270000000000003"/>
    <n v="2627.43"/>
    <n v="1414.53"/>
    <n v="1212.9000000000001"/>
    <n v="2"/>
  </r>
  <r>
    <x v="67"/>
    <n v="10169"/>
    <n v="276"/>
    <x v="40"/>
    <x v="13"/>
    <x v="1"/>
    <x v="80"/>
    <n v="30"/>
    <n v="163.44"/>
    <n v="95.34"/>
    <n v="4903.2"/>
    <n v="2860.2"/>
    <n v="2043"/>
    <n v="2"/>
  </r>
  <r>
    <x v="67"/>
    <n v="10169"/>
    <n v="276"/>
    <x v="40"/>
    <x v="13"/>
    <x v="6"/>
    <x v="75"/>
    <n v="35"/>
    <n v="126.52"/>
    <n v="66.27"/>
    <n v="4428.2"/>
    <n v="2319.4499999999998"/>
    <n v="2108.75"/>
    <n v="2"/>
  </r>
  <r>
    <x v="67"/>
    <n v="10169"/>
    <n v="276"/>
    <x v="40"/>
    <x v="13"/>
    <x v="1"/>
    <x v="82"/>
    <n v="36"/>
    <n v="71.819999999999993"/>
    <n v="31.92"/>
    <n v="2585.52"/>
    <n v="1149.1199999999999"/>
    <n v="1436.4"/>
    <n v="2"/>
  </r>
  <r>
    <x v="67"/>
    <n v="10169"/>
    <n v="276"/>
    <x v="40"/>
    <x v="13"/>
    <x v="1"/>
    <x v="85"/>
    <n v="32"/>
    <n v="65.13"/>
    <n v="49.05"/>
    <n v="2084.16"/>
    <n v="1569.6"/>
    <n v="514.55999999999995"/>
    <n v="2"/>
  </r>
  <r>
    <x v="67"/>
    <n v="10169"/>
    <n v="276"/>
    <x v="40"/>
    <x v="13"/>
    <x v="1"/>
    <x v="86"/>
    <n v="36"/>
    <n v="136.69999999999999"/>
    <n v="73.489999999999995"/>
    <n v="4921.2"/>
    <n v="2645.64"/>
    <n v="2275.56"/>
    <n v="2"/>
  </r>
  <r>
    <x v="67"/>
    <n v="10169"/>
    <n v="276"/>
    <x v="40"/>
    <x v="13"/>
    <x v="6"/>
    <x v="87"/>
    <n v="38"/>
    <n v="52.84"/>
    <n v="32.950000000000003"/>
    <n v="2007.92"/>
    <n v="1252.0999999999999"/>
    <n v="755.82"/>
    <n v="2"/>
  </r>
  <r>
    <x v="67"/>
    <n v="10169"/>
    <n v="276"/>
    <x v="40"/>
    <x v="13"/>
    <x v="1"/>
    <x v="88"/>
    <n v="33"/>
    <n v="120.53"/>
    <n v="69.930000000000007"/>
    <n v="3977.49"/>
    <n v="2307.69"/>
    <n v="1669.8"/>
    <n v="2"/>
  </r>
  <r>
    <x v="67"/>
    <n v="10169"/>
    <n v="276"/>
    <x v="40"/>
    <x v="13"/>
    <x v="6"/>
    <x v="89"/>
    <n v="38"/>
    <n v="66.489999999999995"/>
    <n v="47.1"/>
    <n v="2526.62"/>
    <n v="1789.8"/>
    <n v="736.82"/>
    <n v="2"/>
  </r>
  <r>
    <x v="67"/>
    <n v="10169"/>
    <n v="276"/>
    <x v="40"/>
    <x v="13"/>
    <x v="1"/>
    <x v="90"/>
    <n v="34"/>
    <n v="53.27"/>
    <n v="38.58"/>
    <n v="1811.18"/>
    <n v="1311.72"/>
    <n v="499.46"/>
    <n v="2"/>
  </r>
  <r>
    <x v="67"/>
    <n v="10169"/>
    <n v="276"/>
    <x v="40"/>
    <x v="13"/>
    <x v="1"/>
    <x v="92"/>
    <n v="24"/>
    <n v="77.61"/>
    <n v="32.33"/>
    <n v="1862.64"/>
    <n v="775.92"/>
    <n v="1086.72"/>
    <n v="2"/>
  </r>
  <r>
    <x v="67"/>
    <n v="10169"/>
    <n v="276"/>
    <x v="40"/>
    <x v="13"/>
    <x v="6"/>
    <x v="93"/>
    <n v="26"/>
    <n v="37.01"/>
    <n v="24.14"/>
    <n v="962.26"/>
    <n v="627.64"/>
    <n v="334.62"/>
    <n v="2"/>
  </r>
  <r>
    <x v="67"/>
    <n v="10169"/>
    <n v="276"/>
    <x v="40"/>
    <x v="13"/>
    <x v="6"/>
    <x v="94"/>
    <n v="34"/>
    <n v="83.68"/>
    <n v="56.13"/>
    <n v="2845.12"/>
    <n v="1908.42"/>
    <n v="936.7"/>
    <n v="2"/>
  </r>
  <r>
    <x v="67"/>
    <n v="10169"/>
    <n v="276"/>
    <x v="40"/>
    <x v="13"/>
    <x v="6"/>
    <x v="95"/>
    <n v="48"/>
    <n v="75.66"/>
    <n v="34.17"/>
    <n v="3631.68"/>
    <n v="1640.16"/>
    <n v="1991.52"/>
    <n v="2"/>
  </r>
  <r>
    <x v="67"/>
    <n v="10170"/>
    <n v="452"/>
    <x v="52"/>
    <x v="12"/>
    <x v="1"/>
    <x v="81"/>
    <n v="47"/>
    <n v="116.27"/>
    <n v="75.16"/>
    <n v="5464.69"/>
    <n v="3532.52"/>
    <n v="1932.17"/>
    <n v="2"/>
  </r>
  <r>
    <x v="67"/>
    <n v="10170"/>
    <n v="452"/>
    <x v="52"/>
    <x v="12"/>
    <x v="1"/>
    <x v="83"/>
    <n v="41"/>
    <n v="93.28"/>
    <n v="58.73"/>
    <n v="3824.48"/>
    <n v="2407.9299999999998"/>
    <n v="1416.55"/>
    <n v="2"/>
  </r>
  <r>
    <x v="67"/>
    <n v="10170"/>
    <n v="452"/>
    <x v="52"/>
    <x v="12"/>
    <x v="1"/>
    <x v="84"/>
    <n v="20"/>
    <n v="70.069999999999993"/>
    <n v="53.9"/>
    <n v="1401.4"/>
    <n v="1078"/>
    <n v="323.39999999999998"/>
    <n v="2"/>
  </r>
  <r>
    <x v="67"/>
    <n v="10170"/>
    <n v="452"/>
    <x v="52"/>
    <x v="12"/>
    <x v="1"/>
    <x v="91"/>
    <n v="34"/>
    <n v="130.6"/>
    <n v="98.3"/>
    <n v="4440.3999999999996"/>
    <n v="3342.2"/>
    <n v="1098.2"/>
    <n v="2"/>
  </r>
  <r>
    <x v="68"/>
    <n v="10172"/>
    <n v="175"/>
    <x v="55"/>
    <x v="0"/>
    <x v="1"/>
    <x v="101"/>
    <n v="42"/>
    <n v="109.51"/>
    <n v="65.959999999999994"/>
    <n v="4599.42"/>
    <n v="2770.32"/>
    <n v="1829.1"/>
    <n v="1"/>
  </r>
  <r>
    <x v="68"/>
    <n v="10172"/>
    <n v="175"/>
    <x v="55"/>
    <x v="0"/>
    <x v="1"/>
    <x v="98"/>
    <n v="39"/>
    <n v="117.48"/>
    <n v="56.76"/>
    <n v="4581.72"/>
    <n v="2213.64"/>
    <n v="2368.08"/>
    <n v="1"/>
  </r>
  <r>
    <x v="68"/>
    <n v="10172"/>
    <n v="175"/>
    <x v="55"/>
    <x v="0"/>
    <x v="1"/>
    <x v="99"/>
    <n v="48"/>
    <n v="139.87"/>
    <n v="62.16"/>
    <n v="6713.76"/>
    <n v="2983.68"/>
    <n v="3730.08"/>
    <n v="1"/>
  </r>
  <r>
    <x v="68"/>
    <n v="10172"/>
    <n v="175"/>
    <x v="55"/>
    <x v="0"/>
    <x v="1"/>
    <x v="103"/>
    <n v="32"/>
    <n v="61"/>
    <n v="49.24"/>
    <n v="1952"/>
    <n v="1575.68"/>
    <n v="376.32"/>
    <n v="1"/>
  </r>
  <r>
    <x v="68"/>
    <n v="10172"/>
    <n v="175"/>
    <x v="55"/>
    <x v="0"/>
    <x v="1"/>
    <x v="104"/>
    <n v="34"/>
    <n v="43.27"/>
    <n v="29.18"/>
    <n v="1471.18"/>
    <n v="992.12"/>
    <n v="479.06"/>
    <n v="1"/>
  </r>
  <r>
    <x v="68"/>
    <n v="10172"/>
    <n v="175"/>
    <x v="55"/>
    <x v="0"/>
    <x v="1"/>
    <x v="105"/>
    <n v="22"/>
    <n v="79.97"/>
    <n v="47.25"/>
    <n v="1759.34"/>
    <n v="1039.5"/>
    <n v="719.84"/>
    <n v="1"/>
  </r>
  <r>
    <x v="68"/>
    <n v="10172"/>
    <n v="175"/>
    <x v="55"/>
    <x v="0"/>
    <x v="1"/>
    <x v="107"/>
    <n v="24"/>
    <n v="77.91"/>
    <n v="50.51"/>
    <n v="1869.84"/>
    <n v="1212.24"/>
    <n v="657.6"/>
    <n v="1"/>
  </r>
  <r>
    <x v="68"/>
    <n v="10172"/>
    <n v="175"/>
    <x v="55"/>
    <x v="0"/>
    <x v="1"/>
    <x v="108"/>
    <n v="22"/>
    <n v="87.81"/>
    <n v="62.11"/>
    <n v="1931.82"/>
    <n v="1366.42"/>
    <n v="565.4"/>
    <n v="1"/>
  </r>
  <r>
    <x v="68"/>
    <n v="10171"/>
    <n v="233"/>
    <x v="56"/>
    <x v="16"/>
    <x v="1"/>
    <x v="96"/>
    <n v="35"/>
    <n v="134.46"/>
    <n v="83.51"/>
    <n v="4706.1000000000004"/>
    <n v="2922.85"/>
    <n v="1783.25"/>
    <n v="1"/>
  </r>
  <r>
    <x v="68"/>
    <n v="10171"/>
    <n v="233"/>
    <x v="56"/>
    <x v="16"/>
    <x v="1"/>
    <x v="97"/>
    <n v="35"/>
    <n v="128.03"/>
    <n v="93.89"/>
    <n v="4481.05"/>
    <n v="3286.15"/>
    <n v="1194.9000000000001"/>
    <n v="1"/>
  </r>
  <r>
    <x v="68"/>
    <n v="10171"/>
    <n v="233"/>
    <x v="56"/>
    <x v="16"/>
    <x v="1"/>
    <x v="30"/>
    <n v="39"/>
    <n v="165.95"/>
    <n v="77.900000000000006"/>
    <n v="6472.05"/>
    <n v="3038.1"/>
    <n v="3433.95"/>
    <n v="1"/>
  </r>
  <r>
    <x v="68"/>
    <n v="10171"/>
    <n v="233"/>
    <x v="56"/>
    <x v="16"/>
    <x v="1"/>
    <x v="100"/>
    <n v="36"/>
    <n v="34.74"/>
    <n v="16.239999999999998"/>
    <n v="1250.6400000000001"/>
    <n v="584.64"/>
    <n v="666"/>
    <n v="1"/>
  </r>
  <r>
    <x v="68"/>
    <n v="10173"/>
    <n v="278"/>
    <x v="6"/>
    <x v="5"/>
    <x v="0"/>
    <x v="8"/>
    <n v="43"/>
    <n v="101.71"/>
    <n v="60.62"/>
    <n v="4373.53"/>
    <n v="2606.66"/>
    <n v="1766.87"/>
    <n v="2"/>
  </r>
  <r>
    <x v="68"/>
    <n v="10173"/>
    <n v="278"/>
    <x v="6"/>
    <x v="5"/>
    <x v="0"/>
    <x v="9"/>
    <n v="48"/>
    <n v="51.75"/>
    <n v="24.26"/>
    <n v="2484"/>
    <n v="1164.48"/>
    <n v="1319.52"/>
    <n v="2"/>
  </r>
  <r>
    <x v="68"/>
    <n v="10173"/>
    <n v="278"/>
    <x v="6"/>
    <x v="5"/>
    <x v="0"/>
    <x v="0"/>
    <n v="24"/>
    <n v="168.3"/>
    <n v="86.7"/>
    <n v="4039.2"/>
    <n v="2080.8000000000002"/>
    <n v="1958.4"/>
    <n v="2"/>
  </r>
  <r>
    <x v="68"/>
    <n v="10173"/>
    <n v="278"/>
    <x v="6"/>
    <x v="5"/>
    <x v="0"/>
    <x v="1"/>
    <n v="26"/>
    <n v="55.09"/>
    <n v="33.299999999999997"/>
    <n v="1432.34"/>
    <n v="865.8"/>
    <n v="566.54"/>
    <n v="2"/>
  </r>
  <r>
    <x v="68"/>
    <n v="10173"/>
    <n v="278"/>
    <x v="6"/>
    <x v="5"/>
    <x v="0"/>
    <x v="4"/>
    <n v="31"/>
    <n v="127.13"/>
    <n v="58.48"/>
    <n v="3941.03"/>
    <n v="1812.88"/>
    <n v="2128.15"/>
    <n v="2"/>
  </r>
  <r>
    <x v="68"/>
    <n v="10173"/>
    <n v="278"/>
    <x v="6"/>
    <x v="5"/>
    <x v="0"/>
    <x v="5"/>
    <n v="22"/>
    <n v="140.06"/>
    <n v="72.56"/>
    <n v="3081.32"/>
    <n v="1596.32"/>
    <n v="1485"/>
    <n v="2"/>
  </r>
  <r>
    <x v="68"/>
    <n v="10173"/>
    <n v="278"/>
    <x v="6"/>
    <x v="5"/>
    <x v="0"/>
    <x v="16"/>
    <n v="28"/>
    <n v="56.84"/>
    <n v="34.35"/>
    <n v="1591.52"/>
    <n v="961.8"/>
    <n v="629.72"/>
    <n v="2"/>
  </r>
  <r>
    <x v="68"/>
    <n v="10173"/>
    <n v="278"/>
    <x v="6"/>
    <x v="5"/>
    <x v="0"/>
    <x v="17"/>
    <n v="31"/>
    <n v="86.92"/>
    <n v="60.74"/>
    <n v="2694.52"/>
    <n v="1882.94"/>
    <n v="811.58"/>
    <n v="2"/>
  </r>
  <r>
    <x v="68"/>
    <n v="10173"/>
    <n v="278"/>
    <x v="6"/>
    <x v="5"/>
    <x v="0"/>
    <x v="18"/>
    <n v="29"/>
    <n v="90.28"/>
    <n v="57.54"/>
    <n v="2618.12"/>
    <n v="1668.66"/>
    <n v="949.46"/>
    <n v="2"/>
  </r>
  <r>
    <x v="68"/>
    <n v="10173"/>
    <n v="278"/>
    <x v="6"/>
    <x v="5"/>
    <x v="0"/>
    <x v="2"/>
    <n v="21"/>
    <n v="77.31"/>
    <n v="43.26"/>
    <n v="1623.51"/>
    <n v="908.46"/>
    <n v="715.05"/>
    <n v="2"/>
  </r>
  <r>
    <x v="68"/>
    <n v="10173"/>
    <n v="278"/>
    <x v="6"/>
    <x v="5"/>
    <x v="1"/>
    <x v="102"/>
    <n v="39"/>
    <n v="58.44"/>
    <n v="34.21"/>
    <n v="2279.16"/>
    <n v="1334.19"/>
    <n v="944.97"/>
    <n v="2"/>
  </r>
  <r>
    <x v="68"/>
    <n v="10173"/>
    <n v="278"/>
    <x v="6"/>
    <x v="5"/>
    <x v="0"/>
    <x v="6"/>
    <n v="31"/>
    <n v="29.87"/>
    <n v="22.57"/>
    <n v="925.97"/>
    <n v="699.67"/>
    <n v="226.3"/>
    <n v="2"/>
  </r>
  <r>
    <x v="68"/>
    <n v="10173"/>
    <n v="278"/>
    <x v="6"/>
    <x v="5"/>
    <x v="0"/>
    <x v="7"/>
    <n v="27"/>
    <n v="39.42"/>
    <n v="20.61"/>
    <n v="1064.3399999999999"/>
    <n v="556.47"/>
    <n v="507.87"/>
    <n v="2"/>
  </r>
  <r>
    <x v="68"/>
    <n v="10173"/>
    <n v="278"/>
    <x v="6"/>
    <x v="5"/>
    <x v="1"/>
    <x v="106"/>
    <n v="23"/>
    <n v="98.65"/>
    <n v="72.819999999999993"/>
    <n v="2268.9499999999998"/>
    <n v="1674.86"/>
    <n v="594.09"/>
    <n v="2"/>
  </r>
  <r>
    <x v="68"/>
    <n v="10173"/>
    <n v="278"/>
    <x v="6"/>
    <x v="5"/>
    <x v="0"/>
    <x v="3"/>
    <n v="35"/>
    <n v="35.700000000000003"/>
    <n v="21.75"/>
    <n v="1249.5"/>
    <n v="761.25"/>
    <n v="488.25"/>
    <n v="2"/>
  </r>
  <r>
    <x v="68"/>
    <n v="10173"/>
    <n v="278"/>
    <x v="6"/>
    <x v="5"/>
    <x v="0"/>
    <x v="22"/>
    <n v="22"/>
    <n v="93.49"/>
    <n v="57.46"/>
    <n v="2056.7800000000002"/>
    <n v="1264.1199999999999"/>
    <n v="792.66"/>
    <n v="2"/>
  </r>
  <r>
    <x v="69"/>
    <n v="10175"/>
    <n v="324"/>
    <x v="27"/>
    <x v="7"/>
    <x v="1"/>
    <x v="11"/>
    <n v="33"/>
    <n v="119.67"/>
    <n v="103.42"/>
    <n v="3949.11"/>
    <n v="3412.86"/>
    <n v="536.25"/>
    <n v="2"/>
  </r>
  <r>
    <x v="69"/>
    <n v="10175"/>
    <n v="324"/>
    <x v="27"/>
    <x v="7"/>
    <x v="2"/>
    <x v="27"/>
    <n v="26"/>
    <n v="109.02"/>
    <n v="55.7"/>
    <n v="2834.52"/>
    <n v="1448.2"/>
    <n v="1386.32"/>
    <n v="2"/>
  </r>
  <r>
    <x v="69"/>
    <n v="10175"/>
    <n v="324"/>
    <x v="27"/>
    <x v="7"/>
    <x v="2"/>
    <x v="29"/>
    <n v="48"/>
    <n v="101.87"/>
    <n v="74.86"/>
    <n v="4889.76"/>
    <n v="3593.28"/>
    <n v="1296.48"/>
    <n v="2"/>
  </r>
  <r>
    <x v="69"/>
    <n v="10175"/>
    <n v="324"/>
    <x v="27"/>
    <x v="7"/>
    <x v="2"/>
    <x v="14"/>
    <n v="41"/>
    <n v="59.55"/>
    <n v="24.92"/>
    <n v="2441.5500000000002"/>
    <n v="1021.72"/>
    <n v="1419.83"/>
    <n v="2"/>
  </r>
  <r>
    <x v="69"/>
    <n v="10175"/>
    <n v="324"/>
    <x v="27"/>
    <x v="7"/>
    <x v="1"/>
    <x v="30"/>
    <n v="29"/>
    <n v="150.71"/>
    <n v="77.900000000000006"/>
    <n v="4370.59"/>
    <n v="2259.1"/>
    <n v="2111.4899999999998"/>
    <n v="2"/>
  </r>
  <r>
    <x v="69"/>
    <n v="10175"/>
    <n v="324"/>
    <x v="27"/>
    <x v="7"/>
    <x v="2"/>
    <x v="19"/>
    <n v="47"/>
    <n v="102.92"/>
    <n v="84.76"/>
    <n v="4837.24"/>
    <n v="3983.72"/>
    <n v="853.52"/>
    <n v="2"/>
  </r>
  <r>
    <x v="69"/>
    <n v="10175"/>
    <n v="324"/>
    <x v="27"/>
    <x v="7"/>
    <x v="2"/>
    <x v="21"/>
    <n v="28"/>
    <n v="121.4"/>
    <n v="61.34"/>
    <n v="3399.2"/>
    <n v="1717.52"/>
    <n v="1681.68"/>
    <n v="2"/>
  </r>
  <r>
    <x v="69"/>
    <n v="10175"/>
    <n v="324"/>
    <x v="27"/>
    <x v="7"/>
    <x v="1"/>
    <x v="33"/>
    <n v="37"/>
    <n v="32.18"/>
    <n v="15.91"/>
    <n v="1190.6600000000001"/>
    <n v="588.66999999999996"/>
    <n v="601.99"/>
    <n v="2"/>
  </r>
  <r>
    <x v="69"/>
    <n v="10175"/>
    <n v="324"/>
    <x v="27"/>
    <x v="7"/>
    <x v="2"/>
    <x v="23"/>
    <n v="22"/>
    <n v="89.57"/>
    <n v="53.93"/>
    <n v="1970.54"/>
    <n v="1186.46"/>
    <n v="784.08"/>
    <n v="2"/>
  </r>
  <r>
    <x v="69"/>
    <n v="10175"/>
    <n v="324"/>
    <x v="27"/>
    <x v="7"/>
    <x v="2"/>
    <x v="35"/>
    <n v="50"/>
    <n v="50.86"/>
    <n v="25.98"/>
    <n v="2543"/>
    <n v="1299"/>
    <n v="1244"/>
    <n v="2"/>
  </r>
  <r>
    <x v="69"/>
    <n v="10175"/>
    <n v="324"/>
    <x v="27"/>
    <x v="7"/>
    <x v="2"/>
    <x v="24"/>
    <n v="29"/>
    <n v="56.24"/>
    <n v="33.61"/>
    <n v="1630.96"/>
    <n v="974.69"/>
    <n v="656.27"/>
    <n v="2"/>
  </r>
  <r>
    <x v="69"/>
    <n v="10175"/>
    <n v="324"/>
    <x v="27"/>
    <x v="7"/>
    <x v="1"/>
    <x v="25"/>
    <n v="42"/>
    <n v="80.92"/>
    <n v="46.53"/>
    <n v="3398.64"/>
    <n v="1954.26"/>
    <n v="1444.38"/>
    <n v="2"/>
  </r>
  <r>
    <x v="69"/>
    <n v="10174"/>
    <n v="333"/>
    <x v="43"/>
    <x v="13"/>
    <x v="1"/>
    <x v="10"/>
    <n v="34"/>
    <n v="207.87"/>
    <n v="98.58"/>
    <n v="7067.58"/>
    <n v="3351.72"/>
    <n v="3715.86"/>
    <n v="2"/>
  </r>
  <r>
    <x v="69"/>
    <n v="10174"/>
    <n v="333"/>
    <x v="43"/>
    <x v="13"/>
    <x v="2"/>
    <x v="12"/>
    <n v="43"/>
    <n v="113.44"/>
    <n v="77.900000000000006"/>
    <n v="4877.92"/>
    <n v="3349.7"/>
    <n v="1528.22"/>
    <n v="2"/>
  </r>
  <r>
    <x v="69"/>
    <n v="10174"/>
    <n v="333"/>
    <x v="43"/>
    <x v="13"/>
    <x v="2"/>
    <x v="13"/>
    <n v="48"/>
    <n v="108.5"/>
    <n v="58.33"/>
    <n v="5208"/>
    <n v="2799.84"/>
    <n v="2408.16"/>
    <n v="2"/>
  </r>
  <r>
    <x v="69"/>
    <n v="10174"/>
    <n v="333"/>
    <x v="43"/>
    <x v="13"/>
    <x v="0"/>
    <x v="15"/>
    <n v="46"/>
    <n v="100.3"/>
    <n v="60.78"/>
    <n v="4613.8"/>
    <n v="2795.88"/>
    <n v="1817.92"/>
    <n v="2"/>
  </r>
  <r>
    <x v="69"/>
    <n v="10174"/>
    <n v="333"/>
    <x v="43"/>
    <x v="13"/>
    <x v="0"/>
    <x v="20"/>
    <n v="49"/>
    <n v="44.27"/>
    <n v="23.14"/>
    <n v="2169.23"/>
    <n v="1133.8599999999999"/>
    <n v="1035.3699999999999"/>
    <n v="2"/>
  </r>
  <r>
    <x v="69"/>
    <n v="10176"/>
    <n v="386"/>
    <x v="57"/>
    <x v="5"/>
    <x v="1"/>
    <x v="40"/>
    <n v="33"/>
    <n v="166.24"/>
    <n v="95.59"/>
    <n v="5485.92"/>
    <n v="3154.47"/>
    <n v="2331.4499999999998"/>
    <n v="1"/>
  </r>
  <r>
    <x v="69"/>
    <n v="10176"/>
    <n v="386"/>
    <x v="57"/>
    <x v="5"/>
    <x v="1"/>
    <x v="26"/>
    <n v="47"/>
    <n v="145.04"/>
    <n v="89.14"/>
    <n v="6816.88"/>
    <n v="4189.58"/>
    <n v="2627.3"/>
    <n v="1"/>
  </r>
  <r>
    <x v="69"/>
    <n v="10176"/>
    <n v="386"/>
    <x v="57"/>
    <x v="5"/>
    <x v="1"/>
    <x v="41"/>
    <n v="50"/>
    <n v="160.91"/>
    <n v="83.05"/>
    <n v="8045.5"/>
    <n v="4152.5"/>
    <n v="3893"/>
    <n v="1"/>
  </r>
  <r>
    <x v="69"/>
    <n v="10176"/>
    <n v="386"/>
    <x v="57"/>
    <x v="5"/>
    <x v="1"/>
    <x v="28"/>
    <n v="20"/>
    <n v="139.16999999999999"/>
    <n v="101.51"/>
    <n v="2783.4"/>
    <n v="2030.2"/>
    <n v="753.2"/>
    <n v="1"/>
  </r>
  <r>
    <x v="69"/>
    <n v="10176"/>
    <n v="386"/>
    <x v="57"/>
    <x v="5"/>
    <x v="1"/>
    <x v="31"/>
    <n v="36"/>
    <n v="140.75"/>
    <n v="91.92"/>
    <n v="5067"/>
    <n v="3309.12"/>
    <n v="1757.88"/>
    <n v="1"/>
  </r>
  <r>
    <x v="69"/>
    <n v="10176"/>
    <n v="386"/>
    <x v="57"/>
    <x v="5"/>
    <x v="1"/>
    <x v="32"/>
    <n v="27"/>
    <n v="55.49"/>
    <n v="32.369999999999997"/>
    <n v="1498.23"/>
    <n v="873.99"/>
    <n v="624.24"/>
    <n v="1"/>
  </r>
  <r>
    <x v="69"/>
    <n v="10176"/>
    <n v="386"/>
    <x v="57"/>
    <x v="5"/>
    <x v="1"/>
    <x v="34"/>
    <n v="29"/>
    <n v="101.72"/>
    <n v="69.78"/>
    <n v="2949.88"/>
    <n v="2023.62"/>
    <n v="926.26"/>
    <n v="1"/>
  </r>
  <r>
    <x v="69"/>
    <n v="10176"/>
    <n v="386"/>
    <x v="57"/>
    <x v="5"/>
    <x v="3"/>
    <x v="36"/>
    <n v="22"/>
    <n v="62.14"/>
    <n v="26.72"/>
    <n v="1367.08"/>
    <n v="587.84"/>
    <n v="779.24"/>
    <n v="1"/>
  </r>
  <r>
    <x v="69"/>
    <n v="10176"/>
    <n v="386"/>
    <x v="57"/>
    <x v="5"/>
    <x v="2"/>
    <x v="37"/>
    <n v="23"/>
    <n v="109.96"/>
    <n v="68.290000000000006"/>
    <n v="2529.08"/>
    <n v="1570.67"/>
    <n v="958.41"/>
    <n v="1"/>
  </r>
  <r>
    <x v="69"/>
    <n v="10176"/>
    <n v="386"/>
    <x v="57"/>
    <x v="5"/>
    <x v="3"/>
    <x v="38"/>
    <n v="38"/>
    <n v="52.14"/>
    <n v="37.49"/>
    <n v="1981.32"/>
    <n v="1424.62"/>
    <n v="556.70000000000005"/>
    <n v="1"/>
  </r>
  <r>
    <x v="70"/>
    <n v="10177"/>
    <n v="344"/>
    <x v="58"/>
    <x v="3"/>
    <x v="0"/>
    <x v="42"/>
    <n v="23"/>
    <n v="113.37"/>
    <n v="68.3"/>
    <n v="2607.5100000000002"/>
    <n v="1570.9"/>
    <n v="1036.6099999999999"/>
    <n v="1"/>
  </r>
  <r>
    <x v="70"/>
    <n v="10177"/>
    <n v="344"/>
    <x v="58"/>
    <x v="3"/>
    <x v="3"/>
    <x v="43"/>
    <n v="29"/>
    <n v="92.77"/>
    <n v="67.56"/>
    <n v="2690.33"/>
    <n v="1959.24"/>
    <n v="731.09"/>
    <n v="1"/>
  </r>
  <r>
    <x v="70"/>
    <n v="10177"/>
    <n v="344"/>
    <x v="58"/>
    <x v="3"/>
    <x v="0"/>
    <x v="44"/>
    <n v="35"/>
    <n v="82.5"/>
    <n v="52.66"/>
    <n v="2887.5"/>
    <n v="1843.1"/>
    <n v="1044.4000000000001"/>
    <n v="1"/>
  </r>
  <r>
    <x v="70"/>
    <n v="10177"/>
    <n v="344"/>
    <x v="58"/>
    <x v="3"/>
    <x v="4"/>
    <x v="45"/>
    <n v="50"/>
    <n v="115.52"/>
    <n v="82.34"/>
    <n v="5776"/>
    <n v="4117"/>
    <n v="1659"/>
    <n v="1"/>
  </r>
  <r>
    <x v="70"/>
    <n v="10177"/>
    <n v="344"/>
    <x v="58"/>
    <x v="3"/>
    <x v="0"/>
    <x v="46"/>
    <n v="45"/>
    <n v="79.66"/>
    <n v="46.91"/>
    <n v="3584.7"/>
    <n v="2110.9499999999998"/>
    <n v="1473.75"/>
    <n v="1"/>
  </r>
  <r>
    <x v="70"/>
    <n v="10177"/>
    <n v="344"/>
    <x v="58"/>
    <x v="3"/>
    <x v="4"/>
    <x v="48"/>
    <n v="24"/>
    <n v="58.67"/>
    <n v="34"/>
    <n v="1408.08"/>
    <n v="816"/>
    <n v="592.08000000000004"/>
    <n v="1"/>
  </r>
  <r>
    <x v="70"/>
    <n v="10177"/>
    <n v="344"/>
    <x v="58"/>
    <x v="3"/>
    <x v="4"/>
    <x v="49"/>
    <n v="31"/>
    <n v="77.95"/>
    <n v="43.3"/>
    <n v="2416.4499999999998"/>
    <n v="1342.3"/>
    <n v="1074.1500000000001"/>
    <n v="1"/>
  </r>
  <r>
    <x v="70"/>
    <n v="10177"/>
    <n v="344"/>
    <x v="58"/>
    <x v="3"/>
    <x v="4"/>
    <x v="50"/>
    <n v="32"/>
    <n v="64.33"/>
    <n v="33.97"/>
    <n v="2058.56"/>
    <n v="1087.04"/>
    <n v="971.52"/>
    <n v="1"/>
  </r>
  <r>
    <x v="70"/>
    <n v="10177"/>
    <n v="344"/>
    <x v="58"/>
    <x v="3"/>
    <x v="4"/>
    <x v="51"/>
    <n v="44"/>
    <n v="88.15"/>
    <n v="51.09"/>
    <n v="3878.6"/>
    <n v="2247.96"/>
    <n v="1630.64"/>
    <n v="1"/>
  </r>
  <r>
    <x v="70"/>
    <n v="10177"/>
    <n v="344"/>
    <x v="58"/>
    <x v="3"/>
    <x v="4"/>
    <x v="52"/>
    <n v="24"/>
    <n v="83.42"/>
    <n v="53.63"/>
    <n v="2002.08"/>
    <n v="1287.1199999999999"/>
    <n v="714.96"/>
    <n v="1"/>
  </r>
  <r>
    <x v="70"/>
    <n v="10177"/>
    <n v="344"/>
    <x v="58"/>
    <x v="3"/>
    <x v="4"/>
    <x v="53"/>
    <n v="40"/>
    <n v="52.96"/>
    <n v="33.299999999999997"/>
    <n v="2118.4"/>
    <n v="1332"/>
    <n v="786.4"/>
    <n v="1"/>
  </r>
  <r>
    <x v="71"/>
    <n v="10178"/>
    <n v="242"/>
    <x v="32"/>
    <x v="9"/>
    <x v="1"/>
    <x v="39"/>
    <n v="24"/>
    <n v="131.91999999999999"/>
    <n v="85.68"/>
    <n v="3166.08"/>
    <n v="2056.3200000000002"/>
    <n v="1109.76"/>
    <n v="2"/>
  </r>
  <r>
    <x v="71"/>
    <n v="10178"/>
    <n v="242"/>
    <x v="32"/>
    <x v="9"/>
    <x v="5"/>
    <x v="54"/>
    <n v="42"/>
    <n v="127.73"/>
    <n v="77.27"/>
    <n v="5364.66"/>
    <n v="3245.34"/>
    <n v="2119.3200000000002"/>
    <n v="2"/>
  </r>
  <r>
    <x v="71"/>
    <n v="10178"/>
    <n v="242"/>
    <x v="32"/>
    <x v="9"/>
    <x v="4"/>
    <x v="56"/>
    <n v="41"/>
    <n v="70.540000000000006"/>
    <n v="51.61"/>
    <n v="2892.14"/>
    <n v="2116.0100000000002"/>
    <n v="776.13"/>
    <n v="2"/>
  </r>
  <r>
    <x v="71"/>
    <n v="10178"/>
    <n v="242"/>
    <x v="32"/>
    <x v="9"/>
    <x v="0"/>
    <x v="57"/>
    <n v="48"/>
    <n v="104.81"/>
    <n v="64.58"/>
    <n v="5030.88"/>
    <n v="3099.84"/>
    <n v="1931.04"/>
    <n v="2"/>
  </r>
  <r>
    <x v="71"/>
    <n v="10178"/>
    <n v="242"/>
    <x v="32"/>
    <x v="9"/>
    <x v="5"/>
    <x v="59"/>
    <n v="34"/>
    <n v="67.819999999999993"/>
    <n v="34.25"/>
    <n v="2305.88"/>
    <n v="1164.5"/>
    <n v="1141.3800000000001"/>
    <n v="2"/>
  </r>
  <r>
    <x v="71"/>
    <n v="10178"/>
    <n v="242"/>
    <x v="32"/>
    <x v="9"/>
    <x v="0"/>
    <x v="60"/>
    <n v="27"/>
    <n v="65.75"/>
    <n v="26.3"/>
    <n v="1775.25"/>
    <n v="710.1"/>
    <n v="1065.1500000000001"/>
    <n v="2"/>
  </r>
  <r>
    <x v="71"/>
    <n v="10178"/>
    <n v="242"/>
    <x v="32"/>
    <x v="9"/>
    <x v="0"/>
    <x v="47"/>
    <n v="21"/>
    <n v="68.77"/>
    <n v="48.64"/>
    <n v="1444.17"/>
    <n v="1021.44"/>
    <n v="422.73"/>
    <n v="2"/>
  </r>
  <r>
    <x v="71"/>
    <n v="10178"/>
    <n v="242"/>
    <x v="32"/>
    <x v="9"/>
    <x v="5"/>
    <x v="61"/>
    <n v="30"/>
    <n v="64.150000000000006"/>
    <n v="29.34"/>
    <n v="1924.5"/>
    <n v="880.2"/>
    <n v="1044.3"/>
    <n v="2"/>
  </r>
  <r>
    <x v="71"/>
    <n v="10178"/>
    <n v="242"/>
    <x v="32"/>
    <x v="9"/>
    <x v="4"/>
    <x v="66"/>
    <n v="34"/>
    <n v="86.9"/>
    <n v="39.83"/>
    <n v="2954.6"/>
    <n v="1354.22"/>
    <n v="1600.38"/>
    <n v="2"/>
  </r>
  <r>
    <x v="71"/>
    <n v="10178"/>
    <n v="242"/>
    <x v="32"/>
    <x v="9"/>
    <x v="5"/>
    <x v="67"/>
    <n v="22"/>
    <n v="91.74"/>
    <n v="68.8"/>
    <n v="2018.28"/>
    <n v="1513.6"/>
    <n v="504.68"/>
    <n v="2"/>
  </r>
  <r>
    <x v="71"/>
    <n v="10178"/>
    <n v="242"/>
    <x v="32"/>
    <x v="9"/>
    <x v="5"/>
    <x v="70"/>
    <n v="45"/>
    <n v="68.11"/>
    <n v="36.270000000000003"/>
    <n v="3064.95"/>
    <n v="1632.15"/>
    <n v="1432.8"/>
    <n v="2"/>
  </r>
  <r>
    <x v="71"/>
    <n v="10178"/>
    <n v="242"/>
    <x v="32"/>
    <x v="9"/>
    <x v="5"/>
    <x v="71"/>
    <n v="45"/>
    <n v="41.71"/>
    <n v="32.770000000000003"/>
    <n v="1876.95"/>
    <n v="1474.65"/>
    <n v="402.3"/>
    <n v="2"/>
  </r>
  <r>
    <x v="72"/>
    <n v="10180"/>
    <n v="171"/>
    <x v="59"/>
    <x v="9"/>
    <x v="6"/>
    <x v="72"/>
    <n v="29"/>
    <n v="76.56"/>
    <n v="48.81"/>
    <n v="2220.2399999999998"/>
    <n v="1415.49"/>
    <n v="804.75"/>
    <n v="1"/>
  </r>
  <r>
    <x v="72"/>
    <n v="10180"/>
    <n v="171"/>
    <x v="59"/>
    <x v="9"/>
    <x v="6"/>
    <x v="73"/>
    <n v="42"/>
    <n v="99.91"/>
    <n v="68.989999999999995"/>
    <n v="4196.22"/>
    <n v="2897.58"/>
    <n v="1298.6400000000001"/>
    <n v="1"/>
  </r>
  <r>
    <x v="72"/>
    <n v="10180"/>
    <n v="171"/>
    <x v="59"/>
    <x v="9"/>
    <x v="6"/>
    <x v="74"/>
    <n v="41"/>
    <n v="164.61"/>
    <n v="91.02"/>
    <n v="6749.01"/>
    <n v="3731.82"/>
    <n v="3017.19"/>
    <n v="1"/>
  </r>
  <r>
    <x v="72"/>
    <n v="10180"/>
    <n v="171"/>
    <x v="59"/>
    <x v="9"/>
    <x v="6"/>
    <x v="75"/>
    <n v="40"/>
    <n v="131.04"/>
    <n v="66.27"/>
    <n v="5241.6000000000004"/>
    <n v="2650.8"/>
    <n v="2590.8000000000002"/>
    <n v="1"/>
  </r>
  <r>
    <x v="72"/>
    <n v="10180"/>
    <n v="171"/>
    <x v="59"/>
    <x v="9"/>
    <x v="6"/>
    <x v="76"/>
    <n v="25"/>
    <n v="48.46"/>
    <n v="24.23"/>
    <n v="1211.5"/>
    <n v="605.75"/>
    <n v="605.75"/>
    <n v="1"/>
  </r>
  <r>
    <x v="72"/>
    <n v="10180"/>
    <n v="171"/>
    <x v="59"/>
    <x v="9"/>
    <x v="6"/>
    <x v="87"/>
    <n v="21"/>
    <n v="59.06"/>
    <n v="32.950000000000003"/>
    <n v="1240.26"/>
    <n v="691.95"/>
    <n v="548.30999999999995"/>
    <n v="1"/>
  </r>
  <r>
    <x v="72"/>
    <n v="10180"/>
    <n v="171"/>
    <x v="59"/>
    <x v="9"/>
    <x v="1"/>
    <x v="88"/>
    <n v="44"/>
    <n v="147.31"/>
    <n v="69.930000000000007"/>
    <n v="6481.64"/>
    <n v="3076.92"/>
    <n v="3404.72"/>
    <n v="1"/>
  </r>
  <r>
    <x v="72"/>
    <n v="10180"/>
    <n v="171"/>
    <x v="59"/>
    <x v="9"/>
    <x v="6"/>
    <x v="77"/>
    <n v="48"/>
    <n v="98.05"/>
    <n v="60.86"/>
    <n v="4706.3999999999996"/>
    <n v="2921.28"/>
    <n v="1785.12"/>
    <n v="1"/>
  </r>
  <r>
    <x v="72"/>
    <n v="10180"/>
    <n v="171"/>
    <x v="59"/>
    <x v="9"/>
    <x v="6"/>
    <x v="78"/>
    <n v="28"/>
    <n v="61.7"/>
    <n v="37.32"/>
    <n v="1727.6"/>
    <n v="1044.96"/>
    <n v="682.64"/>
    <n v="1"/>
  </r>
  <r>
    <x v="72"/>
    <n v="10180"/>
    <n v="171"/>
    <x v="59"/>
    <x v="9"/>
    <x v="6"/>
    <x v="89"/>
    <n v="35"/>
    <n v="60.95"/>
    <n v="47.1"/>
    <n v="2133.25"/>
    <n v="1648.5"/>
    <n v="484.75"/>
    <n v="1"/>
  </r>
  <r>
    <x v="72"/>
    <n v="10180"/>
    <n v="171"/>
    <x v="59"/>
    <x v="9"/>
    <x v="1"/>
    <x v="92"/>
    <n v="28"/>
    <n v="68.709999999999994"/>
    <n v="32.33"/>
    <n v="1923.88"/>
    <n v="905.24"/>
    <n v="1018.64"/>
    <n v="1"/>
  </r>
  <r>
    <x v="72"/>
    <n v="10180"/>
    <n v="171"/>
    <x v="59"/>
    <x v="9"/>
    <x v="6"/>
    <x v="93"/>
    <n v="34"/>
    <n v="33.39"/>
    <n v="24.14"/>
    <n v="1135.26"/>
    <n v="820.76"/>
    <n v="314.5"/>
    <n v="1"/>
  </r>
  <r>
    <x v="72"/>
    <n v="10180"/>
    <n v="171"/>
    <x v="59"/>
    <x v="9"/>
    <x v="6"/>
    <x v="94"/>
    <n v="22"/>
    <n v="102.05"/>
    <n v="56.13"/>
    <n v="2245.1"/>
    <n v="1234.8599999999999"/>
    <n v="1010.24"/>
    <n v="1"/>
  </r>
  <r>
    <x v="72"/>
    <n v="10180"/>
    <n v="171"/>
    <x v="59"/>
    <x v="9"/>
    <x v="6"/>
    <x v="95"/>
    <n v="21"/>
    <n v="74.849999999999994"/>
    <n v="34.17"/>
    <n v="1571.85"/>
    <n v="717.57"/>
    <n v="854.28"/>
    <n v="1"/>
  </r>
  <r>
    <x v="72"/>
    <n v="10179"/>
    <n v="496"/>
    <x v="33"/>
    <x v="14"/>
    <x v="5"/>
    <x v="55"/>
    <n v="24"/>
    <n v="82.79"/>
    <n v="49"/>
    <n v="1986.96"/>
    <n v="1176"/>
    <n v="810.96"/>
    <n v="2"/>
  </r>
  <r>
    <x v="72"/>
    <n v="10179"/>
    <n v="496"/>
    <x v="33"/>
    <x v="14"/>
    <x v="5"/>
    <x v="58"/>
    <n v="47"/>
    <n v="105.04"/>
    <n v="66.739999999999995"/>
    <n v="4936.88"/>
    <n v="3136.78"/>
    <n v="1800.1"/>
    <n v="2"/>
  </r>
  <r>
    <x v="72"/>
    <n v="10179"/>
    <n v="496"/>
    <x v="33"/>
    <x v="14"/>
    <x v="5"/>
    <x v="62"/>
    <n v="27"/>
    <n v="66.650000000000006"/>
    <n v="36.229999999999997"/>
    <n v="1799.55"/>
    <n v="978.21"/>
    <n v="821.34"/>
    <n v="2"/>
  </r>
  <r>
    <x v="72"/>
    <n v="10179"/>
    <n v="496"/>
    <x v="33"/>
    <x v="14"/>
    <x v="6"/>
    <x v="79"/>
    <n v="45"/>
    <n v="86.9"/>
    <n v="66.92"/>
    <n v="3910.5"/>
    <n v="3011.4"/>
    <n v="899.1"/>
    <n v="2"/>
  </r>
  <r>
    <x v="72"/>
    <n v="10179"/>
    <n v="496"/>
    <x v="33"/>
    <x v="14"/>
    <x v="0"/>
    <x v="63"/>
    <n v="24"/>
    <n v="63.97"/>
    <n v="33.020000000000003"/>
    <n v="1535.28"/>
    <n v="792.48"/>
    <n v="742.8"/>
    <n v="2"/>
  </r>
  <r>
    <x v="72"/>
    <n v="10179"/>
    <n v="496"/>
    <x v="33"/>
    <x v="14"/>
    <x v="0"/>
    <x v="64"/>
    <n v="34"/>
    <n v="43.2"/>
    <n v="27.06"/>
    <n v="1468.8"/>
    <n v="920.04"/>
    <n v="548.76"/>
    <n v="2"/>
  </r>
  <r>
    <x v="72"/>
    <n v="10179"/>
    <n v="496"/>
    <x v="33"/>
    <x v="14"/>
    <x v="5"/>
    <x v="65"/>
    <n v="23"/>
    <n v="75.81"/>
    <n v="51.15"/>
    <n v="1743.63"/>
    <n v="1176.45"/>
    <n v="567.17999999999995"/>
    <n v="2"/>
  </r>
  <r>
    <x v="72"/>
    <n v="10179"/>
    <n v="496"/>
    <x v="33"/>
    <x v="14"/>
    <x v="5"/>
    <x v="68"/>
    <n v="25"/>
    <n v="98.48"/>
    <n v="59.33"/>
    <n v="2462"/>
    <n v="1483.25"/>
    <n v="978.75"/>
    <n v="2"/>
  </r>
  <r>
    <x v="72"/>
    <n v="10179"/>
    <n v="496"/>
    <x v="33"/>
    <x v="14"/>
    <x v="5"/>
    <x v="69"/>
    <n v="39"/>
    <n v="80"/>
    <n v="54.4"/>
    <n v="3120"/>
    <n v="2121.6"/>
    <n v="998.4"/>
    <n v="2"/>
  </r>
  <r>
    <x v="73"/>
    <n v="10182"/>
    <n v="124"/>
    <x v="13"/>
    <x v="0"/>
    <x v="0"/>
    <x v="8"/>
    <n v="25"/>
    <n v="83.22"/>
    <n v="60.62"/>
    <n v="2080.5"/>
    <n v="1515.5"/>
    <n v="565"/>
    <n v="4"/>
  </r>
  <r>
    <x v="73"/>
    <n v="10182"/>
    <n v="124"/>
    <x v="13"/>
    <x v="0"/>
    <x v="0"/>
    <x v="9"/>
    <n v="32"/>
    <n v="44.21"/>
    <n v="24.26"/>
    <n v="1414.72"/>
    <n v="776.32"/>
    <n v="638.4"/>
    <n v="4"/>
  </r>
  <r>
    <x v="73"/>
    <n v="10182"/>
    <n v="124"/>
    <x v="13"/>
    <x v="0"/>
    <x v="0"/>
    <x v="0"/>
    <n v="44"/>
    <n v="159.80000000000001"/>
    <n v="86.7"/>
    <n v="7031.2"/>
    <n v="3814.8"/>
    <n v="3216.4"/>
    <n v="4"/>
  </r>
  <r>
    <x v="73"/>
    <n v="10182"/>
    <n v="124"/>
    <x v="13"/>
    <x v="0"/>
    <x v="0"/>
    <x v="1"/>
    <n v="38"/>
    <n v="54.49"/>
    <n v="33.299999999999997"/>
    <n v="2070.62"/>
    <n v="1265.4000000000001"/>
    <n v="805.22"/>
    <n v="4"/>
  </r>
  <r>
    <x v="73"/>
    <n v="10182"/>
    <n v="124"/>
    <x v="13"/>
    <x v="0"/>
    <x v="0"/>
    <x v="4"/>
    <n v="20"/>
    <n v="105.52"/>
    <n v="58.48"/>
    <n v="2110.4"/>
    <n v="1169.5999999999999"/>
    <n v="940.8"/>
    <n v="4"/>
  </r>
  <r>
    <x v="73"/>
    <n v="10182"/>
    <n v="124"/>
    <x v="13"/>
    <x v="0"/>
    <x v="0"/>
    <x v="5"/>
    <n v="21"/>
    <n v="135"/>
    <n v="72.56"/>
    <n v="2835"/>
    <n v="1523.76"/>
    <n v="1311.24"/>
    <n v="4"/>
  </r>
  <r>
    <x v="73"/>
    <n v="10182"/>
    <n v="124"/>
    <x v="13"/>
    <x v="0"/>
    <x v="0"/>
    <x v="18"/>
    <n v="33"/>
    <n v="86.31"/>
    <n v="57.54"/>
    <n v="2848.23"/>
    <n v="1898.82"/>
    <n v="949.41"/>
    <n v="4"/>
  </r>
  <r>
    <x v="73"/>
    <n v="10182"/>
    <n v="124"/>
    <x v="13"/>
    <x v="0"/>
    <x v="0"/>
    <x v="2"/>
    <n v="36"/>
    <n v="88.35"/>
    <n v="43.26"/>
    <n v="3180.6"/>
    <n v="1557.36"/>
    <n v="1623.24"/>
    <n v="4"/>
  </r>
  <r>
    <x v="73"/>
    <n v="10182"/>
    <n v="124"/>
    <x v="13"/>
    <x v="0"/>
    <x v="1"/>
    <x v="102"/>
    <n v="44"/>
    <n v="61.29"/>
    <n v="34.21"/>
    <n v="2696.76"/>
    <n v="1505.24"/>
    <n v="1191.52"/>
    <n v="4"/>
  </r>
  <r>
    <x v="73"/>
    <n v="10182"/>
    <n v="124"/>
    <x v="13"/>
    <x v="0"/>
    <x v="1"/>
    <x v="103"/>
    <n v="47"/>
    <n v="63.2"/>
    <n v="49.24"/>
    <n v="2970.4"/>
    <n v="2314.2800000000002"/>
    <n v="656.12"/>
    <n v="4"/>
  </r>
  <r>
    <x v="73"/>
    <n v="10182"/>
    <n v="124"/>
    <x v="13"/>
    <x v="0"/>
    <x v="0"/>
    <x v="6"/>
    <n v="39"/>
    <n v="31.86"/>
    <n v="22.57"/>
    <n v="1242.54"/>
    <n v="880.23"/>
    <n v="362.31"/>
    <n v="4"/>
  </r>
  <r>
    <x v="73"/>
    <n v="10182"/>
    <n v="124"/>
    <x v="13"/>
    <x v="0"/>
    <x v="0"/>
    <x v="7"/>
    <n v="31"/>
    <n v="39.869999999999997"/>
    <n v="20.61"/>
    <n v="1235.97"/>
    <n v="638.91"/>
    <n v="597.05999999999995"/>
    <n v="4"/>
  </r>
  <r>
    <x v="73"/>
    <n v="10182"/>
    <n v="124"/>
    <x v="13"/>
    <x v="0"/>
    <x v="1"/>
    <x v="105"/>
    <n v="36"/>
    <n v="87.24"/>
    <n v="47.25"/>
    <n v="3140.64"/>
    <n v="1701"/>
    <n v="1439.64"/>
    <n v="4"/>
  </r>
  <r>
    <x v="73"/>
    <n v="10182"/>
    <n v="124"/>
    <x v="13"/>
    <x v="0"/>
    <x v="1"/>
    <x v="106"/>
    <n v="20"/>
    <n v="116.27"/>
    <n v="72.819999999999993"/>
    <n v="2325.4"/>
    <n v="1456.4"/>
    <n v="869"/>
    <n v="4"/>
  </r>
  <r>
    <x v="73"/>
    <n v="10182"/>
    <n v="124"/>
    <x v="13"/>
    <x v="0"/>
    <x v="1"/>
    <x v="107"/>
    <n v="33"/>
    <n v="73.62"/>
    <n v="50.51"/>
    <n v="2429.46"/>
    <n v="1666.83"/>
    <n v="762.63"/>
    <n v="4"/>
  </r>
  <r>
    <x v="73"/>
    <n v="10182"/>
    <n v="124"/>
    <x v="13"/>
    <x v="0"/>
    <x v="1"/>
    <x v="108"/>
    <n v="49"/>
    <n v="95.3"/>
    <n v="62.11"/>
    <n v="4669.7"/>
    <n v="3043.39"/>
    <n v="1626.31"/>
    <n v="4"/>
  </r>
  <r>
    <x v="73"/>
    <n v="10182"/>
    <n v="124"/>
    <x v="13"/>
    <x v="0"/>
    <x v="0"/>
    <x v="3"/>
    <n v="23"/>
    <n v="34.880000000000003"/>
    <n v="21.75"/>
    <n v="802.24"/>
    <n v="500.25"/>
    <n v="301.99"/>
    <n v="4"/>
  </r>
  <r>
    <x v="73"/>
    <n v="10181"/>
    <n v="167"/>
    <x v="60"/>
    <x v="2"/>
    <x v="1"/>
    <x v="80"/>
    <n v="27"/>
    <n v="155.66"/>
    <n v="95.34"/>
    <n v="4202.82"/>
    <n v="2574.1799999999998"/>
    <n v="1628.64"/>
    <n v="1"/>
  </r>
  <r>
    <x v="73"/>
    <n v="10181"/>
    <n v="167"/>
    <x v="60"/>
    <x v="2"/>
    <x v="1"/>
    <x v="81"/>
    <n v="28"/>
    <n v="113.92"/>
    <n v="75.16"/>
    <n v="3189.76"/>
    <n v="2104.48"/>
    <n v="1085.28"/>
    <n v="1"/>
  </r>
  <r>
    <x v="73"/>
    <n v="10181"/>
    <n v="167"/>
    <x v="60"/>
    <x v="2"/>
    <x v="1"/>
    <x v="82"/>
    <n v="20"/>
    <n v="67.03"/>
    <n v="31.92"/>
    <n v="1340.6"/>
    <n v="638.4"/>
    <n v="702.2"/>
    <n v="1"/>
  </r>
  <r>
    <x v="73"/>
    <n v="10181"/>
    <n v="167"/>
    <x v="60"/>
    <x v="2"/>
    <x v="1"/>
    <x v="83"/>
    <n v="36"/>
    <n v="107.1"/>
    <n v="58.73"/>
    <n v="3855.6"/>
    <n v="2114.2800000000002"/>
    <n v="1741.32"/>
    <n v="1"/>
  </r>
  <r>
    <x v="73"/>
    <n v="10181"/>
    <n v="167"/>
    <x v="60"/>
    <x v="2"/>
    <x v="1"/>
    <x v="96"/>
    <n v="44"/>
    <n v="124.56"/>
    <n v="83.51"/>
    <n v="5480.64"/>
    <n v="3674.44"/>
    <n v="1806.2"/>
    <n v="1"/>
  </r>
  <r>
    <x v="73"/>
    <n v="10181"/>
    <n v="167"/>
    <x v="60"/>
    <x v="2"/>
    <x v="1"/>
    <x v="101"/>
    <n v="42"/>
    <n v="124.44"/>
    <n v="65.959999999999994"/>
    <n v="5226.4799999999996"/>
    <n v="2770.32"/>
    <n v="2456.16"/>
    <n v="1"/>
  </r>
  <r>
    <x v="73"/>
    <n v="10181"/>
    <n v="167"/>
    <x v="60"/>
    <x v="2"/>
    <x v="1"/>
    <x v="84"/>
    <n v="22"/>
    <n v="74.69"/>
    <n v="53.9"/>
    <n v="1643.18"/>
    <n v="1185.8"/>
    <n v="457.38"/>
    <n v="1"/>
  </r>
  <r>
    <x v="73"/>
    <n v="10181"/>
    <n v="167"/>
    <x v="60"/>
    <x v="2"/>
    <x v="1"/>
    <x v="97"/>
    <n v="21"/>
    <n v="129.44999999999999"/>
    <n v="93.89"/>
    <n v="2718.45"/>
    <n v="1971.69"/>
    <n v="746.76"/>
    <n v="1"/>
  </r>
  <r>
    <x v="73"/>
    <n v="10181"/>
    <n v="167"/>
    <x v="60"/>
    <x v="2"/>
    <x v="1"/>
    <x v="98"/>
    <n v="27"/>
    <n v="130.68"/>
    <n v="56.76"/>
    <n v="3528.36"/>
    <n v="1532.52"/>
    <n v="1995.84"/>
    <n v="1"/>
  </r>
  <r>
    <x v="73"/>
    <n v="10181"/>
    <n v="167"/>
    <x v="60"/>
    <x v="2"/>
    <x v="1"/>
    <x v="30"/>
    <n v="45"/>
    <n v="147.33000000000001"/>
    <n v="77.900000000000006"/>
    <n v="6629.85"/>
    <n v="3505.5"/>
    <n v="3124.35"/>
    <n v="1"/>
  </r>
  <r>
    <x v="73"/>
    <n v="10181"/>
    <n v="167"/>
    <x v="60"/>
    <x v="2"/>
    <x v="1"/>
    <x v="85"/>
    <n v="30"/>
    <n v="73.17"/>
    <n v="49.05"/>
    <n v="2195.1"/>
    <n v="1471.5"/>
    <n v="723.6"/>
    <n v="1"/>
  </r>
  <r>
    <x v="73"/>
    <n v="10181"/>
    <n v="167"/>
    <x v="60"/>
    <x v="2"/>
    <x v="1"/>
    <x v="86"/>
    <n v="22"/>
    <n v="120.53"/>
    <n v="73.489999999999995"/>
    <n v="2651.66"/>
    <n v="1616.78"/>
    <n v="1034.8800000000001"/>
    <n v="1"/>
  </r>
  <r>
    <x v="73"/>
    <n v="10181"/>
    <n v="167"/>
    <x v="60"/>
    <x v="2"/>
    <x v="1"/>
    <x v="99"/>
    <n v="39"/>
    <n v="137.04"/>
    <n v="62.16"/>
    <n v="5344.56"/>
    <n v="2424.2399999999998"/>
    <n v="2920.32"/>
    <n v="1"/>
  </r>
  <r>
    <x v="73"/>
    <n v="10181"/>
    <n v="167"/>
    <x v="60"/>
    <x v="2"/>
    <x v="1"/>
    <x v="104"/>
    <n v="34"/>
    <n v="45.28"/>
    <n v="29.18"/>
    <n v="1539.52"/>
    <n v="992.12"/>
    <n v="547.4"/>
    <n v="1"/>
  </r>
  <r>
    <x v="73"/>
    <n v="10181"/>
    <n v="167"/>
    <x v="60"/>
    <x v="2"/>
    <x v="1"/>
    <x v="100"/>
    <n v="37"/>
    <n v="32.85"/>
    <n v="16.239999999999998"/>
    <n v="1215.45"/>
    <n v="600.88"/>
    <n v="614.57000000000005"/>
    <n v="1"/>
  </r>
  <r>
    <x v="73"/>
    <n v="10181"/>
    <n v="167"/>
    <x v="60"/>
    <x v="2"/>
    <x v="1"/>
    <x v="90"/>
    <n v="23"/>
    <n v="54.49"/>
    <n v="38.58"/>
    <n v="1253.27"/>
    <n v="887.34"/>
    <n v="365.93"/>
    <n v="1"/>
  </r>
  <r>
    <x v="73"/>
    <n v="10181"/>
    <n v="167"/>
    <x v="60"/>
    <x v="2"/>
    <x v="1"/>
    <x v="91"/>
    <n v="25"/>
    <n v="122.17"/>
    <n v="98.3"/>
    <n v="3054.25"/>
    <n v="2457.5"/>
    <n v="596.75"/>
    <n v="1"/>
  </r>
  <r>
    <x v="74"/>
    <n v="10183"/>
    <n v="339"/>
    <x v="61"/>
    <x v="0"/>
    <x v="1"/>
    <x v="10"/>
    <n v="23"/>
    <n v="180.01"/>
    <n v="98.58"/>
    <n v="4140.2299999999996"/>
    <n v="2267.34"/>
    <n v="1872.89"/>
    <n v="1"/>
  </r>
  <r>
    <x v="74"/>
    <n v="10183"/>
    <n v="339"/>
    <x v="61"/>
    <x v="0"/>
    <x v="1"/>
    <x v="11"/>
    <n v="28"/>
    <n v="127.06"/>
    <n v="103.42"/>
    <n v="3557.68"/>
    <n v="2895.76"/>
    <n v="661.92"/>
    <n v="1"/>
  </r>
  <r>
    <x v="74"/>
    <n v="10183"/>
    <n v="339"/>
    <x v="61"/>
    <x v="0"/>
    <x v="2"/>
    <x v="12"/>
    <n v="41"/>
    <n v="114.8"/>
    <n v="77.900000000000006"/>
    <n v="4706.8"/>
    <n v="3193.9"/>
    <n v="1512.9"/>
    <n v="1"/>
  </r>
  <r>
    <x v="74"/>
    <n v="10183"/>
    <n v="339"/>
    <x v="61"/>
    <x v="0"/>
    <x v="2"/>
    <x v="13"/>
    <n v="21"/>
    <n v="108.5"/>
    <n v="58.33"/>
    <n v="2278.5"/>
    <n v="1224.93"/>
    <n v="1053.57"/>
    <n v="1"/>
  </r>
  <r>
    <x v="74"/>
    <n v="10183"/>
    <n v="339"/>
    <x v="61"/>
    <x v="0"/>
    <x v="0"/>
    <x v="15"/>
    <n v="37"/>
    <n v="91.18"/>
    <n v="60.78"/>
    <n v="3373.66"/>
    <n v="2248.86"/>
    <n v="1124.8"/>
    <n v="1"/>
  </r>
  <r>
    <x v="74"/>
    <n v="10183"/>
    <n v="339"/>
    <x v="61"/>
    <x v="0"/>
    <x v="0"/>
    <x v="16"/>
    <n v="39"/>
    <n v="51.22"/>
    <n v="34.35"/>
    <n v="1997.58"/>
    <n v="1339.65"/>
    <n v="657.93"/>
    <n v="1"/>
  </r>
  <r>
    <x v="74"/>
    <n v="10183"/>
    <n v="339"/>
    <x v="61"/>
    <x v="0"/>
    <x v="0"/>
    <x v="17"/>
    <n v="22"/>
    <n v="90.06"/>
    <n v="60.74"/>
    <n v="1981.32"/>
    <n v="1336.28"/>
    <n v="645.04"/>
    <n v="1"/>
  </r>
  <r>
    <x v="74"/>
    <n v="10183"/>
    <n v="339"/>
    <x v="61"/>
    <x v="0"/>
    <x v="2"/>
    <x v="19"/>
    <n v="21"/>
    <n v="118.66"/>
    <n v="84.76"/>
    <n v="2491.86"/>
    <n v="1779.96"/>
    <n v="711.9"/>
    <n v="1"/>
  </r>
  <r>
    <x v="74"/>
    <n v="10183"/>
    <n v="339"/>
    <x v="61"/>
    <x v="0"/>
    <x v="0"/>
    <x v="20"/>
    <n v="40"/>
    <n v="42.26"/>
    <n v="23.14"/>
    <n v="1690.4"/>
    <n v="925.6"/>
    <n v="764.8"/>
    <n v="1"/>
  </r>
  <r>
    <x v="74"/>
    <n v="10183"/>
    <n v="339"/>
    <x v="61"/>
    <x v="0"/>
    <x v="0"/>
    <x v="22"/>
    <n v="47"/>
    <n v="81.81"/>
    <n v="57.46"/>
    <n v="3845.07"/>
    <n v="2700.62"/>
    <n v="1144.45"/>
    <n v="1"/>
  </r>
  <r>
    <x v="74"/>
    <n v="10183"/>
    <n v="339"/>
    <x v="61"/>
    <x v="0"/>
    <x v="2"/>
    <x v="24"/>
    <n v="49"/>
    <n v="52.36"/>
    <n v="33.61"/>
    <n v="2565.64"/>
    <n v="1646.89"/>
    <n v="918.75"/>
    <n v="1"/>
  </r>
  <r>
    <x v="74"/>
    <n v="10183"/>
    <n v="339"/>
    <x v="61"/>
    <x v="0"/>
    <x v="1"/>
    <x v="25"/>
    <n v="23"/>
    <n v="85.98"/>
    <n v="46.53"/>
    <n v="1977.54"/>
    <n v="1070.19"/>
    <n v="907.35"/>
    <n v="1"/>
  </r>
  <r>
    <x v="75"/>
    <n v="10185"/>
    <n v="320"/>
    <x v="37"/>
    <x v="0"/>
    <x v="1"/>
    <x v="40"/>
    <n v="21"/>
    <n v="195.33"/>
    <n v="95.59"/>
    <n v="4101.93"/>
    <n v="2007.39"/>
    <n v="2094.54"/>
    <n v="2"/>
  </r>
  <r>
    <x v="75"/>
    <n v="10185"/>
    <n v="320"/>
    <x v="37"/>
    <x v="0"/>
    <x v="1"/>
    <x v="26"/>
    <n v="33"/>
    <n v="146.55000000000001"/>
    <n v="89.14"/>
    <n v="4836.1499999999996"/>
    <n v="2941.62"/>
    <n v="1894.53"/>
    <n v="2"/>
  </r>
  <r>
    <x v="75"/>
    <n v="10185"/>
    <n v="320"/>
    <x v="37"/>
    <x v="0"/>
    <x v="1"/>
    <x v="41"/>
    <n v="43"/>
    <n v="147.07"/>
    <n v="83.05"/>
    <n v="6324.01"/>
    <n v="3571.15"/>
    <n v="2752.86"/>
    <n v="2"/>
  </r>
  <r>
    <x v="75"/>
    <n v="10185"/>
    <n v="320"/>
    <x v="37"/>
    <x v="0"/>
    <x v="0"/>
    <x v="42"/>
    <n v="28"/>
    <n v="124.3"/>
    <n v="68.3"/>
    <n v="3480.4"/>
    <n v="1912.4"/>
    <n v="1568"/>
    <n v="2"/>
  </r>
  <r>
    <x v="75"/>
    <n v="10185"/>
    <n v="320"/>
    <x v="37"/>
    <x v="0"/>
    <x v="3"/>
    <x v="43"/>
    <n v="49"/>
    <n v="94.79"/>
    <n v="67.56"/>
    <n v="4644.71"/>
    <n v="3310.44"/>
    <n v="1334.27"/>
    <n v="2"/>
  </r>
  <r>
    <x v="75"/>
    <n v="10185"/>
    <n v="320"/>
    <x v="37"/>
    <x v="0"/>
    <x v="1"/>
    <x v="31"/>
    <n v="39"/>
    <n v="127.82"/>
    <n v="91.92"/>
    <n v="4984.9799999999996"/>
    <n v="3584.88"/>
    <n v="1400.1"/>
    <n v="2"/>
  </r>
  <r>
    <x v="75"/>
    <n v="10185"/>
    <n v="320"/>
    <x v="37"/>
    <x v="0"/>
    <x v="0"/>
    <x v="44"/>
    <n v="47"/>
    <n v="87.77"/>
    <n v="52.66"/>
    <n v="4125.1899999999996"/>
    <n v="2475.02"/>
    <n v="1650.17"/>
    <n v="2"/>
  </r>
  <r>
    <x v="75"/>
    <n v="10185"/>
    <n v="320"/>
    <x v="37"/>
    <x v="0"/>
    <x v="4"/>
    <x v="45"/>
    <n v="30"/>
    <n v="105.69"/>
    <n v="82.34"/>
    <n v="3170.7"/>
    <n v="2470.1999999999998"/>
    <n v="700.5"/>
    <n v="2"/>
  </r>
  <r>
    <x v="75"/>
    <n v="10185"/>
    <n v="320"/>
    <x v="37"/>
    <x v="0"/>
    <x v="0"/>
    <x v="46"/>
    <n v="33"/>
    <n v="83.2"/>
    <n v="46.91"/>
    <n v="2745.6"/>
    <n v="1548.03"/>
    <n v="1197.57"/>
    <n v="2"/>
  </r>
  <r>
    <x v="75"/>
    <n v="10185"/>
    <n v="320"/>
    <x v="37"/>
    <x v="0"/>
    <x v="3"/>
    <x v="38"/>
    <n v="20"/>
    <n v="46.86"/>
    <n v="37.49"/>
    <n v="937.2"/>
    <n v="749.8"/>
    <n v="187.4"/>
    <n v="2"/>
  </r>
  <r>
    <x v="75"/>
    <n v="10185"/>
    <n v="320"/>
    <x v="37"/>
    <x v="0"/>
    <x v="4"/>
    <x v="48"/>
    <n v="21"/>
    <n v="64.67"/>
    <n v="34"/>
    <n v="1358.07"/>
    <n v="714"/>
    <n v="644.07000000000005"/>
    <n v="2"/>
  </r>
  <r>
    <x v="75"/>
    <n v="10185"/>
    <n v="320"/>
    <x v="37"/>
    <x v="0"/>
    <x v="4"/>
    <x v="49"/>
    <n v="30"/>
    <n v="79.680000000000007"/>
    <n v="43.3"/>
    <n v="2390.4"/>
    <n v="1299"/>
    <n v="1091.4000000000001"/>
    <n v="2"/>
  </r>
  <r>
    <x v="75"/>
    <n v="10185"/>
    <n v="320"/>
    <x v="37"/>
    <x v="0"/>
    <x v="4"/>
    <x v="50"/>
    <n v="39"/>
    <n v="61.44"/>
    <n v="33.97"/>
    <n v="2396.16"/>
    <n v="1324.83"/>
    <n v="1071.33"/>
    <n v="2"/>
  </r>
  <r>
    <x v="75"/>
    <n v="10185"/>
    <n v="320"/>
    <x v="37"/>
    <x v="0"/>
    <x v="4"/>
    <x v="51"/>
    <n v="37"/>
    <n v="99.17"/>
    <n v="51.09"/>
    <n v="3669.29"/>
    <n v="1890.33"/>
    <n v="1778.96"/>
    <n v="2"/>
  </r>
  <r>
    <x v="75"/>
    <n v="10185"/>
    <n v="320"/>
    <x v="37"/>
    <x v="0"/>
    <x v="4"/>
    <x v="52"/>
    <n v="22"/>
    <n v="93.35"/>
    <n v="53.63"/>
    <n v="2053.6999999999998"/>
    <n v="1179.8599999999999"/>
    <n v="873.84"/>
    <n v="2"/>
  </r>
  <r>
    <x v="75"/>
    <n v="10185"/>
    <n v="320"/>
    <x v="37"/>
    <x v="0"/>
    <x v="4"/>
    <x v="53"/>
    <n v="28"/>
    <n v="47.5"/>
    <n v="33.299999999999997"/>
    <n v="1330"/>
    <n v="932.4"/>
    <n v="397.6"/>
    <n v="2"/>
  </r>
  <r>
    <x v="75"/>
    <n v="10184"/>
    <n v="484"/>
    <x v="62"/>
    <x v="3"/>
    <x v="2"/>
    <x v="27"/>
    <n v="37"/>
    <n v="105.47"/>
    <n v="55.7"/>
    <n v="3902.39"/>
    <n v="2060.9"/>
    <n v="1841.49"/>
    <n v="1"/>
  </r>
  <r>
    <x v="75"/>
    <n v="10184"/>
    <n v="484"/>
    <x v="62"/>
    <x v="3"/>
    <x v="1"/>
    <x v="28"/>
    <n v="46"/>
    <n v="145.72"/>
    <n v="101.51"/>
    <n v="6703.12"/>
    <n v="4669.46"/>
    <n v="2033.66"/>
    <n v="1"/>
  </r>
  <r>
    <x v="75"/>
    <n v="10184"/>
    <n v="484"/>
    <x v="62"/>
    <x v="3"/>
    <x v="2"/>
    <x v="29"/>
    <n v="46"/>
    <n v="119.05"/>
    <n v="74.86"/>
    <n v="5476.3"/>
    <n v="3443.56"/>
    <n v="2032.74"/>
    <n v="1"/>
  </r>
  <r>
    <x v="75"/>
    <n v="10184"/>
    <n v="484"/>
    <x v="62"/>
    <x v="3"/>
    <x v="2"/>
    <x v="14"/>
    <n v="44"/>
    <n v="60.77"/>
    <n v="24.92"/>
    <n v="2673.88"/>
    <n v="1096.48"/>
    <n v="1577.4"/>
    <n v="1"/>
  </r>
  <r>
    <x v="75"/>
    <n v="10184"/>
    <n v="484"/>
    <x v="62"/>
    <x v="3"/>
    <x v="1"/>
    <x v="30"/>
    <n v="28"/>
    <n v="165.95"/>
    <n v="77.900000000000006"/>
    <n v="4646.6000000000004"/>
    <n v="2181.1999999999998"/>
    <n v="2465.4"/>
    <n v="1"/>
  </r>
  <r>
    <x v="75"/>
    <n v="10184"/>
    <n v="484"/>
    <x v="62"/>
    <x v="3"/>
    <x v="1"/>
    <x v="32"/>
    <n v="31"/>
    <n v="57.22"/>
    <n v="32.369999999999997"/>
    <n v="1773.82"/>
    <n v="1003.47"/>
    <n v="770.35"/>
    <n v="1"/>
  </r>
  <r>
    <x v="75"/>
    <n v="10184"/>
    <n v="484"/>
    <x v="62"/>
    <x v="3"/>
    <x v="2"/>
    <x v="21"/>
    <n v="24"/>
    <n v="117.57"/>
    <n v="61.34"/>
    <n v="2821.68"/>
    <n v="1472.16"/>
    <n v="1349.52"/>
    <n v="1"/>
  </r>
  <r>
    <x v="75"/>
    <n v="10184"/>
    <n v="484"/>
    <x v="62"/>
    <x v="3"/>
    <x v="1"/>
    <x v="33"/>
    <n v="42"/>
    <n v="30.06"/>
    <n v="15.91"/>
    <n v="1262.52"/>
    <n v="668.22"/>
    <n v="594.29999999999995"/>
    <n v="1"/>
  </r>
  <r>
    <x v="75"/>
    <n v="10184"/>
    <n v="484"/>
    <x v="62"/>
    <x v="3"/>
    <x v="1"/>
    <x v="34"/>
    <n v="49"/>
    <n v="114.73"/>
    <n v="69.78"/>
    <n v="5621.77"/>
    <n v="3419.22"/>
    <n v="2202.5500000000002"/>
    <n v="1"/>
  </r>
  <r>
    <x v="75"/>
    <n v="10184"/>
    <n v="484"/>
    <x v="62"/>
    <x v="3"/>
    <x v="2"/>
    <x v="23"/>
    <n v="46"/>
    <n v="84.75"/>
    <n v="53.93"/>
    <n v="3898.5"/>
    <n v="2480.7800000000002"/>
    <n v="1417.72"/>
    <n v="1"/>
  </r>
  <r>
    <x v="75"/>
    <n v="10184"/>
    <n v="484"/>
    <x v="62"/>
    <x v="3"/>
    <x v="2"/>
    <x v="35"/>
    <n v="33"/>
    <n v="52.49"/>
    <n v="25.98"/>
    <n v="1732.17"/>
    <n v="857.34"/>
    <n v="874.83"/>
    <n v="1"/>
  </r>
  <r>
    <x v="75"/>
    <n v="10184"/>
    <n v="484"/>
    <x v="62"/>
    <x v="3"/>
    <x v="3"/>
    <x v="36"/>
    <n v="48"/>
    <n v="59.03"/>
    <n v="26.72"/>
    <n v="2833.44"/>
    <n v="1282.56"/>
    <n v="1550.88"/>
    <n v="1"/>
  </r>
  <r>
    <x v="75"/>
    <n v="10184"/>
    <n v="484"/>
    <x v="62"/>
    <x v="3"/>
    <x v="2"/>
    <x v="37"/>
    <n v="45"/>
    <n v="92.6"/>
    <n v="68.290000000000006"/>
    <n v="4167"/>
    <n v="3073.05"/>
    <n v="1093.95"/>
    <n v="1"/>
  </r>
  <r>
    <x v="75"/>
    <n v="10186"/>
    <n v="489"/>
    <x v="63"/>
    <x v="7"/>
    <x v="1"/>
    <x v="39"/>
    <n v="26"/>
    <n v="108.8"/>
    <n v="85.68"/>
    <n v="2828.8"/>
    <n v="2227.6799999999998"/>
    <n v="601.12"/>
    <n v="1"/>
  </r>
  <r>
    <x v="75"/>
    <n v="10186"/>
    <n v="489"/>
    <x v="63"/>
    <x v="7"/>
    <x v="5"/>
    <x v="54"/>
    <n v="32"/>
    <n v="137.19"/>
    <n v="77.27"/>
    <n v="4390.08"/>
    <n v="2472.64"/>
    <n v="1917.44"/>
    <n v="1"/>
  </r>
  <r>
    <x v="75"/>
    <n v="10186"/>
    <n v="489"/>
    <x v="63"/>
    <x v="7"/>
    <x v="4"/>
    <x v="56"/>
    <n v="32"/>
    <n v="73.12"/>
    <n v="51.61"/>
    <n v="2339.84"/>
    <n v="1651.52"/>
    <n v="688.32"/>
    <n v="1"/>
  </r>
  <r>
    <x v="75"/>
    <n v="10186"/>
    <n v="489"/>
    <x v="63"/>
    <x v="7"/>
    <x v="0"/>
    <x v="57"/>
    <n v="46"/>
    <n v="98.46"/>
    <n v="64.58"/>
    <n v="4529.16"/>
    <n v="2970.68"/>
    <n v="1558.48"/>
    <n v="1"/>
  </r>
  <r>
    <x v="75"/>
    <n v="10186"/>
    <n v="489"/>
    <x v="63"/>
    <x v="7"/>
    <x v="5"/>
    <x v="59"/>
    <n v="22"/>
    <n v="60.29"/>
    <n v="34.25"/>
    <n v="1326.38"/>
    <n v="753.5"/>
    <n v="572.88"/>
    <n v="1"/>
  </r>
  <r>
    <x v="75"/>
    <n v="10186"/>
    <n v="489"/>
    <x v="63"/>
    <x v="7"/>
    <x v="0"/>
    <x v="60"/>
    <n v="21"/>
    <n v="59.83"/>
    <n v="26.3"/>
    <n v="1256.43"/>
    <n v="552.29999999999995"/>
    <n v="704.13"/>
    <n v="1"/>
  </r>
  <r>
    <x v="75"/>
    <n v="10186"/>
    <n v="489"/>
    <x v="63"/>
    <x v="7"/>
    <x v="0"/>
    <x v="47"/>
    <n v="36"/>
    <n v="68.77"/>
    <n v="48.64"/>
    <n v="2475.7199999999998"/>
    <n v="1751.04"/>
    <n v="724.68"/>
    <n v="1"/>
  </r>
  <r>
    <x v="75"/>
    <n v="10186"/>
    <n v="489"/>
    <x v="63"/>
    <x v="7"/>
    <x v="4"/>
    <x v="66"/>
    <n v="24"/>
    <n v="80.56"/>
    <n v="39.83"/>
    <n v="1933.44"/>
    <n v="955.92"/>
    <n v="977.52"/>
    <n v="1"/>
  </r>
  <r>
    <x v="75"/>
    <n v="10186"/>
    <n v="489"/>
    <x v="63"/>
    <x v="7"/>
    <x v="5"/>
    <x v="71"/>
    <n v="28"/>
    <n v="42.71"/>
    <n v="32.770000000000003"/>
    <n v="1195.8800000000001"/>
    <n v="917.56"/>
    <n v="278.32"/>
    <n v="1"/>
  </r>
  <r>
    <x v="76"/>
    <n v="10187"/>
    <n v="211"/>
    <x v="64"/>
    <x v="17"/>
    <x v="5"/>
    <x v="55"/>
    <n v="45"/>
    <n v="70.12"/>
    <n v="49"/>
    <n v="3155.4"/>
    <n v="2205"/>
    <n v="950.4"/>
    <n v="1"/>
  </r>
  <r>
    <x v="76"/>
    <n v="10187"/>
    <n v="211"/>
    <x v="64"/>
    <x v="17"/>
    <x v="5"/>
    <x v="58"/>
    <n v="46"/>
    <n v="96.29"/>
    <n v="66.739999999999995"/>
    <n v="4429.34"/>
    <n v="3070.04"/>
    <n v="1359.3"/>
    <n v="1"/>
  </r>
  <r>
    <x v="76"/>
    <n v="10187"/>
    <n v="211"/>
    <x v="64"/>
    <x v="17"/>
    <x v="5"/>
    <x v="61"/>
    <n v="43"/>
    <n v="55.96"/>
    <n v="29.34"/>
    <n v="2406.2800000000002"/>
    <n v="1261.6199999999999"/>
    <n v="1144.6600000000001"/>
    <n v="1"/>
  </r>
  <r>
    <x v="76"/>
    <n v="10187"/>
    <n v="211"/>
    <x v="64"/>
    <x v="17"/>
    <x v="5"/>
    <x v="62"/>
    <n v="33"/>
    <n v="64.48"/>
    <n v="36.229999999999997"/>
    <n v="2127.84"/>
    <n v="1195.5899999999999"/>
    <n v="932.25"/>
    <n v="1"/>
  </r>
  <r>
    <x v="76"/>
    <n v="10187"/>
    <n v="211"/>
    <x v="64"/>
    <x v="17"/>
    <x v="0"/>
    <x v="63"/>
    <n v="31"/>
    <n v="61.22"/>
    <n v="33.020000000000003"/>
    <n v="1897.82"/>
    <n v="1023.62"/>
    <n v="874.2"/>
    <n v="1"/>
  </r>
  <r>
    <x v="76"/>
    <n v="10187"/>
    <n v="211"/>
    <x v="64"/>
    <x v="17"/>
    <x v="0"/>
    <x v="64"/>
    <n v="41"/>
    <n v="39.71"/>
    <n v="27.06"/>
    <n v="1628.11"/>
    <n v="1109.46"/>
    <n v="518.65"/>
    <n v="1"/>
  </r>
  <r>
    <x v="76"/>
    <n v="10187"/>
    <n v="211"/>
    <x v="64"/>
    <x v="17"/>
    <x v="5"/>
    <x v="65"/>
    <n v="34"/>
    <n v="84.95"/>
    <n v="51.15"/>
    <n v="2888.3"/>
    <n v="1739.1"/>
    <n v="1149.2"/>
    <n v="1"/>
  </r>
  <r>
    <x v="76"/>
    <n v="10187"/>
    <n v="211"/>
    <x v="64"/>
    <x v="17"/>
    <x v="5"/>
    <x v="67"/>
    <n v="44"/>
    <n v="95.73"/>
    <n v="68.8"/>
    <n v="4212.12"/>
    <n v="3027.2"/>
    <n v="1184.92"/>
    <n v="1"/>
  </r>
  <r>
    <x v="76"/>
    <n v="10187"/>
    <n v="211"/>
    <x v="64"/>
    <x v="17"/>
    <x v="5"/>
    <x v="69"/>
    <n v="34"/>
    <n v="72"/>
    <n v="54.4"/>
    <n v="2448"/>
    <n v="1849.6"/>
    <n v="598.4"/>
    <n v="1"/>
  </r>
  <r>
    <x v="76"/>
    <n v="10187"/>
    <n v="211"/>
    <x v="64"/>
    <x v="17"/>
    <x v="5"/>
    <x v="70"/>
    <n v="44"/>
    <n v="70.33"/>
    <n v="36.270000000000003"/>
    <n v="3094.52"/>
    <n v="1595.88"/>
    <n v="1498.64"/>
    <n v="1"/>
  </r>
  <r>
    <x v="77"/>
    <n v="10188"/>
    <n v="167"/>
    <x v="60"/>
    <x v="2"/>
    <x v="6"/>
    <x v="72"/>
    <n v="48"/>
    <n v="95.7"/>
    <n v="48.81"/>
    <n v="4593.6000000000004"/>
    <n v="2342.88"/>
    <n v="2250.7199999999998"/>
    <n v="2"/>
  </r>
  <r>
    <x v="77"/>
    <n v="10188"/>
    <n v="167"/>
    <x v="60"/>
    <x v="2"/>
    <x v="6"/>
    <x v="73"/>
    <n v="38"/>
    <n v="111.8"/>
    <n v="68.989999999999995"/>
    <n v="4248.3999999999996"/>
    <n v="2621.62"/>
    <n v="1626.78"/>
    <n v="2"/>
  </r>
  <r>
    <x v="77"/>
    <n v="10188"/>
    <n v="167"/>
    <x v="60"/>
    <x v="2"/>
    <x v="6"/>
    <x v="74"/>
    <n v="45"/>
    <n v="182.04"/>
    <n v="91.02"/>
    <n v="8191.8"/>
    <n v="4095.9"/>
    <n v="4095.9"/>
    <n v="2"/>
  </r>
  <r>
    <x v="77"/>
    <n v="10188"/>
    <n v="167"/>
    <x v="60"/>
    <x v="2"/>
    <x v="6"/>
    <x v="76"/>
    <n v="32"/>
    <n v="52.09"/>
    <n v="24.23"/>
    <n v="1666.88"/>
    <n v="775.36"/>
    <n v="891.52"/>
    <n v="2"/>
  </r>
  <r>
    <x v="77"/>
    <n v="10188"/>
    <n v="167"/>
    <x v="60"/>
    <x v="2"/>
    <x v="6"/>
    <x v="77"/>
    <n v="25"/>
    <n v="95.8"/>
    <n v="60.86"/>
    <n v="2395"/>
    <n v="1521.5"/>
    <n v="873.5"/>
    <n v="2"/>
  </r>
  <r>
    <x v="77"/>
    <n v="10188"/>
    <n v="167"/>
    <x v="60"/>
    <x v="2"/>
    <x v="6"/>
    <x v="78"/>
    <n v="40"/>
    <n v="61.7"/>
    <n v="37.32"/>
    <n v="2468"/>
    <n v="1492.8"/>
    <n v="975.2"/>
    <n v="2"/>
  </r>
  <r>
    <x v="77"/>
    <n v="10188"/>
    <n v="167"/>
    <x v="60"/>
    <x v="2"/>
    <x v="6"/>
    <x v="79"/>
    <n v="44"/>
    <n v="81.91"/>
    <n v="66.92"/>
    <n v="3604.04"/>
    <n v="2944.48"/>
    <n v="659.56"/>
    <n v="2"/>
  </r>
  <r>
    <x v="77"/>
    <n v="10188"/>
    <n v="167"/>
    <x v="60"/>
    <x v="2"/>
    <x v="5"/>
    <x v="68"/>
    <n v="29"/>
    <n v="96.11"/>
    <n v="59.33"/>
    <n v="2787.19"/>
    <n v="1720.57"/>
    <n v="1066.6199999999999"/>
    <n v="2"/>
  </r>
  <r>
    <x v="77"/>
    <n v="10189"/>
    <n v="205"/>
    <x v="38"/>
    <x v="0"/>
    <x v="6"/>
    <x v="75"/>
    <n v="28"/>
    <n v="138.57"/>
    <n v="66.27"/>
    <n v="3879.96"/>
    <n v="1855.56"/>
    <n v="2024.4"/>
    <n v="2"/>
  </r>
  <r>
    <x v="78"/>
    <n v="10190"/>
    <n v="141"/>
    <x v="4"/>
    <x v="3"/>
    <x v="6"/>
    <x v="89"/>
    <n v="42"/>
    <n v="58.87"/>
    <n v="47.1"/>
    <n v="2472.54"/>
    <n v="1978.2"/>
    <n v="494.34"/>
    <n v="6"/>
  </r>
  <r>
    <x v="78"/>
    <n v="10190"/>
    <n v="141"/>
    <x v="4"/>
    <x v="3"/>
    <x v="6"/>
    <x v="93"/>
    <n v="46"/>
    <n v="38.619999999999997"/>
    <n v="24.14"/>
    <n v="1776.52"/>
    <n v="1110.44"/>
    <n v="666.08"/>
    <n v="6"/>
  </r>
  <r>
    <x v="78"/>
    <n v="10190"/>
    <n v="141"/>
    <x v="4"/>
    <x v="3"/>
    <x v="6"/>
    <x v="94"/>
    <n v="42"/>
    <n v="89.8"/>
    <n v="56.13"/>
    <n v="3771.6"/>
    <n v="2357.46"/>
    <n v="1414.14"/>
    <n v="6"/>
  </r>
  <r>
    <x v="78"/>
    <n v="10190"/>
    <n v="141"/>
    <x v="4"/>
    <x v="3"/>
    <x v="6"/>
    <x v="95"/>
    <n v="40"/>
    <n v="67.53"/>
    <n v="34.17"/>
    <n v="2701.2"/>
    <n v="1366.8"/>
    <n v="1334.4"/>
    <n v="6"/>
  </r>
  <r>
    <x v="79"/>
    <n v="10191"/>
    <n v="259"/>
    <x v="65"/>
    <x v="1"/>
    <x v="1"/>
    <x v="80"/>
    <n v="21"/>
    <n v="155.66"/>
    <n v="95.34"/>
    <n v="3268.86"/>
    <n v="2002.14"/>
    <n v="1266.72"/>
    <n v="1"/>
  </r>
  <r>
    <x v="79"/>
    <n v="10191"/>
    <n v="259"/>
    <x v="65"/>
    <x v="1"/>
    <x v="1"/>
    <x v="81"/>
    <n v="40"/>
    <n v="104.52"/>
    <n v="75.16"/>
    <n v="4180.8"/>
    <n v="3006.4"/>
    <n v="1174.4000000000001"/>
    <n v="1"/>
  </r>
  <r>
    <x v="79"/>
    <n v="10191"/>
    <n v="259"/>
    <x v="65"/>
    <x v="1"/>
    <x v="1"/>
    <x v="82"/>
    <n v="30"/>
    <n v="70.22"/>
    <n v="31.92"/>
    <n v="2106.6"/>
    <n v="957.6"/>
    <n v="1149"/>
    <n v="1"/>
  </r>
  <r>
    <x v="79"/>
    <n v="10191"/>
    <n v="259"/>
    <x v="65"/>
    <x v="1"/>
    <x v="1"/>
    <x v="85"/>
    <n v="36"/>
    <n v="75.59"/>
    <n v="49.05"/>
    <n v="2721.24"/>
    <n v="1765.8"/>
    <n v="955.44"/>
    <n v="1"/>
  </r>
  <r>
    <x v="79"/>
    <n v="10191"/>
    <n v="259"/>
    <x v="65"/>
    <x v="1"/>
    <x v="1"/>
    <x v="86"/>
    <n v="23"/>
    <n v="119.06"/>
    <n v="73.489999999999995"/>
    <n v="2738.38"/>
    <n v="1690.27"/>
    <n v="1048.1099999999999"/>
    <n v="1"/>
  </r>
  <r>
    <x v="79"/>
    <n v="10191"/>
    <n v="259"/>
    <x v="65"/>
    <x v="1"/>
    <x v="6"/>
    <x v="87"/>
    <n v="43"/>
    <n v="60.93"/>
    <n v="32.950000000000003"/>
    <n v="2619.9899999999998"/>
    <n v="1416.85"/>
    <n v="1203.1400000000001"/>
    <n v="1"/>
  </r>
  <r>
    <x v="79"/>
    <n v="10191"/>
    <n v="259"/>
    <x v="65"/>
    <x v="1"/>
    <x v="1"/>
    <x v="88"/>
    <n v="32"/>
    <n v="136.9"/>
    <n v="69.930000000000007"/>
    <n v="4380.8"/>
    <n v="2237.7600000000002"/>
    <n v="2143.04"/>
    <n v="1"/>
  </r>
  <r>
    <x v="79"/>
    <n v="10191"/>
    <n v="259"/>
    <x v="65"/>
    <x v="1"/>
    <x v="1"/>
    <x v="90"/>
    <n v="48"/>
    <n v="53.27"/>
    <n v="38.58"/>
    <n v="2556.96"/>
    <n v="1851.84"/>
    <n v="705.12"/>
    <n v="1"/>
  </r>
  <r>
    <x v="79"/>
    <n v="10191"/>
    <n v="259"/>
    <x v="65"/>
    <x v="1"/>
    <x v="1"/>
    <x v="92"/>
    <n v="44"/>
    <n v="77.61"/>
    <n v="32.33"/>
    <n v="3414.84"/>
    <n v="1422.52"/>
    <n v="1992.32"/>
    <n v="1"/>
  </r>
  <r>
    <x v="79"/>
    <n v="10192"/>
    <n v="363"/>
    <x v="0"/>
    <x v="0"/>
    <x v="1"/>
    <x v="83"/>
    <n v="27"/>
    <n v="99.04"/>
    <n v="58.73"/>
    <n v="2674.08"/>
    <n v="1585.71"/>
    <n v="1088.3699999999999"/>
    <n v="2"/>
  </r>
  <r>
    <x v="79"/>
    <n v="10192"/>
    <n v="363"/>
    <x v="0"/>
    <x v="0"/>
    <x v="1"/>
    <x v="96"/>
    <n v="22"/>
    <n v="140.12"/>
    <n v="83.51"/>
    <n v="3082.64"/>
    <n v="1837.22"/>
    <n v="1245.42"/>
    <n v="2"/>
  </r>
  <r>
    <x v="79"/>
    <n v="10192"/>
    <n v="363"/>
    <x v="0"/>
    <x v="0"/>
    <x v="1"/>
    <x v="101"/>
    <n v="29"/>
    <n v="100.8"/>
    <n v="65.959999999999994"/>
    <n v="2923.2"/>
    <n v="1912.84"/>
    <n v="1010.36"/>
    <n v="2"/>
  </r>
  <r>
    <x v="79"/>
    <n v="10192"/>
    <n v="363"/>
    <x v="0"/>
    <x v="0"/>
    <x v="1"/>
    <x v="84"/>
    <n v="45"/>
    <n v="70.84"/>
    <n v="53.9"/>
    <n v="3187.8"/>
    <n v="2425.5"/>
    <n v="762.3"/>
    <n v="2"/>
  </r>
  <r>
    <x v="79"/>
    <n v="10192"/>
    <n v="363"/>
    <x v="0"/>
    <x v="0"/>
    <x v="1"/>
    <x v="97"/>
    <n v="47"/>
    <n v="128.03"/>
    <n v="93.89"/>
    <n v="6017.41"/>
    <n v="4412.83"/>
    <n v="1604.58"/>
    <n v="2"/>
  </r>
  <r>
    <x v="79"/>
    <n v="10192"/>
    <n v="363"/>
    <x v="0"/>
    <x v="0"/>
    <x v="1"/>
    <x v="98"/>
    <n v="38"/>
    <n v="110.88"/>
    <n v="56.76"/>
    <n v="4213.4399999999996"/>
    <n v="2156.88"/>
    <n v="2056.56"/>
    <n v="2"/>
  </r>
  <r>
    <x v="79"/>
    <n v="10192"/>
    <n v="363"/>
    <x v="0"/>
    <x v="0"/>
    <x v="1"/>
    <x v="30"/>
    <n v="26"/>
    <n v="137.16999999999999"/>
    <n v="77.900000000000006"/>
    <n v="3566.42"/>
    <n v="2025.4"/>
    <n v="1541.02"/>
    <n v="2"/>
  </r>
  <r>
    <x v="79"/>
    <n v="10192"/>
    <n v="363"/>
    <x v="0"/>
    <x v="0"/>
    <x v="1"/>
    <x v="99"/>
    <n v="45"/>
    <n v="125.74"/>
    <n v="62.16"/>
    <n v="5658.3"/>
    <n v="2797.2"/>
    <n v="2861.1"/>
    <n v="2"/>
  </r>
  <r>
    <x v="79"/>
    <n v="10192"/>
    <n v="363"/>
    <x v="0"/>
    <x v="0"/>
    <x v="1"/>
    <x v="103"/>
    <n v="37"/>
    <n v="72.02"/>
    <n v="49.24"/>
    <n v="2664.74"/>
    <n v="1821.88"/>
    <n v="842.86"/>
    <n v="2"/>
  </r>
  <r>
    <x v="79"/>
    <n v="10192"/>
    <n v="363"/>
    <x v="0"/>
    <x v="0"/>
    <x v="1"/>
    <x v="104"/>
    <n v="47"/>
    <n v="49.3"/>
    <n v="29.18"/>
    <n v="2317.1"/>
    <n v="1371.46"/>
    <n v="945.64"/>
    <n v="2"/>
  </r>
  <r>
    <x v="79"/>
    <n v="10192"/>
    <n v="363"/>
    <x v="0"/>
    <x v="0"/>
    <x v="1"/>
    <x v="105"/>
    <n v="46"/>
    <n v="86.33"/>
    <n v="47.25"/>
    <n v="3971.18"/>
    <n v="2173.5"/>
    <n v="1797.68"/>
    <n v="2"/>
  </r>
  <r>
    <x v="79"/>
    <n v="10192"/>
    <n v="363"/>
    <x v="0"/>
    <x v="0"/>
    <x v="1"/>
    <x v="106"/>
    <n v="23"/>
    <n v="112.74"/>
    <n v="72.819999999999993"/>
    <n v="2593.02"/>
    <n v="1674.86"/>
    <n v="918.16"/>
    <n v="2"/>
  </r>
  <r>
    <x v="79"/>
    <n v="10192"/>
    <n v="363"/>
    <x v="0"/>
    <x v="0"/>
    <x v="1"/>
    <x v="100"/>
    <n v="30"/>
    <n v="33.229999999999997"/>
    <n v="16.239999999999998"/>
    <n v="996.9"/>
    <n v="487.2"/>
    <n v="509.7"/>
    <n v="2"/>
  </r>
  <r>
    <x v="79"/>
    <n v="10192"/>
    <n v="363"/>
    <x v="0"/>
    <x v="0"/>
    <x v="1"/>
    <x v="107"/>
    <n v="32"/>
    <n v="69.34"/>
    <n v="50.51"/>
    <n v="2218.88"/>
    <n v="1616.32"/>
    <n v="602.55999999999995"/>
    <n v="2"/>
  </r>
  <r>
    <x v="79"/>
    <n v="10192"/>
    <n v="363"/>
    <x v="0"/>
    <x v="0"/>
    <x v="1"/>
    <x v="108"/>
    <n v="46"/>
    <n v="93.16"/>
    <n v="62.11"/>
    <n v="4285.3599999999997"/>
    <n v="2857.06"/>
    <n v="1428.3"/>
    <n v="2"/>
  </r>
  <r>
    <x v="79"/>
    <n v="10192"/>
    <n v="363"/>
    <x v="0"/>
    <x v="0"/>
    <x v="1"/>
    <x v="91"/>
    <n v="45"/>
    <n v="112.34"/>
    <n v="98.3"/>
    <n v="5055.3"/>
    <n v="4423.5"/>
    <n v="631.79999999999995"/>
    <n v="2"/>
  </r>
  <r>
    <x v="80"/>
    <n v="10193"/>
    <n v="471"/>
    <x v="66"/>
    <x v="13"/>
    <x v="0"/>
    <x v="8"/>
    <n v="28"/>
    <n v="92.47"/>
    <n v="60.62"/>
    <n v="2589.16"/>
    <n v="1697.36"/>
    <n v="891.8"/>
    <n v="1"/>
  </r>
  <r>
    <x v="80"/>
    <n v="10193"/>
    <n v="471"/>
    <x v="66"/>
    <x v="13"/>
    <x v="0"/>
    <x v="9"/>
    <n v="46"/>
    <n v="46.36"/>
    <n v="24.26"/>
    <n v="2132.56"/>
    <n v="1115.96"/>
    <n v="1016.6"/>
    <n v="1"/>
  </r>
  <r>
    <x v="80"/>
    <n v="10193"/>
    <n v="471"/>
    <x v="66"/>
    <x v="13"/>
    <x v="0"/>
    <x v="0"/>
    <n v="21"/>
    <n v="153"/>
    <n v="86.7"/>
    <n v="3213"/>
    <n v="1820.7"/>
    <n v="1392.3"/>
    <n v="1"/>
  </r>
  <r>
    <x v="80"/>
    <n v="10193"/>
    <n v="471"/>
    <x v="66"/>
    <x v="13"/>
    <x v="0"/>
    <x v="1"/>
    <n v="42"/>
    <n v="60.54"/>
    <n v="33.299999999999997"/>
    <n v="2542.6799999999998"/>
    <n v="1398.6"/>
    <n v="1144.08"/>
    <n v="1"/>
  </r>
  <r>
    <x v="80"/>
    <n v="10193"/>
    <n v="471"/>
    <x v="66"/>
    <x v="13"/>
    <x v="0"/>
    <x v="4"/>
    <n v="44"/>
    <n v="115.69"/>
    <n v="58.48"/>
    <n v="5090.3599999999997"/>
    <n v="2573.12"/>
    <n v="2517.2399999999998"/>
    <n v="1"/>
  </r>
  <r>
    <x v="80"/>
    <n v="10193"/>
    <n v="471"/>
    <x v="66"/>
    <x v="13"/>
    <x v="0"/>
    <x v="5"/>
    <n v="22"/>
    <n v="143.44"/>
    <n v="72.56"/>
    <n v="3155.68"/>
    <n v="1596.32"/>
    <n v="1559.36"/>
    <n v="1"/>
  </r>
  <r>
    <x v="80"/>
    <n v="10193"/>
    <n v="471"/>
    <x v="66"/>
    <x v="13"/>
    <x v="0"/>
    <x v="15"/>
    <n v="28"/>
    <n v="87.13"/>
    <n v="60.78"/>
    <n v="2439.64"/>
    <n v="1701.84"/>
    <n v="737.8"/>
    <n v="1"/>
  </r>
  <r>
    <x v="80"/>
    <n v="10193"/>
    <n v="471"/>
    <x v="66"/>
    <x v="13"/>
    <x v="0"/>
    <x v="16"/>
    <n v="24"/>
    <n v="53.09"/>
    <n v="34.35"/>
    <n v="1274.1600000000001"/>
    <n v="824.4"/>
    <n v="449.76"/>
    <n v="1"/>
  </r>
  <r>
    <x v="80"/>
    <n v="10193"/>
    <n v="471"/>
    <x v="66"/>
    <x v="13"/>
    <x v="0"/>
    <x v="17"/>
    <n v="23"/>
    <n v="97.39"/>
    <n v="60.74"/>
    <n v="2239.9699999999998"/>
    <n v="1397.02"/>
    <n v="842.95"/>
    <n v="1"/>
  </r>
  <r>
    <x v="80"/>
    <n v="10193"/>
    <n v="471"/>
    <x v="66"/>
    <x v="13"/>
    <x v="0"/>
    <x v="18"/>
    <n v="32"/>
    <n v="79.37"/>
    <n v="57.54"/>
    <n v="2539.84"/>
    <n v="1841.28"/>
    <n v="698.56"/>
    <n v="1"/>
  </r>
  <r>
    <x v="80"/>
    <n v="10193"/>
    <n v="471"/>
    <x v="66"/>
    <x v="13"/>
    <x v="0"/>
    <x v="2"/>
    <n v="24"/>
    <n v="92.03"/>
    <n v="43.26"/>
    <n v="2208.7199999999998"/>
    <n v="1038.24"/>
    <n v="1170.48"/>
    <n v="1"/>
  </r>
  <r>
    <x v="80"/>
    <n v="10193"/>
    <n v="471"/>
    <x v="66"/>
    <x v="13"/>
    <x v="1"/>
    <x v="102"/>
    <n v="25"/>
    <n v="66.28"/>
    <n v="34.21"/>
    <n v="1657"/>
    <n v="855.25"/>
    <n v="801.75"/>
    <n v="1"/>
  </r>
  <r>
    <x v="80"/>
    <n v="10193"/>
    <n v="471"/>
    <x v="66"/>
    <x v="13"/>
    <x v="0"/>
    <x v="6"/>
    <n v="26"/>
    <n v="32.19"/>
    <n v="22.57"/>
    <n v="836.94"/>
    <n v="586.82000000000005"/>
    <n v="250.12"/>
    <n v="1"/>
  </r>
  <r>
    <x v="80"/>
    <n v="10193"/>
    <n v="471"/>
    <x v="66"/>
    <x v="13"/>
    <x v="0"/>
    <x v="7"/>
    <n v="20"/>
    <n v="44.8"/>
    <n v="20.61"/>
    <n v="896"/>
    <n v="412.2"/>
    <n v="483.8"/>
    <n v="1"/>
  </r>
  <r>
    <x v="80"/>
    <n v="10193"/>
    <n v="471"/>
    <x v="66"/>
    <x v="13"/>
    <x v="0"/>
    <x v="3"/>
    <n v="22"/>
    <n v="38.159999999999997"/>
    <n v="21.75"/>
    <n v="839.52"/>
    <n v="478.5"/>
    <n v="361.02"/>
    <n v="1"/>
  </r>
  <r>
    <x v="80"/>
    <n v="10193"/>
    <n v="471"/>
    <x v="66"/>
    <x v="13"/>
    <x v="0"/>
    <x v="22"/>
    <n v="20"/>
    <n v="92.52"/>
    <n v="57.46"/>
    <n v="1850.4"/>
    <n v="1149.2"/>
    <n v="701.2"/>
    <n v="1"/>
  </r>
  <r>
    <x v="81"/>
    <n v="10195"/>
    <n v="319"/>
    <x v="67"/>
    <x v="0"/>
    <x v="2"/>
    <x v="27"/>
    <n v="49"/>
    <n v="118.5"/>
    <n v="55.7"/>
    <n v="5806.5"/>
    <n v="2729.3"/>
    <n v="3077.2"/>
    <n v="1"/>
  </r>
  <r>
    <x v="81"/>
    <n v="10195"/>
    <n v="319"/>
    <x v="67"/>
    <x v="0"/>
    <x v="1"/>
    <x v="28"/>
    <n v="27"/>
    <n v="139.16999999999999"/>
    <n v="101.51"/>
    <n v="3757.59"/>
    <n v="2740.77"/>
    <n v="1016.82"/>
    <n v="1"/>
  </r>
  <r>
    <x v="81"/>
    <n v="10195"/>
    <n v="319"/>
    <x v="67"/>
    <x v="0"/>
    <x v="2"/>
    <x v="29"/>
    <n v="35"/>
    <n v="112.91"/>
    <n v="74.86"/>
    <n v="3951.85"/>
    <n v="2620.1"/>
    <n v="1331.75"/>
    <n v="1"/>
  </r>
  <r>
    <x v="81"/>
    <n v="10195"/>
    <n v="319"/>
    <x v="67"/>
    <x v="0"/>
    <x v="1"/>
    <x v="30"/>
    <n v="50"/>
    <n v="150.71"/>
    <n v="77.900000000000006"/>
    <n v="7535.5"/>
    <n v="3895"/>
    <n v="3640.5"/>
    <n v="1"/>
  </r>
  <r>
    <x v="81"/>
    <n v="10195"/>
    <n v="319"/>
    <x v="67"/>
    <x v="0"/>
    <x v="1"/>
    <x v="32"/>
    <n v="44"/>
    <n v="54.33"/>
    <n v="32.369999999999997"/>
    <n v="2390.52"/>
    <n v="1424.28"/>
    <n v="966.24"/>
    <n v="1"/>
  </r>
  <r>
    <x v="81"/>
    <n v="10195"/>
    <n v="319"/>
    <x v="67"/>
    <x v="0"/>
    <x v="1"/>
    <x v="33"/>
    <n v="32"/>
    <n v="31.82"/>
    <n v="15.91"/>
    <n v="1018.24"/>
    <n v="509.12"/>
    <n v="509.12"/>
    <n v="1"/>
  </r>
  <r>
    <x v="81"/>
    <n v="10195"/>
    <n v="319"/>
    <x v="67"/>
    <x v="0"/>
    <x v="1"/>
    <x v="34"/>
    <n v="34"/>
    <n v="95.81"/>
    <n v="69.78"/>
    <n v="3257.54"/>
    <n v="2372.52"/>
    <n v="885.02"/>
    <n v="1"/>
  </r>
  <r>
    <x v="81"/>
    <n v="10195"/>
    <n v="319"/>
    <x v="67"/>
    <x v="0"/>
    <x v="2"/>
    <x v="35"/>
    <n v="32"/>
    <n v="51.95"/>
    <n v="25.98"/>
    <n v="1662.4"/>
    <n v="831.36"/>
    <n v="831.04"/>
    <n v="1"/>
  </r>
  <r>
    <x v="81"/>
    <n v="10195"/>
    <n v="319"/>
    <x v="67"/>
    <x v="0"/>
    <x v="3"/>
    <x v="36"/>
    <n v="33"/>
    <n v="59.03"/>
    <n v="26.72"/>
    <n v="1947.99"/>
    <n v="881.76"/>
    <n v="1066.23"/>
    <n v="1"/>
  </r>
  <r>
    <x v="81"/>
    <n v="10195"/>
    <n v="319"/>
    <x v="67"/>
    <x v="0"/>
    <x v="2"/>
    <x v="37"/>
    <n v="49"/>
    <n v="97.23"/>
    <n v="68.290000000000006"/>
    <n v="4764.2700000000004"/>
    <n v="3346.21"/>
    <n v="1418.06"/>
    <n v="1"/>
  </r>
  <r>
    <x v="81"/>
    <n v="10194"/>
    <n v="146"/>
    <x v="68"/>
    <x v="9"/>
    <x v="1"/>
    <x v="10"/>
    <n v="42"/>
    <n v="203.59"/>
    <n v="98.58"/>
    <n v="8550.7800000000007"/>
    <n v="4140.3599999999997"/>
    <n v="4410.42"/>
    <n v="1"/>
  </r>
  <r>
    <x v="81"/>
    <n v="10194"/>
    <n v="146"/>
    <x v="68"/>
    <x v="9"/>
    <x v="1"/>
    <x v="11"/>
    <n v="26"/>
    <n v="134.44"/>
    <n v="103.42"/>
    <n v="3495.44"/>
    <n v="2688.92"/>
    <n v="806.52"/>
    <n v="1"/>
  </r>
  <r>
    <x v="81"/>
    <n v="10194"/>
    <n v="146"/>
    <x v="68"/>
    <x v="9"/>
    <x v="2"/>
    <x v="12"/>
    <n v="38"/>
    <n v="124.37"/>
    <n v="77.900000000000006"/>
    <n v="4726.0600000000004"/>
    <n v="2960.2"/>
    <n v="1765.86"/>
    <n v="1"/>
  </r>
  <r>
    <x v="81"/>
    <n v="10194"/>
    <n v="146"/>
    <x v="68"/>
    <x v="9"/>
    <x v="2"/>
    <x v="13"/>
    <n v="21"/>
    <n v="103.84"/>
    <n v="58.33"/>
    <n v="2180.64"/>
    <n v="1224.93"/>
    <n v="955.71"/>
    <n v="1"/>
  </r>
  <r>
    <x v="81"/>
    <n v="10194"/>
    <n v="146"/>
    <x v="68"/>
    <x v="9"/>
    <x v="2"/>
    <x v="14"/>
    <n v="45"/>
    <n v="51.05"/>
    <n v="24.92"/>
    <n v="2297.25"/>
    <n v="1121.4000000000001"/>
    <n v="1175.8499999999999"/>
    <n v="1"/>
  </r>
  <r>
    <x v="81"/>
    <n v="10194"/>
    <n v="146"/>
    <x v="68"/>
    <x v="9"/>
    <x v="2"/>
    <x v="19"/>
    <n v="32"/>
    <n v="113.82"/>
    <n v="84.76"/>
    <n v="3642.24"/>
    <n v="2712.32"/>
    <n v="929.92"/>
    <n v="1"/>
  </r>
  <r>
    <x v="81"/>
    <n v="10194"/>
    <n v="146"/>
    <x v="68"/>
    <x v="9"/>
    <x v="0"/>
    <x v="20"/>
    <n v="41"/>
    <n v="47.79"/>
    <n v="23.14"/>
    <n v="1959.39"/>
    <n v="948.74"/>
    <n v="1010.65"/>
    <n v="1"/>
  </r>
  <r>
    <x v="81"/>
    <n v="10194"/>
    <n v="146"/>
    <x v="68"/>
    <x v="9"/>
    <x v="2"/>
    <x v="21"/>
    <n v="49"/>
    <n v="112.46"/>
    <n v="61.34"/>
    <n v="5510.54"/>
    <n v="3005.66"/>
    <n v="2504.88"/>
    <n v="1"/>
  </r>
  <r>
    <x v="81"/>
    <n v="10194"/>
    <n v="146"/>
    <x v="68"/>
    <x v="9"/>
    <x v="2"/>
    <x v="23"/>
    <n v="37"/>
    <n v="77.05"/>
    <n v="53.93"/>
    <n v="2850.85"/>
    <n v="1995.41"/>
    <n v="855.44"/>
    <n v="1"/>
  </r>
  <r>
    <x v="81"/>
    <n v="10194"/>
    <n v="146"/>
    <x v="68"/>
    <x v="9"/>
    <x v="2"/>
    <x v="24"/>
    <n v="39"/>
    <n v="61.41"/>
    <n v="33.61"/>
    <n v="2394.9899999999998"/>
    <n v="1310.79"/>
    <n v="1084.2"/>
    <n v="1"/>
  </r>
  <r>
    <x v="81"/>
    <n v="10194"/>
    <n v="146"/>
    <x v="68"/>
    <x v="9"/>
    <x v="1"/>
    <x v="25"/>
    <n v="26"/>
    <n v="80.92"/>
    <n v="46.53"/>
    <n v="2103.92"/>
    <n v="1209.78"/>
    <n v="894.14"/>
    <n v="1"/>
  </r>
  <r>
    <x v="82"/>
    <n v="10197"/>
    <n v="216"/>
    <x v="18"/>
    <x v="3"/>
    <x v="1"/>
    <x v="39"/>
    <n v="45"/>
    <n v="118.32"/>
    <n v="85.68"/>
    <n v="5324.4"/>
    <n v="3855.6"/>
    <n v="1468.8"/>
    <n v="2"/>
  </r>
  <r>
    <x v="82"/>
    <n v="10197"/>
    <n v="216"/>
    <x v="18"/>
    <x v="3"/>
    <x v="4"/>
    <x v="56"/>
    <n v="46"/>
    <n v="83.44"/>
    <n v="51.61"/>
    <n v="3838.24"/>
    <n v="2374.06"/>
    <n v="1464.18"/>
    <n v="2"/>
  </r>
  <r>
    <x v="82"/>
    <n v="10197"/>
    <n v="216"/>
    <x v="18"/>
    <x v="3"/>
    <x v="0"/>
    <x v="57"/>
    <n v="22"/>
    <n v="85.75"/>
    <n v="64.58"/>
    <n v="1886.5"/>
    <n v="1420.76"/>
    <n v="465.74"/>
    <n v="2"/>
  </r>
  <r>
    <x v="82"/>
    <n v="10197"/>
    <n v="216"/>
    <x v="18"/>
    <x v="3"/>
    <x v="0"/>
    <x v="44"/>
    <n v="50"/>
    <n v="78.989999999999995"/>
    <n v="52.66"/>
    <n v="3949.5"/>
    <n v="2633"/>
    <n v="1316.5"/>
    <n v="2"/>
  </r>
  <r>
    <x v="82"/>
    <n v="10197"/>
    <n v="216"/>
    <x v="18"/>
    <x v="3"/>
    <x v="4"/>
    <x v="45"/>
    <n v="41"/>
    <n v="109.37"/>
    <n v="82.34"/>
    <n v="4484.17"/>
    <n v="3375.94"/>
    <n v="1108.23"/>
    <n v="2"/>
  </r>
  <r>
    <x v="82"/>
    <n v="10197"/>
    <n v="216"/>
    <x v="18"/>
    <x v="3"/>
    <x v="0"/>
    <x v="46"/>
    <n v="47"/>
    <n v="83.2"/>
    <n v="46.91"/>
    <n v="3910.4"/>
    <n v="2204.77"/>
    <n v="1705.63"/>
    <n v="2"/>
  </r>
  <r>
    <x v="82"/>
    <n v="10197"/>
    <n v="216"/>
    <x v="18"/>
    <x v="3"/>
    <x v="0"/>
    <x v="47"/>
    <n v="22"/>
    <n v="67.930000000000007"/>
    <n v="48.64"/>
    <n v="1494.46"/>
    <n v="1070.08"/>
    <n v="424.38"/>
    <n v="2"/>
  </r>
  <r>
    <x v="82"/>
    <n v="10197"/>
    <n v="216"/>
    <x v="18"/>
    <x v="3"/>
    <x v="4"/>
    <x v="48"/>
    <n v="23"/>
    <n v="60"/>
    <n v="34"/>
    <n v="1380"/>
    <n v="782"/>
    <n v="598"/>
    <n v="2"/>
  </r>
  <r>
    <x v="82"/>
    <n v="10197"/>
    <n v="216"/>
    <x v="18"/>
    <x v="3"/>
    <x v="4"/>
    <x v="66"/>
    <n v="24"/>
    <n v="78.75"/>
    <n v="39.83"/>
    <n v="1890"/>
    <n v="955.92"/>
    <n v="934.08"/>
    <n v="2"/>
  </r>
  <r>
    <x v="82"/>
    <n v="10197"/>
    <n v="216"/>
    <x v="18"/>
    <x v="3"/>
    <x v="4"/>
    <x v="50"/>
    <n v="50"/>
    <n v="66.5"/>
    <n v="33.97"/>
    <n v="3325"/>
    <n v="1698.5"/>
    <n v="1626.5"/>
    <n v="2"/>
  </r>
  <r>
    <x v="82"/>
    <n v="10197"/>
    <n v="216"/>
    <x v="18"/>
    <x v="3"/>
    <x v="4"/>
    <x v="51"/>
    <n v="27"/>
    <n v="100.17"/>
    <n v="51.09"/>
    <n v="2704.59"/>
    <n v="1379.43"/>
    <n v="1325.16"/>
    <n v="2"/>
  </r>
  <r>
    <x v="82"/>
    <n v="10197"/>
    <n v="216"/>
    <x v="18"/>
    <x v="3"/>
    <x v="4"/>
    <x v="52"/>
    <n v="35"/>
    <n v="88.39"/>
    <n v="53.63"/>
    <n v="3093.65"/>
    <n v="1877.05"/>
    <n v="1216.5999999999999"/>
    <n v="2"/>
  </r>
  <r>
    <x v="82"/>
    <n v="10197"/>
    <n v="216"/>
    <x v="18"/>
    <x v="3"/>
    <x v="5"/>
    <x v="71"/>
    <n v="29"/>
    <n v="39.729999999999997"/>
    <n v="32.770000000000003"/>
    <n v="1152.17"/>
    <n v="950.33"/>
    <n v="201.84"/>
    <n v="2"/>
  </r>
  <r>
    <x v="82"/>
    <n v="10197"/>
    <n v="216"/>
    <x v="18"/>
    <x v="3"/>
    <x v="4"/>
    <x v="53"/>
    <n v="42"/>
    <n v="48.59"/>
    <n v="33.299999999999997"/>
    <n v="2040.78"/>
    <n v="1398.6"/>
    <n v="642.17999999999995"/>
    <n v="2"/>
  </r>
  <r>
    <x v="82"/>
    <n v="10196"/>
    <n v="455"/>
    <x v="69"/>
    <x v="0"/>
    <x v="1"/>
    <x v="40"/>
    <n v="47"/>
    <n v="203.64"/>
    <n v="95.59"/>
    <n v="9571.08"/>
    <n v="4492.7299999999996"/>
    <n v="5078.3500000000004"/>
    <n v="1"/>
  </r>
  <r>
    <x v="82"/>
    <n v="10196"/>
    <n v="455"/>
    <x v="69"/>
    <x v="0"/>
    <x v="1"/>
    <x v="26"/>
    <n v="24"/>
    <n v="151.08000000000001"/>
    <n v="89.14"/>
    <n v="3625.92"/>
    <n v="2139.36"/>
    <n v="1486.56"/>
    <n v="1"/>
  </r>
  <r>
    <x v="82"/>
    <n v="10196"/>
    <n v="455"/>
    <x v="69"/>
    <x v="0"/>
    <x v="1"/>
    <x v="41"/>
    <n v="38"/>
    <n v="147.07"/>
    <n v="83.05"/>
    <n v="5588.66"/>
    <n v="3155.9"/>
    <n v="2432.7600000000002"/>
    <n v="1"/>
  </r>
  <r>
    <x v="82"/>
    <n v="10196"/>
    <n v="455"/>
    <x v="69"/>
    <x v="0"/>
    <x v="0"/>
    <x v="42"/>
    <n v="49"/>
    <n v="127.03"/>
    <n v="68.3"/>
    <n v="6224.47"/>
    <n v="3346.7"/>
    <n v="2877.77"/>
    <n v="1"/>
  </r>
  <r>
    <x v="82"/>
    <n v="10196"/>
    <n v="455"/>
    <x v="69"/>
    <x v="0"/>
    <x v="3"/>
    <x v="43"/>
    <n v="35"/>
    <n v="81.680000000000007"/>
    <n v="67.56"/>
    <n v="2858.8"/>
    <n v="2364.6"/>
    <n v="494.2"/>
    <n v="1"/>
  </r>
  <r>
    <x v="82"/>
    <n v="10196"/>
    <n v="455"/>
    <x v="69"/>
    <x v="0"/>
    <x v="1"/>
    <x v="31"/>
    <n v="27"/>
    <n v="126.39"/>
    <n v="91.92"/>
    <n v="3412.53"/>
    <n v="2481.84"/>
    <n v="930.69"/>
    <n v="1"/>
  </r>
  <r>
    <x v="82"/>
    <n v="10196"/>
    <n v="455"/>
    <x v="69"/>
    <x v="0"/>
    <x v="3"/>
    <x v="38"/>
    <n v="46"/>
    <n v="56.82"/>
    <n v="37.49"/>
    <n v="2613.7199999999998"/>
    <n v="1724.54"/>
    <n v="889.18"/>
    <n v="1"/>
  </r>
  <r>
    <x v="82"/>
    <n v="10196"/>
    <n v="455"/>
    <x v="69"/>
    <x v="0"/>
    <x v="4"/>
    <x v="49"/>
    <n v="50"/>
    <n v="84.88"/>
    <n v="43.3"/>
    <n v="4244"/>
    <n v="2165"/>
    <n v="2079"/>
    <n v="1"/>
  </r>
  <r>
    <x v="83"/>
    <n v="10198"/>
    <n v="385"/>
    <x v="8"/>
    <x v="6"/>
    <x v="5"/>
    <x v="54"/>
    <n v="42"/>
    <n v="149.81"/>
    <n v="77.27"/>
    <n v="6292.02"/>
    <n v="3245.34"/>
    <n v="3046.68"/>
    <n v="2"/>
  </r>
  <r>
    <x v="83"/>
    <n v="10198"/>
    <n v="385"/>
    <x v="8"/>
    <x v="6"/>
    <x v="5"/>
    <x v="59"/>
    <n v="48"/>
    <n v="60.97"/>
    <n v="34.25"/>
    <n v="2926.56"/>
    <n v="1644"/>
    <n v="1282.56"/>
    <n v="2"/>
  </r>
  <r>
    <x v="83"/>
    <n v="10198"/>
    <n v="385"/>
    <x v="8"/>
    <x v="6"/>
    <x v="0"/>
    <x v="60"/>
    <n v="27"/>
    <n v="61.81"/>
    <n v="26.3"/>
    <n v="1668.87"/>
    <n v="710.1"/>
    <n v="958.77"/>
    <n v="2"/>
  </r>
  <r>
    <x v="83"/>
    <n v="10198"/>
    <n v="385"/>
    <x v="8"/>
    <x v="6"/>
    <x v="5"/>
    <x v="61"/>
    <n v="43"/>
    <n v="65.510000000000005"/>
    <n v="29.34"/>
    <n v="2816.93"/>
    <n v="1261.6199999999999"/>
    <n v="1555.31"/>
    <n v="2"/>
  </r>
  <r>
    <x v="83"/>
    <n v="10198"/>
    <n v="385"/>
    <x v="8"/>
    <x v="6"/>
    <x v="5"/>
    <x v="67"/>
    <n v="42"/>
    <n v="94.73"/>
    <n v="68.8"/>
    <n v="3978.66"/>
    <n v="2889.6"/>
    <n v="1089.06"/>
    <n v="2"/>
  </r>
  <r>
    <x v="83"/>
    <n v="10198"/>
    <n v="385"/>
    <x v="8"/>
    <x v="6"/>
    <x v="5"/>
    <x v="70"/>
    <n v="40"/>
    <n v="74.03"/>
    <n v="36.270000000000003"/>
    <n v="2961.2"/>
    <n v="1450.8"/>
    <n v="1510.4"/>
    <n v="2"/>
  </r>
  <r>
    <x v="84"/>
    <n v="10199"/>
    <n v="475"/>
    <x v="70"/>
    <x v="0"/>
    <x v="0"/>
    <x v="64"/>
    <n v="29"/>
    <n v="37.97"/>
    <n v="27.06"/>
    <n v="1101.1300000000001"/>
    <n v="784.74"/>
    <n v="316.39"/>
    <n v="1"/>
  </r>
  <r>
    <x v="84"/>
    <n v="10199"/>
    <n v="475"/>
    <x v="70"/>
    <x v="0"/>
    <x v="5"/>
    <x v="65"/>
    <n v="48"/>
    <n v="81.290000000000006"/>
    <n v="51.15"/>
    <n v="3901.92"/>
    <n v="2455.1999999999998"/>
    <n v="1446.72"/>
    <n v="1"/>
  </r>
  <r>
    <x v="84"/>
    <n v="10199"/>
    <n v="475"/>
    <x v="70"/>
    <x v="0"/>
    <x v="5"/>
    <x v="69"/>
    <n v="38"/>
    <n v="70.400000000000006"/>
    <n v="54.4"/>
    <n v="2675.2"/>
    <n v="2067.1999999999998"/>
    <n v="608"/>
    <n v="1"/>
  </r>
  <r>
    <x v="84"/>
    <n v="10201"/>
    <n v="129"/>
    <x v="12"/>
    <x v="0"/>
    <x v="6"/>
    <x v="72"/>
    <n v="22"/>
    <n v="82.3"/>
    <n v="48.81"/>
    <n v="1810.6"/>
    <n v="1073.82"/>
    <n v="736.78"/>
    <n v="2"/>
  </r>
  <r>
    <x v="84"/>
    <n v="10201"/>
    <n v="129"/>
    <x v="12"/>
    <x v="0"/>
    <x v="6"/>
    <x v="73"/>
    <n v="24"/>
    <n v="116.56"/>
    <n v="68.989999999999995"/>
    <n v="2797.44"/>
    <n v="1655.76"/>
    <n v="1141.68"/>
    <n v="2"/>
  </r>
  <r>
    <x v="84"/>
    <n v="10201"/>
    <n v="129"/>
    <x v="12"/>
    <x v="0"/>
    <x v="6"/>
    <x v="74"/>
    <n v="49"/>
    <n v="191.72"/>
    <n v="91.02"/>
    <n v="9394.2800000000007"/>
    <n v="4459.9799999999996"/>
    <n v="4934.3"/>
    <n v="2"/>
  </r>
  <r>
    <x v="84"/>
    <n v="10201"/>
    <n v="129"/>
    <x v="12"/>
    <x v="0"/>
    <x v="6"/>
    <x v="75"/>
    <n v="25"/>
    <n v="126.52"/>
    <n v="66.27"/>
    <n v="3163"/>
    <n v="1656.75"/>
    <n v="1506.25"/>
    <n v="2"/>
  </r>
  <r>
    <x v="84"/>
    <n v="10201"/>
    <n v="129"/>
    <x v="12"/>
    <x v="0"/>
    <x v="6"/>
    <x v="76"/>
    <n v="30"/>
    <n v="48.46"/>
    <n v="24.23"/>
    <n v="1453.8"/>
    <n v="726.9"/>
    <n v="726.9"/>
    <n v="2"/>
  </r>
  <r>
    <x v="84"/>
    <n v="10201"/>
    <n v="129"/>
    <x v="12"/>
    <x v="0"/>
    <x v="6"/>
    <x v="77"/>
    <n v="39"/>
    <n v="93.54"/>
    <n v="60.86"/>
    <n v="3648.06"/>
    <n v="2373.54"/>
    <n v="1274.52"/>
    <n v="2"/>
  </r>
  <r>
    <x v="84"/>
    <n v="10201"/>
    <n v="129"/>
    <x v="12"/>
    <x v="0"/>
    <x v="6"/>
    <x v="78"/>
    <n v="25"/>
    <n v="66.27"/>
    <n v="37.32"/>
    <n v="1656.75"/>
    <n v="933"/>
    <n v="723.75"/>
    <n v="2"/>
  </r>
  <r>
    <x v="84"/>
    <n v="10200"/>
    <n v="211"/>
    <x v="64"/>
    <x v="17"/>
    <x v="5"/>
    <x v="55"/>
    <n v="28"/>
    <n v="74.34"/>
    <n v="49"/>
    <n v="2081.52"/>
    <n v="1372"/>
    <n v="709.52"/>
    <n v="2"/>
  </r>
  <r>
    <x v="84"/>
    <n v="10200"/>
    <n v="211"/>
    <x v="64"/>
    <x v="17"/>
    <x v="5"/>
    <x v="58"/>
    <n v="33"/>
    <n v="99.57"/>
    <n v="66.739999999999995"/>
    <n v="3285.81"/>
    <n v="2202.42"/>
    <n v="1083.3900000000001"/>
    <n v="2"/>
  </r>
  <r>
    <x v="84"/>
    <n v="10200"/>
    <n v="211"/>
    <x v="64"/>
    <x v="17"/>
    <x v="5"/>
    <x v="62"/>
    <n v="39"/>
    <n v="70.28"/>
    <n v="36.229999999999997"/>
    <n v="2740.92"/>
    <n v="1412.97"/>
    <n v="1327.95"/>
    <n v="2"/>
  </r>
  <r>
    <x v="84"/>
    <n v="10200"/>
    <n v="211"/>
    <x v="64"/>
    <x v="17"/>
    <x v="6"/>
    <x v="79"/>
    <n v="35"/>
    <n v="80.91"/>
    <n v="66.92"/>
    <n v="2831.85"/>
    <n v="2342.1999999999998"/>
    <n v="489.65"/>
    <n v="2"/>
  </r>
  <r>
    <x v="84"/>
    <n v="10200"/>
    <n v="211"/>
    <x v="64"/>
    <x v="17"/>
    <x v="0"/>
    <x v="63"/>
    <n v="27"/>
    <n v="65.349999999999994"/>
    <n v="33.020000000000003"/>
    <n v="1764.45"/>
    <n v="891.54"/>
    <n v="872.91"/>
    <n v="2"/>
  </r>
  <r>
    <x v="84"/>
    <n v="10200"/>
    <n v="211"/>
    <x v="64"/>
    <x v="17"/>
    <x v="5"/>
    <x v="68"/>
    <n v="39"/>
    <n v="115.09"/>
    <n v="59.33"/>
    <n v="4488.51"/>
    <n v="2313.87"/>
    <n v="2174.64"/>
    <n v="2"/>
  </r>
  <r>
    <x v="85"/>
    <n v="10203"/>
    <n v="141"/>
    <x v="4"/>
    <x v="3"/>
    <x v="1"/>
    <x v="80"/>
    <n v="20"/>
    <n v="161.49"/>
    <n v="95.34"/>
    <n v="3229.8"/>
    <n v="1906.8"/>
    <n v="1323"/>
    <n v="7"/>
  </r>
  <r>
    <x v="85"/>
    <n v="10203"/>
    <n v="141"/>
    <x v="4"/>
    <x v="3"/>
    <x v="1"/>
    <x v="81"/>
    <n v="20"/>
    <n v="111.57"/>
    <n v="75.16"/>
    <n v="2231.4"/>
    <n v="1503.2"/>
    <n v="728.2"/>
    <n v="7"/>
  </r>
  <r>
    <x v="85"/>
    <n v="10203"/>
    <n v="141"/>
    <x v="4"/>
    <x v="3"/>
    <x v="1"/>
    <x v="82"/>
    <n v="44"/>
    <n v="63.84"/>
    <n v="31.92"/>
    <n v="2808.96"/>
    <n v="1404.48"/>
    <n v="1404.48"/>
    <n v="7"/>
  </r>
  <r>
    <x v="85"/>
    <n v="10203"/>
    <n v="141"/>
    <x v="4"/>
    <x v="3"/>
    <x v="1"/>
    <x v="83"/>
    <n v="47"/>
    <n v="115.16"/>
    <n v="58.73"/>
    <n v="5412.52"/>
    <n v="2760.31"/>
    <n v="2652.21"/>
    <n v="7"/>
  </r>
  <r>
    <x v="85"/>
    <n v="10203"/>
    <n v="141"/>
    <x v="4"/>
    <x v="3"/>
    <x v="1"/>
    <x v="84"/>
    <n v="45"/>
    <n v="73.150000000000006"/>
    <n v="53.9"/>
    <n v="3291.75"/>
    <n v="2425.5"/>
    <n v="866.25"/>
    <n v="7"/>
  </r>
  <r>
    <x v="85"/>
    <n v="10203"/>
    <n v="141"/>
    <x v="4"/>
    <x v="3"/>
    <x v="1"/>
    <x v="30"/>
    <n v="48"/>
    <n v="157.49"/>
    <n v="77.900000000000006"/>
    <n v="7559.52"/>
    <n v="3739.2"/>
    <n v="3820.32"/>
    <n v="7"/>
  </r>
  <r>
    <x v="85"/>
    <n v="10203"/>
    <n v="141"/>
    <x v="4"/>
    <x v="3"/>
    <x v="1"/>
    <x v="85"/>
    <n v="33"/>
    <n v="66.739999999999995"/>
    <n v="49.05"/>
    <n v="2202.42"/>
    <n v="1618.65"/>
    <n v="583.77"/>
    <n v="7"/>
  </r>
  <r>
    <x v="85"/>
    <n v="10203"/>
    <n v="141"/>
    <x v="4"/>
    <x v="3"/>
    <x v="1"/>
    <x v="86"/>
    <n v="32"/>
    <n v="127.88"/>
    <n v="73.489999999999995"/>
    <n v="4092.16"/>
    <n v="2351.6799999999998"/>
    <n v="1740.48"/>
    <n v="7"/>
  </r>
  <r>
    <x v="85"/>
    <n v="10203"/>
    <n v="141"/>
    <x v="4"/>
    <x v="3"/>
    <x v="1"/>
    <x v="100"/>
    <n v="21"/>
    <n v="33.229999999999997"/>
    <n v="16.239999999999998"/>
    <n v="697.83"/>
    <n v="341.04"/>
    <n v="356.79"/>
    <n v="7"/>
  </r>
  <r>
    <x v="85"/>
    <n v="10203"/>
    <n v="141"/>
    <x v="4"/>
    <x v="3"/>
    <x v="1"/>
    <x v="90"/>
    <n v="34"/>
    <n v="56.94"/>
    <n v="38.58"/>
    <n v="1935.96"/>
    <n v="1311.72"/>
    <n v="624.24"/>
    <n v="7"/>
  </r>
  <r>
    <x v="85"/>
    <n v="10203"/>
    <n v="141"/>
    <x v="4"/>
    <x v="3"/>
    <x v="1"/>
    <x v="91"/>
    <n v="47"/>
    <n v="140.43"/>
    <n v="98.3"/>
    <n v="6600.21"/>
    <n v="4620.1000000000004"/>
    <n v="1980.11"/>
    <n v="7"/>
  </r>
  <r>
    <x v="85"/>
    <n v="10204"/>
    <n v="151"/>
    <x v="26"/>
    <x v="0"/>
    <x v="1"/>
    <x v="96"/>
    <n v="42"/>
    <n v="114.65"/>
    <n v="83.51"/>
    <n v="4815.3"/>
    <n v="3507.42"/>
    <n v="1307.8800000000001"/>
    <n v="2"/>
  </r>
  <r>
    <x v="85"/>
    <n v="10204"/>
    <n v="151"/>
    <x v="26"/>
    <x v="0"/>
    <x v="1"/>
    <x v="101"/>
    <n v="40"/>
    <n v="113.24"/>
    <n v="65.959999999999994"/>
    <n v="4529.6000000000004"/>
    <n v="2638.4"/>
    <n v="1891.2"/>
    <n v="2"/>
  </r>
  <r>
    <x v="85"/>
    <n v="10204"/>
    <n v="151"/>
    <x v="26"/>
    <x v="0"/>
    <x v="0"/>
    <x v="0"/>
    <n v="33"/>
    <n v="153"/>
    <n v="86.7"/>
    <n v="5049"/>
    <n v="2861.1"/>
    <n v="2187.9"/>
    <n v="2"/>
  </r>
  <r>
    <x v="85"/>
    <n v="10204"/>
    <n v="151"/>
    <x v="26"/>
    <x v="0"/>
    <x v="1"/>
    <x v="97"/>
    <n v="38"/>
    <n v="133.72"/>
    <n v="93.89"/>
    <n v="5081.3599999999997"/>
    <n v="3567.82"/>
    <n v="1513.54"/>
    <n v="2"/>
  </r>
  <r>
    <x v="85"/>
    <n v="10204"/>
    <n v="151"/>
    <x v="26"/>
    <x v="0"/>
    <x v="0"/>
    <x v="1"/>
    <n v="23"/>
    <n v="59.33"/>
    <n v="33.299999999999997"/>
    <n v="1364.59"/>
    <n v="765.9"/>
    <n v="598.69000000000005"/>
    <n v="2"/>
  </r>
  <r>
    <x v="85"/>
    <n v="10204"/>
    <n v="151"/>
    <x v="26"/>
    <x v="0"/>
    <x v="0"/>
    <x v="4"/>
    <n v="26"/>
    <n v="119.5"/>
    <n v="58.48"/>
    <n v="3107"/>
    <n v="1520.48"/>
    <n v="1586.52"/>
    <n v="2"/>
  </r>
  <r>
    <x v="85"/>
    <n v="10204"/>
    <n v="151"/>
    <x v="26"/>
    <x v="0"/>
    <x v="1"/>
    <x v="98"/>
    <n v="27"/>
    <n v="106.92"/>
    <n v="56.76"/>
    <n v="2886.84"/>
    <n v="1532.52"/>
    <n v="1354.32"/>
    <n v="2"/>
  </r>
  <r>
    <x v="85"/>
    <n v="10204"/>
    <n v="151"/>
    <x v="26"/>
    <x v="0"/>
    <x v="1"/>
    <x v="99"/>
    <n v="35"/>
    <n v="132.80000000000001"/>
    <n v="62.16"/>
    <n v="4648"/>
    <n v="2175.6"/>
    <n v="2472.4"/>
    <n v="2"/>
  </r>
  <r>
    <x v="85"/>
    <n v="10204"/>
    <n v="151"/>
    <x v="26"/>
    <x v="0"/>
    <x v="0"/>
    <x v="2"/>
    <n v="29"/>
    <n v="83.75"/>
    <n v="43.26"/>
    <n v="2428.75"/>
    <n v="1254.54"/>
    <n v="1174.21"/>
    <n v="2"/>
  </r>
  <r>
    <x v="85"/>
    <n v="10204"/>
    <n v="151"/>
    <x v="26"/>
    <x v="0"/>
    <x v="1"/>
    <x v="102"/>
    <n v="45"/>
    <n v="69.84"/>
    <n v="34.21"/>
    <n v="3142.8"/>
    <n v="1539.45"/>
    <n v="1603.35"/>
    <n v="2"/>
  </r>
  <r>
    <x v="85"/>
    <n v="10204"/>
    <n v="151"/>
    <x v="26"/>
    <x v="0"/>
    <x v="1"/>
    <x v="103"/>
    <n v="20"/>
    <n v="69.819999999999993"/>
    <n v="49.24"/>
    <n v="1396.4"/>
    <n v="984.8"/>
    <n v="411.6"/>
    <n v="2"/>
  </r>
  <r>
    <x v="85"/>
    <n v="10204"/>
    <n v="151"/>
    <x v="26"/>
    <x v="0"/>
    <x v="1"/>
    <x v="104"/>
    <n v="45"/>
    <n v="46.79"/>
    <n v="29.18"/>
    <n v="2105.5500000000002"/>
    <n v="1313.1"/>
    <n v="792.45"/>
    <n v="2"/>
  </r>
  <r>
    <x v="85"/>
    <n v="10204"/>
    <n v="151"/>
    <x v="26"/>
    <x v="0"/>
    <x v="1"/>
    <x v="105"/>
    <n v="47"/>
    <n v="79.06"/>
    <n v="47.25"/>
    <n v="3715.82"/>
    <n v="2220.75"/>
    <n v="1495.07"/>
    <n v="2"/>
  </r>
  <r>
    <x v="85"/>
    <n v="10204"/>
    <n v="151"/>
    <x v="26"/>
    <x v="0"/>
    <x v="1"/>
    <x v="106"/>
    <n v="42"/>
    <n v="112.74"/>
    <n v="72.819999999999993"/>
    <n v="4735.08"/>
    <n v="3058.44"/>
    <n v="1676.64"/>
    <n v="2"/>
  </r>
  <r>
    <x v="85"/>
    <n v="10204"/>
    <n v="151"/>
    <x v="26"/>
    <x v="0"/>
    <x v="1"/>
    <x v="107"/>
    <n v="40"/>
    <n v="84.75"/>
    <n v="50.51"/>
    <n v="3390"/>
    <n v="2020.4"/>
    <n v="1369.6"/>
    <n v="2"/>
  </r>
  <r>
    <x v="85"/>
    <n v="10204"/>
    <n v="151"/>
    <x v="26"/>
    <x v="0"/>
    <x v="1"/>
    <x v="108"/>
    <n v="48"/>
    <n v="104.94"/>
    <n v="62.11"/>
    <n v="5037.12"/>
    <n v="2981.28"/>
    <n v="2055.84"/>
    <n v="2"/>
  </r>
  <r>
    <x v="85"/>
    <n v="10204"/>
    <n v="151"/>
    <x v="26"/>
    <x v="0"/>
    <x v="0"/>
    <x v="3"/>
    <n v="39"/>
    <n v="34.880000000000003"/>
    <n v="21.75"/>
    <n v="1360.32"/>
    <n v="848.25"/>
    <n v="512.07000000000005"/>
    <n v="2"/>
  </r>
  <r>
    <x v="85"/>
    <n v="10202"/>
    <n v="357"/>
    <x v="71"/>
    <x v="14"/>
    <x v="6"/>
    <x v="87"/>
    <n v="30"/>
    <n v="55.33"/>
    <n v="32.950000000000003"/>
    <n v="1659.9"/>
    <n v="988.5"/>
    <n v="671.4"/>
    <n v="1"/>
  </r>
  <r>
    <x v="85"/>
    <n v="10202"/>
    <n v="357"/>
    <x v="71"/>
    <x v="14"/>
    <x v="1"/>
    <x v="88"/>
    <n v="43"/>
    <n v="124.99"/>
    <n v="69.930000000000007"/>
    <n v="5374.57"/>
    <n v="3006.99"/>
    <n v="2367.58"/>
    <n v="1"/>
  </r>
  <r>
    <x v="85"/>
    <n v="10202"/>
    <n v="357"/>
    <x v="71"/>
    <x v="14"/>
    <x v="6"/>
    <x v="89"/>
    <n v="50"/>
    <n v="56.1"/>
    <n v="47.1"/>
    <n v="2805"/>
    <n v="2355"/>
    <n v="450"/>
    <n v="1"/>
  </r>
  <r>
    <x v="85"/>
    <n v="10202"/>
    <n v="357"/>
    <x v="71"/>
    <x v="14"/>
    <x v="1"/>
    <x v="92"/>
    <n v="50"/>
    <n v="75.180000000000007"/>
    <n v="32.33"/>
    <n v="3759"/>
    <n v="1616.5"/>
    <n v="2142.5"/>
    <n v="1"/>
  </r>
  <r>
    <x v="85"/>
    <n v="10202"/>
    <n v="357"/>
    <x v="71"/>
    <x v="14"/>
    <x v="6"/>
    <x v="93"/>
    <n v="27"/>
    <n v="33.39"/>
    <n v="24.14"/>
    <n v="901.53"/>
    <n v="651.78"/>
    <n v="249.75"/>
    <n v="1"/>
  </r>
  <r>
    <x v="85"/>
    <n v="10202"/>
    <n v="357"/>
    <x v="71"/>
    <x v="14"/>
    <x v="6"/>
    <x v="94"/>
    <n v="31"/>
    <n v="81.64"/>
    <n v="56.13"/>
    <n v="2530.84"/>
    <n v="1740.03"/>
    <n v="790.81"/>
    <n v="1"/>
  </r>
  <r>
    <x v="85"/>
    <n v="10202"/>
    <n v="357"/>
    <x v="71"/>
    <x v="14"/>
    <x v="6"/>
    <x v="95"/>
    <n v="40"/>
    <n v="79.73"/>
    <n v="34.17"/>
    <n v="3189.2"/>
    <n v="1366.8"/>
    <n v="1822.4"/>
    <n v="1"/>
  </r>
  <r>
    <x v="86"/>
    <n v="10205"/>
    <n v="141"/>
    <x v="4"/>
    <x v="3"/>
    <x v="0"/>
    <x v="8"/>
    <n v="36"/>
    <n v="98.63"/>
    <n v="60.62"/>
    <n v="3550.68"/>
    <n v="2182.3200000000002"/>
    <n v="1368.36"/>
    <n v="8"/>
  </r>
  <r>
    <x v="86"/>
    <n v="10205"/>
    <n v="141"/>
    <x v="4"/>
    <x v="3"/>
    <x v="0"/>
    <x v="9"/>
    <n v="48"/>
    <n v="45.82"/>
    <n v="24.26"/>
    <n v="2199.36"/>
    <n v="1164.48"/>
    <n v="1034.8800000000001"/>
    <n v="8"/>
  </r>
  <r>
    <x v="86"/>
    <n v="10205"/>
    <n v="141"/>
    <x v="4"/>
    <x v="3"/>
    <x v="0"/>
    <x v="5"/>
    <n v="40"/>
    <n v="138.38"/>
    <n v="72.56"/>
    <n v="5535.2"/>
    <n v="2902.4"/>
    <n v="2632.8"/>
    <n v="8"/>
  </r>
  <r>
    <x v="86"/>
    <n v="10205"/>
    <n v="141"/>
    <x v="4"/>
    <x v="3"/>
    <x v="0"/>
    <x v="6"/>
    <n v="32"/>
    <n v="27.88"/>
    <n v="22.57"/>
    <n v="892.16"/>
    <n v="722.24"/>
    <n v="169.92"/>
    <n v="8"/>
  </r>
  <r>
    <x v="86"/>
    <n v="10205"/>
    <n v="141"/>
    <x v="4"/>
    <x v="3"/>
    <x v="0"/>
    <x v="7"/>
    <n v="24"/>
    <n v="36.74"/>
    <n v="20.61"/>
    <n v="881.76"/>
    <n v="494.64"/>
    <n v="387.12"/>
    <n v="8"/>
  </r>
  <r>
    <x v="87"/>
    <n v="10206"/>
    <n v="202"/>
    <x v="72"/>
    <x v="16"/>
    <x v="1"/>
    <x v="10"/>
    <n v="47"/>
    <n v="203.59"/>
    <n v="98.58"/>
    <n v="9568.73"/>
    <n v="4633.26"/>
    <n v="4935.47"/>
    <n v="1"/>
  </r>
  <r>
    <x v="87"/>
    <n v="10206"/>
    <n v="202"/>
    <x v="72"/>
    <x v="16"/>
    <x v="2"/>
    <x v="12"/>
    <n v="28"/>
    <n v="109.34"/>
    <n v="77.900000000000006"/>
    <n v="3061.52"/>
    <n v="2181.1999999999998"/>
    <n v="880.32"/>
    <n v="1"/>
  </r>
  <r>
    <x v="87"/>
    <n v="10206"/>
    <n v="202"/>
    <x v="72"/>
    <x v="16"/>
    <x v="2"/>
    <x v="13"/>
    <n v="34"/>
    <n v="115.5"/>
    <n v="58.33"/>
    <n v="3927"/>
    <n v="1983.22"/>
    <n v="1943.78"/>
    <n v="1"/>
  </r>
  <r>
    <x v="87"/>
    <n v="10206"/>
    <n v="202"/>
    <x v="72"/>
    <x v="16"/>
    <x v="0"/>
    <x v="15"/>
    <n v="37"/>
    <n v="98.27"/>
    <n v="60.78"/>
    <n v="3635.99"/>
    <n v="2248.86"/>
    <n v="1387.13"/>
    <n v="1"/>
  </r>
  <r>
    <x v="87"/>
    <n v="10206"/>
    <n v="202"/>
    <x v="72"/>
    <x v="16"/>
    <x v="0"/>
    <x v="16"/>
    <n v="28"/>
    <n v="51.84"/>
    <n v="34.35"/>
    <n v="1451.52"/>
    <n v="961.8"/>
    <n v="489.72"/>
    <n v="1"/>
  </r>
  <r>
    <x v="87"/>
    <n v="10206"/>
    <n v="202"/>
    <x v="72"/>
    <x v="16"/>
    <x v="0"/>
    <x v="17"/>
    <n v="30"/>
    <n v="102.63"/>
    <n v="60.74"/>
    <n v="3078.9"/>
    <n v="1822.2"/>
    <n v="1256.7"/>
    <n v="1"/>
  </r>
  <r>
    <x v="87"/>
    <n v="10206"/>
    <n v="202"/>
    <x v="72"/>
    <x v="16"/>
    <x v="0"/>
    <x v="18"/>
    <n v="28"/>
    <n v="99.21"/>
    <n v="57.54"/>
    <n v="2777.88"/>
    <n v="1611.12"/>
    <n v="1166.76"/>
    <n v="1"/>
  </r>
  <r>
    <x v="87"/>
    <n v="10206"/>
    <n v="202"/>
    <x v="72"/>
    <x v="16"/>
    <x v="0"/>
    <x v="20"/>
    <n v="21"/>
    <n v="45.78"/>
    <n v="23.14"/>
    <n v="961.38"/>
    <n v="485.94"/>
    <n v="475.44"/>
    <n v="1"/>
  </r>
  <r>
    <x v="87"/>
    <n v="10206"/>
    <n v="202"/>
    <x v="72"/>
    <x v="16"/>
    <x v="0"/>
    <x v="22"/>
    <n v="33"/>
    <n v="95.44"/>
    <n v="57.46"/>
    <n v="3149.52"/>
    <n v="1896.18"/>
    <n v="1253.3399999999999"/>
    <n v="1"/>
  </r>
  <r>
    <x v="87"/>
    <n v="10206"/>
    <n v="202"/>
    <x v="72"/>
    <x v="16"/>
    <x v="2"/>
    <x v="24"/>
    <n v="36"/>
    <n v="54.94"/>
    <n v="33.61"/>
    <n v="1977.84"/>
    <n v="1209.96"/>
    <n v="767.88"/>
    <n v="1"/>
  </r>
  <r>
    <x v="87"/>
    <n v="10206"/>
    <n v="202"/>
    <x v="72"/>
    <x v="16"/>
    <x v="1"/>
    <x v="25"/>
    <n v="33"/>
    <n v="89.01"/>
    <n v="46.53"/>
    <n v="2937.33"/>
    <n v="1535.49"/>
    <n v="1401.84"/>
    <n v="1"/>
  </r>
  <r>
    <x v="88"/>
    <n v="10207"/>
    <n v="495"/>
    <x v="73"/>
    <x v="0"/>
    <x v="1"/>
    <x v="11"/>
    <n v="31"/>
    <n v="125.58"/>
    <n v="103.42"/>
    <n v="3892.98"/>
    <n v="3206.02"/>
    <n v="686.96"/>
    <n v="1"/>
  </r>
  <r>
    <x v="88"/>
    <n v="10207"/>
    <n v="495"/>
    <x v="73"/>
    <x v="0"/>
    <x v="2"/>
    <x v="27"/>
    <n v="34"/>
    <n v="95.99"/>
    <n v="55.7"/>
    <n v="3263.66"/>
    <n v="1893.8"/>
    <n v="1369.86"/>
    <n v="1"/>
  </r>
  <r>
    <x v="88"/>
    <n v="10207"/>
    <n v="495"/>
    <x v="73"/>
    <x v="0"/>
    <x v="1"/>
    <x v="28"/>
    <n v="44"/>
    <n v="140.81"/>
    <n v="101.51"/>
    <n v="6195.64"/>
    <n v="4466.4399999999996"/>
    <n v="1729.2"/>
    <n v="1"/>
  </r>
  <r>
    <x v="88"/>
    <n v="10207"/>
    <n v="495"/>
    <x v="73"/>
    <x v="0"/>
    <x v="2"/>
    <x v="29"/>
    <n v="43"/>
    <n v="109.23"/>
    <n v="74.86"/>
    <n v="4696.8900000000003"/>
    <n v="3218.98"/>
    <n v="1477.91"/>
    <n v="1"/>
  </r>
  <r>
    <x v="88"/>
    <n v="10207"/>
    <n v="495"/>
    <x v="73"/>
    <x v="0"/>
    <x v="2"/>
    <x v="14"/>
    <n v="37"/>
    <n v="60.77"/>
    <n v="24.92"/>
    <n v="2248.4899999999998"/>
    <n v="922.04"/>
    <n v="1326.45"/>
    <n v="1"/>
  </r>
  <r>
    <x v="88"/>
    <n v="10207"/>
    <n v="495"/>
    <x v="73"/>
    <x v="0"/>
    <x v="1"/>
    <x v="30"/>
    <n v="25"/>
    <n v="140.55000000000001"/>
    <n v="77.900000000000006"/>
    <n v="3513.75"/>
    <n v="1947.5"/>
    <n v="1566.25"/>
    <n v="1"/>
  </r>
  <r>
    <x v="88"/>
    <n v="10207"/>
    <n v="495"/>
    <x v="73"/>
    <x v="0"/>
    <x v="1"/>
    <x v="31"/>
    <n v="40"/>
    <n v="143.62"/>
    <n v="91.92"/>
    <n v="5744.8"/>
    <n v="3676.8"/>
    <n v="2068"/>
    <n v="1"/>
  </r>
  <r>
    <x v="88"/>
    <n v="10207"/>
    <n v="495"/>
    <x v="73"/>
    <x v="0"/>
    <x v="2"/>
    <x v="19"/>
    <n v="47"/>
    <n v="119.87"/>
    <n v="84.76"/>
    <n v="5633.89"/>
    <n v="3983.72"/>
    <n v="1650.17"/>
    <n v="1"/>
  </r>
  <r>
    <x v="88"/>
    <n v="10207"/>
    <n v="495"/>
    <x v="73"/>
    <x v="0"/>
    <x v="1"/>
    <x v="32"/>
    <n v="49"/>
    <n v="57.8"/>
    <n v="32.369999999999997"/>
    <n v="2832.2"/>
    <n v="1586.13"/>
    <n v="1246.07"/>
    <n v="1"/>
  </r>
  <r>
    <x v="88"/>
    <n v="10207"/>
    <n v="495"/>
    <x v="73"/>
    <x v="0"/>
    <x v="2"/>
    <x v="21"/>
    <n v="46"/>
    <n v="127.79"/>
    <n v="61.34"/>
    <n v="5878.34"/>
    <n v="2821.64"/>
    <n v="3056.7"/>
    <n v="1"/>
  </r>
  <r>
    <x v="88"/>
    <n v="10207"/>
    <n v="495"/>
    <x v="73"/>
    <x v="0"/>
    <x v="1"/>
    <x v="33"/>
    <n v="42"/>
    <n v="30.76"/>
    <n v="15.91"/>
    <n v="1291.92"/>
    <n v="668.22"/>
    <n v="623.70000000000005"/>
    <n v="1"/>
  </r>
  <r>
    <x v="88"/>
    <n v="10207"/>
    <n v="495"/>
    <x v="73"/>
    <x v="0"/>
    <x v="1"/>
    <x v="34"/>
    <n v="28"/>
    <n v="108.82"/>
    <n v="69.78"/>
    <n v="3046.96"/>
    <n v="1953.84"/>
    <n v="1093.1199999999999"/>
    <n v="1"/>
  </r>
  <r>
    <x v="88"/>
    <n v="10207"/>
    <n v="495"/>
    <x v="73"/>
    <x v="0"/>
    <x v="2"/>
    <x v="23"/>
    <n v="49"/>
    <n v="84.75"/>
    <n v="53.93"/>
    <n v="4152.75"/>
    <n v="2642.57"/>
    <n v="1510.18"/>
    <n v="1"/>
  </r>
  <r>
    <x v="88"/>
    <n v="10207"/>
    <n v="495"/>
    <x v="73"/>
    <x v="0"/>
    <x v="2"/>
    <x v="35"/>
    <n v="27"/>
    <n v="51.95"/>
    <n v="25.98"/>
    <n v="1402.65"/>
    <n v="701.46"/>
    <n v="701.19"/>
    <n v="1"/>
  </r>
  <r>
    <x v="88"/>
    <n v="10207"/>
    <n v="495"/>
    <x v="73"/>
    <x v="0"/>
    <x v="3"/>
    <x v="36"/>
    <n v="45"/>
    <n v="55.3"/>
    <n v="26.72"/>
    <n v="2488.5"/>
    <n v="1202.4000000000001"/>
    <n v="1286.0999999999999"/>
    <n v="1"/>
  </r>
  <r>
    <x v="88"/>
    <n v="10207"/>
    <n v="495"/>
    <x v="73"/>
    <x v="0"/>
    <x v="2"/>
    <x v="37"/>
    <n v="28"/>
    <n v="106.49"/>
    <n v="68.290000000000006"/>
    <n v="2981.72"/>
    <n v="1912.12"/>
    <n v="1069.5999999999999"/>
    <n v="1"/>
  </r>
  <r>
    <x v="89"/>
    <n v="10208"/>
    <n v="146"/>
    <x v="68"/>
    <x v="9"/>
    <x v="1"/>
    <x v="40"/>
    <n v="46"/>
    <n v="176.63"/>
    <n v="95.59"/>
    <n v="8124.98"/>
    <n v="4397.1400000000003"/>
    <n v="3727.84"/>
    <n v="2"/>
  </r>
  <r>
    <x v="89"/>
    <n v="10208"/>
    <n v="146"/>
    <x v="68"/>
    <x v="9"/>
    <x v="1"/>
    <x v="26"/>
    <n v="26"/>
    <n v="128.41999999999999"/>
    <n v="89.14"/>
    <n v="3338.92"/>
    <n v="2317.64"/>
    <n v="1021.28"/>
    <n v="2"/>
  </r>
  <r>
    <x v="89"/>
    <n v="10208"/>
    <n v="146"/>
    <x v="68"/>
    <x v="9"/>
    <x v="1"/>
    <x v="41"/>
    <n v="20"/>
    <n v="152.26"/>
    <n v="83.05"/>
    <n v="3045.2"/>
    <n v="1661"/>
    <n v="1384.2"/>
    <n v="2"/>
  </r>
  <r>
    <x v="89"/>
    <n v="10208"/>
    <n v="146"/>
    <x v="68"/>
    <x v="9"/>
    <x v="0"/>
    <x v="42"/>
    <n v="24"/>
    <n v="117.47"/>
    <n v="68.3"/>
    <n v="2819.28"/>
    <n v="1639.2"/>
    <n v="1180.08"/>
    <n v="2"/>
  </r>
  <r>
    <x v="89"/>
    <n v="10208"/>
    <n v="146"/>
    <x v="68"/>
    <x v="9"/>
    <x v="3"/>
    <x v="43"/>
    <n v="48"/>
    <n v="96.81"/>
    <n v="67.56"/>
    <n v="4646.88"/>
    <n v="3242.88"/>
    <n v="1404"/>
    <n v="2"/>
  </r>
  <r>
    <x v="89"/>
    <n v="10208"/>
    <n v="146"/>
    <x v="68"/>
    <x v="9"/>
    <x v="0"/>
    <x v="44"/>
    <n v="45"/>
    <n v="72.849999999999994"/>
    <n v="52.66"/>
    <n v="3278.25"/>
    <n v="2369.6999999999998"/>
    <n v="908.55"/>
    <n v="2"/>
  </r>
  <r>
    <x v="89"/>
    <n v="10208"/>
    <n v="146"/>
    <x v="68"/>
    <x v="9"/>
    <x v="4"/>
    <x v="45"/>
    <n v="35"/>
    <n v="122.89"/>
    <n v="82.34"/>
    <n v="4301.1499999999996"/>
    <n v="2881.9"/>
    <n v="1419.25"/>
    <n v="2"/>
  </r>
  <r>
    <x v="89"/>
    <n v="10208"/>
    <n v="146"/>
    <x v="68"/>
    <x v="9"/>
    <x v="0"/>
    <x v="46"/>
    <n v="20"/>
    <n v="80.540000000000006"/>
    <n v="46.91"/>
    <n v="1610.8"/>
    <n v="938.2"/>
    <n v="672.6"/>
    <n v="2"/>
  </r>
  <r>
    <x v="89"/>
    <n v="10208"/>
    <n v="146"/>
    <x v="68"/>
    <x v="9"/>
    <x v="3"/>
    <x v="38"/>
    <n v="30"/>
    <n v="57.99"/>
    <n v="37.49"/>
    <n v="1739.7"/>
    <n v="1124.7"/>
    <n v="615"/>
    <n v="2"/>
  </r>
  <r>
    <x v="89"/>
    <n v="10208"/>
    <n v="146"/>
    <x v="68"/>
    <x v="9"/>
    <x v="4"/>
    <x v="48"/>
    <n v="38"/>
    <n v="56.67"/>
    <n v="34"/>
    <n v="2153.46"/>
    <n v="1292"/>
    <n v="861.46"/>
    <n v="2"/>
  </r>
  <r>
    <x v="89"/>
    <n v="10208"/>
    <n v="146"/>
    <x v="68"/>
    <x v="9"/>
    <x v="4"/>
    <x v="49"/>
    <n v="40"/>
    <n v="73.62"/>
    <n v="43.3"/>
    <n v="2944.8"/>
    <n v="1732"/>
    <n v="1212.8"/>
    <n v="2"/>
  </r>
  <r>
    <x v="89"/>
    <n v="10208"/>
    <n v="146"/>
    <x v="68"/>
    <x v="9"/>
    <x v="4"/>
    <x v="50"/>
    <n v="46"/>
    <n v="63.61"/>
    <n v="33.97"/>
    <n v="2926.06"/>
    <n v="1562.62"/>
    <n v="1363.44"/>
    <n v="2"/>
  </r>
  <r>
    <x v="89"/>
    <n v="10208"/>
    <n v="146"/>
    <x v="68"/>
    <x v="9"/>
    <x v="4"/>
    <x v="51"/>
    <n v="37"/>
    <n v="95.16"/>
    <n v="51.09"/>
    <n v="3520.92"/>
    <n v="1890.33"/>
    <n v="1630.59"/>
    <n v="2"/>
  </r>
  <r>
    <x v="89"/>
    <n v="10208"/>
    <n v="146"/>
    <x v="68"/>
    <x v="9"/>
    <x v="4"/>
    <x v="52"/>
    <n v="33"/>
    <n v="95.34"/>
    <n v="53.63"/>
    <n v="3146.22"/>
    <n v="1769.79"/>
    <n v="1376.43"/>
    <n v="2"/>
  </r>
  <r>
    <x v="89"/>
    <n v="10208"/>
    <n v="146"/>
    <x v="68"/>
    <x v="9"/>
    <x v="4"/>
    <x v="53"/>
    <n v="42"/>
    <n v="48.05"/>
    <n v="33.299999999999997"/>
    <n v="2018.1"/>
    <n v="1398.6"/>
    <n v="619.5"/>
    <n v="2"/>
  </r>
  <r>
    <x v="90"/>
    <n v="10209"/>
    <n v="347"/>
    <x v="50"/>
    <x v="0"/>
    <x v="1"/>
    <x v="39"/>
    <n v="39"/>
    <n v="129.19999999999999"/>
    <n v="85.68"/>
    <n v="5038.8"/>
    <n v="3341.52"/>
    <n v="1697.28"/>
    <n v="2"/>
  </r>
  <r>
    <x v="90"/>
    <n v="10209"/>
    <n v="347"/>
    <x v="50"/>
    <x v="0"/>
    <x v="4"/>
    <x v="56"/>
    <n v="28"/>
    <n v="82.58"/>
    <n v="51.61"/>
    <n v="2312.2399999999998"/>
    <n v="1445.08"/>
    <n v="867.16"/>
    <n v="2"/>
  </r>
  <r>
    <x v="90"/>
    <n v="10209"/>
    <n v="347"/>
    <x v="50"/>
    <x v="0"/>
    <x v="0"/>
    <x v="57"/>
    <n v="20"/>
    <n v="97.4"/>
    <n v="64.58"/>
    <n v="1948"/>
    <n v="1291.5999999999999"/>
    <n v="656.4"/>
    <n v="2"/>
  </r>
  <r>
    <x v="90"/>
    <n v="10209"/>
    <n v="347"/>
    <x v="50"/>
    <x v="0"/>
    <x v="5"/>
    <x v="59"/>
    <n v="43"/>
    <n v="66.45"/>
    <n v="34.25"/>
    <n v="2857.35"/>
    <n v="1472.75"/>
    <n v="1384.6"/>
    <n v="2"/>
  </r>
  <r>
    <x v="90"/>
    <n v="10209"/>
    <n v="347"/>
    <x v="50"/>
    <x v="0"/>
    <x v="0"/>
    <x v="60"/>
    <n v="36"/>
    <n v="56.55"/>
    <n v="26.3"/>
    <n v="2035.8"/>
    <n v="946.8"/>
    <n v="1089"/>
    <n v="2"/>
  </r>
  <r>
    <x v="90"/>
    <n v="10209"/>
    <n v="347"/>
    <x v="50"/>
    <x v="0"/>
    <x v="0"/>
    <x v="47"/>
    <n v="22"/>
    <n v="79.67"/>
    <n v="48.64"/>
    <n v="1752.74"/>
    <n v="1070.08"/>
    <n v="682.66"/>
    <n v="2"/>
  </r>
  <r>
    <x v="90"/>
    <n v="10209"/>
    <n v="347"/>
    <x v="50"/>
    <x v="0"/>
    <x v="4"/>
    <x v="66"/>
    <n v="33"/>
    <n v="90.52"/>
    <n v="39.83"/>
    <n v="2987.16"/>
    <n v="1314.39"/>
    <n v="1672.77"/>
    <n v="2"/>
  </r>
  <r>
    <x v="90"/>
    <n v="10209"/>
    <n v="347"/>
    <x v="50"/>
    <x v="0"/>
    <x v="5"/>
    <x v="71"/>
    <n v="48"/>
    <n v="44.2"/>
    <n v="32.770000000000003"/>
    <n v="2121.6"/>
    <n v="1572.96"/>
    <n v="548.64"/>
    <n v="2"/>
  </r>
  <r>
    <x v="91"/>
    <n v="10210"/>
    <n v="177"/>
    <x v="74"/>
    <x v="18"/>
    <x v="6"/>
    <x v="73"/>
    <n v="23"/>
    <n v="112.99"/>
    <n v="68.989999999999995"/>
    <n v="2598.77"/>
    <n v="1586.77"/>
    <n v="1012"/>
    <n v="1"/>
  </r>
  <r>
    <x v="91"/>
    <n v="10210"/>
    <n v="177"/>
    <x v="74"/>
    <x v="18"/>
    <x v="6"/>
    <x v="74"/>
    <n v="34"/>
    <n v="189.79"/>
    <n v="91.02"/>
    <n v="6452.86"/>
    <n v="3094.68"/>
    <n v="3358.18"/>
    <n v="1"/>
  </r>
  <r>
    <x v="91"/>
    <n v="10210"/>
    <n v="177"/>
    <x v="74"/>
    <x v="18"/>
    <x v="5"/>
    <x v="54"/>
    <n v="31"/>
    <n v="141.91999999999999"/>
    <n v="77.27"/>
    <n v="4399.5200000000004"/>
    <n v="2395.37"/>
    <n v="2004.15"/>
    <n v="1"/>
  </r>
  <r>
    <x v="91"/>
    <n v="10210"/>
    <n v="177"/>
    <x v="74"/>
    <x v="18"/>
    <x v="5"/>
    <x v="55"/>
    <n v="50"/>
    <n v="68.430000000000007"/>
    <n v="49"/>
    <n v="3421.5"/>
    <n v="2450"/>
    <n v="971.5"/>
    <n v="1"/>
  </r>
  <r>
    <x v="91"/>
    <n v="10210"/>
    <n v="177"/>
    <x v="74"/>
    <x v="18"/>
    <x v="6"/>
    <x v="76"/>
    <n v="40"/>
    <n v="51.48"/>
    <n v="24.23"/>
    <n v="2059.1999999999998"/>
    <n v="969.2"/>
    <n v="1090"/>
    <n v="1"/>
  </r>
  <r>
    <x v="91"/>
    <n v="10210"/>
    <n v="177"/>
    <x v="74"/>
    <x v="18"/>
    <x v="5"/>
    <x v="58"/>
    <n v="27"/>
    <n v="100.67"/>
    <n v="66.739999999999995"/>
    <n v="2718.09"/>
    <n v="1801.98"/>
    <n v="916.11"/>
    <n v="1"/>
  </r>
  <r>
    <x v="91"/>
    <n v="10210"/>
    <n v="177"/>
    <x v="74"/>
    <x v="18"/>
    <x v="6"/>
    <x v="78"/>
    <n v="30"/>
    <n v="63.22"/>
    <n v="37.32"/>
    <n v="1896.6"/>
    <n v="1119.5999999999999"/>
    <n v="777"/>
    <n v="1"/>
  </r>
  <r>
    <x v="91"/>
    <n v="10210"/>
    <n v="177"/>
    <x v="74"/>
    <x v="18"/>
    <x v="5"/>
    <x v="61"/>
    <n v="29"/>
    <n v="56.64"/>
    <n v="29.34"/>
    <n v="1642.56"/>
    <n v="850.86"/>
    <n v="791.7"/>
    <n v="1"/>
  </r>
  <r>
    <x v="91"/>
    <n v="10210"/>
    <n v="177"/>
    <x v="74"/>
    <x v="18"/>
    <x v="5"/>
    <x v="62"/>
    <n v="40"/>
    <n v="68.099999999999994"/>
    <n v="36.229999999999997"/>
    <n v="2724"/>
    <n v="1449.2"/>
    <n v="1274.8"/>
    <n v="1"/>
  </r>
  <r>
    <x v="91"/>
    <n v="10210"/>
    <n v="177"/>
    <x v="74"/>
    <x v="18"/>
    <x v="6"/>
    <x v="79"/>
    <n v="46"/>
    <n v="84.91"/>
    <n v="66.92"/>
    <n v="3905.86"/>
    <n v="3078.32"/>
    <n v="827.54"/>
    <n v="1"/>
  </r>
  <r>
    <x v="91"/>
    <n v="10210"/>
    <n v="177"/>
    <x v="74"/>
    <x v="18"/>
    <x v="0"/>
    <x v="63"/>
    <n v="39"/>
    <n v="57.1"/>
    <n v="33.020000000000003"/>
    <n v="2226.9"/>
    <n v="1287.78"/>
    <n v="939.12"/>
    <n v="1"/>
  </r>
  <r>
    <x v="91"/>
    <n v="10210"/>
    <n v="177"/>
    <x v="74"/>
    <x v="18"/>
    <x v="0"/>
    <x v="64"/>
    <n v="43"/>
    <n v="43.2"/>
    <n v="27.06"/>
    <n v="1857.6"/>
    <n v="1163.58"/>
    <n v="694.02"/>
    <n v="1"/>
  </r>
  <r>
    <x v="91"/>
    <n v="10210"/>
    <n v="177"/>
    <x v="74"/>
    <x v="18"/>
    <x v="5"/>
    <x v="65"/>
    <n v="21"/>
    <n v="87.69"/>
    <n v="51.15"/>
    <n v="1841.49"/>
    <n v="1074.1500000000001"/>
    <n v="767.34"/>
    <n v="1"/>
  </r>
  <r>
    <x v="91"/>
    <n v="10210"/>
    <n v="177"/>
    <x v="74"/>
    <x v="18"/>
    <x v="5"/>
    <x v="67"/>
    <n v="26"/>
    <n v="93.74"/>
    <n v="68.8"/>
    <n v="2437.2399999999998"/>
    <n v="1788.8"/>
    <n v="648.44000000000005"/>
    <n v="1"/>
  </r>
  <r>
    <x v="91"/>
    <n v="10210"/>
    <n v="177"/>
    <x v="74"/>
    <x v="18"/>
    <x v="5"/>
    <x v="68"/>
    <n v="25"/>
    <n v="98.48"/>
    <n v="59.33"/>
    <n v="2462"/>
    <n v="1483.25"/>
    <n v="978.75"/>
    <n v="1"/>
  </r>
  <r>
    <x v="91"/>
    <n v="10210"/>
    <n v="177"/>
    <x v="74"/>
    <x v="18"/>
    <x v="5"/>
    <x v="69"/>
    <n v="31"/>
    <n v="64"/>
    <n v="54.4"/>
    <n v="1984"/>
    <n v="1686.4"/>
    <n v="297.60000000000002"/>
    <n v="1"/>
  </r>
  <r>
    <x v="91"/>
    <n v="10210"/>
    <n v="177"/>
    <x v="74"/>
    <x v="18"/>
    <x v="5"/>
    <x v="70"/>
    <n v="42"/>
    <n v="60.7"/>
    <n v="36.270000000000003"/>
    <n v="2549.4"/>
    <n v="1523.34"/>
    <n v="1026.06"/>
    <n v="1"/>
  </r>
  <r>
    <x v="92"/>
    <n v="10211"/>
    <n v="406"/>
    <x v="75"/>
    <x v="9"/>
    <x v="6"/>
    <x v="72"/>
    <n v="41"/>
    <n v="90.92"/>
    <n v="48.81"/>
    <n v="3727.72"/>
    <n v="2001.21"/>
    <n v="1726.51"/>
    <n v="1"/>
  </r>
  <r>
    <x v="92"/>
    <n v="10211"/>
    <n v="406"/>
    <x v="75"/>
    <x v="9"/>
    <x v="1"/>
    <x v="80"/>
    <n v="41"/>
    <n v="171.22"/>
    <n v="95.34"/>
    <n v="7020.02"/>
    <n v="3908.94"/>
    <n v="3111.08"/>
    <n v="1"/>
  </r>
  <r>
    <x v="92"/>
    <n v="10211"/>
    <n v="406"/>
    <x v="75"/>
    <x v="9"/>
    <x v="6"/>
    <x v="75"/>
    <n v="36"/>
    <n v="126.52"/>
    <n v="66.27"/>
    <n v="4554.72"/>
    <n v="2385.7199999999998"/>
    <n v="2169"/>
    <n v="1"/>
  </r>
  <r>
    <x v="92"/>
    <n v="10211"/>
    <n v="406"/>
    <x v="75"/>
    <x v="9"/>
    <x v="1"/>
    <x v="82"/>
    <n v="28"/>
    <n v="79.8"/>
    <n v="31.92"/>
    <n v="2234.4"/>
    <n v="893.76"/>
    <n v="1340.64"/>
    <n v="1"/>
  </r>
  <r>
    <x v="92"/>
    <n v="10211"/>
    <n v="406"/>
    <x v="75"/>
    <x v="9"/>
    <x v="1"/>
    <x v="85"/>
    <n v="35"/>
    <n v="73.17"/>
    <n v="49.05"/>
    <n v="2560.9499999999998"/>
    <n v="1716.75"/>
    <n v="844.2"/>
    <n v="1"/>
  </r>
  <r>
    <x v="92"/>
    <n v="10211"/>
    <n v="406"/>
    <x v="75"/>
    <x v="9"/>
    <x v="1"/>
    <x v="86"/>
    <n v="28"/>
    <n v="138.16999999999999"/>
    <n v="73.489999999999995"/>
    <n v="3868.76"/>
    <n v="2057.7199999999998"/>
    <n v="1811.04"/>
    <n v="1"/>
  </r>
  <r>
    <x v="92"/>
    <n v="10211"/>
    <n v="406"/>
    <x v="75"/>
    <x v="9"/>
    <x v="6"/>
    <x v="87"/>
    <n v="46"/>
    <n v="60.3"/>
    <n v="32.950000000000003"/>
    <n v="2773.8"/>
    <n v="1515.7"/>
    <n v="1258.0999999999999"/>
    <n v="1"/>
  </r>
  <r>
    <x v="92"/>
    <n v="10211"/>
    <n v="406"/>
    <x v="75"/>
    <x v="9"/>
    <x v="1"/>
    <x v="88"/>
    <n v="41"/>
    <n v="148.80000000000001"/>
    <n v="69.930000000000007"/>
    <n v="6100.8"/>
    <n v="2867.13"/>
    <n v="3233.67"/>
    <n v="1"/>
  </r>
  <r>
    <x v="92"/>
    <n v="10211"/>
    <n v="406"/>
    <x v="75"/>
    <x v="9"/>
    <x v="6"/>
    <x v="77"/>
    <n v="25"/>
    <n v="109.32"/>
    <n v="60.86"/>
    <n v="2733"/>
    <n v="1521.5"/>
    <n v="1211.5"/>
    <n v="1"/>
  </r>
  <r>
    <x v="92"/>
    <n v="10211"/>
    <n v="406"/>
    <x v="75"/>
    <x v="9"/>
    <x v="6"/>
    <x v="89"/>
    <n v="21"/>
    <n v="62.33"/>
    <n v="47.1"/>
    <n v="1308.93"/>
    <n v="989.1"/>
    <n v="319.83"/>
    <n v="1"/>
  </r>
  <r>
    <x v="92"/>
    <n v="10211"/>
    <n v="406"/>
    <x v="75"/>
    <x v="9"/>
    <x v="1"/>
    <x v="90"/>
    <n v="48"/>
    <n v="52.66"/>
    <n v="38.58"/>
    <n v="2527.6799999999998"/>
    <n v="1851.84"/>
    <n v="675.84"/>
    <n v="1"/>
  </r>
  <r>
    <x v="92"/>
    <n v="10211"/>
    <n v="406"/>
    <x v="75"/>
    <x v="9"/>
    <x v="1"/>
    <x v="92"/>
    <n v="22"/>
    <n v="80.84"/>
    <n v="32.33"/>
    <n v="1778.48"/>
    <n v="711.26"/>
    <n v="1067.22"/>
    <n v="1"/>
  </r>
  <r>
    <x v="92"/>
    <n v="10211"/>
    <n v="406"/>
    <x v="75"/>
    <x v="9"/>
    <x v="6"/>
    <x v="93"/>
    <n v="41"/>
    <n v="39.83"/>
    <n v="24.14"/>
    <n v="1633.03"/>
    <n v="989.74"/>
    <n v="643.29"/>
    <n v="1"/>
  </r>
  <r>
    <x v="92"/>
    <n v="10211"/>
    <n v="406"/>
    <x v="75"/>
    <x v="9"/>
    <x v="6"/>
    <x v="94"/>
    <n v="37"/>
    <n v="94.91"/>
    <n v="56.13"/>
    <n v="3511.67"/>
    <n v="2076.81"/>
    <n v="1434.86"/>
    <n v="1"/>
  </r>
  <r>
    <x v="92"/>
    <n v="10211"/>
    <n v="406"/>
    <x v="75"/>
    <x v="9"/>
    <x v="6"/>
    <x v="95"/>
    <n v="40"/>
    <n v="70.78"/>
    <n v="34.17"/>
    <n v="2831.2"/>
    <n v="1366.8"/>
    <n v="1464.4"/>
    <n v="1"/>
  </r>
  <r>
    <x v="93"/>
    <n v="10212"/>
    <n v="141"/>
    <x v="4"/>
    <x v="3"/>
    <x v="1"/>
    <x v="81"/>
    <n v="39"/>
    <n v="99.82"/>
    <n v="75.16"/>
    <n v="3892.98"/>
    <n v="2931.24"/>
    <n v="961.74"/>
    <n v="9"/>
  </r>
  <r>
    <x v="93"/>
    <n v="10212"/>
    <n v="141"/>
    <x v="4"/>
    <x v="3"/>
    <x v="1"/>
    <x v="83"/>
    <n v="33"/>
    <n v="110.55"/>
    <n v="58.73"/>
    <n v="3648.15"/>
    <n v="1938.09"/>
    <n v="1710.06"/>
    <n v="9"/>
  </r>
  <r>
    <x v="93"/>
    <n v="10212"/>
    <n v="141"/>
    <x v="4"/>
    <x v="3"/>
    <x v="1"/>
    <x v="96"/>
    <n v="29"/>
    <n v="117.48"/>
    <n v="83.51"/>
    <n v="3406.92"/>
    <n v="2421.79"/>
    <n v="985.13"/>
    <n v="9"/>
  </r>
  <r>
    <x v="93"/>
    <n v="10212"/>
    <n v="141"/>
    <x v="4"/>
    <x v="3"/>
    <x v="1"/>
    <x v="101"/>
    <n v="38"/>
    <n v="105.77"/>
    <n v="65.959999999999994"/>
    <n v="4019.26"/>
    <n v="2506.48"/>
    <n v="1512.78"/>
    <n v="9"/>
  </r>
  <r>
    <x v="93"/>
    <n v="10212"/>
    <n v="141"/>
    <x v="4"/>
    <x v="3"/>
    <x v="1"/>
    <x v="84"/>
    <n v="20"/>
    <n v="64.680000000000007"/>
    <n v="53.9"/>
    <n v="1293.5999999999999"/>
    <n v="1078"/>
    <n v="215.6"/>
    <n v="9"/>
  </r>
  <r>
    <x v="93"/>
    <n v="10212"/>
    <n v="141"/>
    <x v="4"/>
    <x v="3"/>
    <x v="1"/>
    <x v="97"/>
    <n v="41"/>
    <n v="133.72"/>
    <n v="93.89"/>
    <n v="5482.52"/>
    <n v="3849.49"/>
    <n v="1633.03"/>
    <n v="9"/>
  </r>
  <r>
    <x v="93"/>
    <n v="10212"/>
    <n v="141"/>
    <x v="4"/>
    <x v="3"/>
    <x v="1"/>
    <x v="98"/>
    <n v="40"/>
    <n v="117.48"/>
    <n v="56.76"/>
    <n v="4699.2"/>
    <n v="2270.4"/>
    <n v="2428.8000000000002"/>
    <n v="9"/>
  </r>
  <r>
    <x v="93"/>
    <n v="10212"/>
    <n v="141"/>
    <x v="4"/>
    <x v="3"/>
    <x v="1"/>
    <x v="30"/>
    <n v="40"/>
    <n v="155.79"/>
    <n v="77.900000000000006"/>
    <n v="6231.6"/>
    <n v="3116"/>
    <n v="3115.6"/>
    <n v="9"/>
  </r>
  <r>
    <x v="93"/>
    <n v="10212"/>
    <n v="141"/>
    <x v="4"/>
    <x v="3"/>
    <x v="1"/>
    <x v="99"/>
    <n v="45"/>
    <n v="115.85"/>
    <n v="62.16"/>
    <n v="5213.25"/>
    <n v="2797.2"/>
    <n v="2416.0500000000002"/>
    <n v="9"/>
  </r>
  <r>
    <x v="93"/>
    <n v="10212"/>
    <n v="141"/>
    <x v="4"/>
    <x v="3"/>
    <x v="1"/>
    <x v="103"/>
    <n v="41"/>
    <n v="61.73"/>
    <n v="49.24"/>
    <n v="2530.9299999999998"/>
    <n v="2018.84"/>
    <n v="512.09"/>
    <n v="9"/>
  </r>
  <r>
    <x v="93"/>
    <n v="10212"/>
    <n v="141"/>
    <x v="4"/>
    <x v="3"/>
    <x v="1"/>
    <x v="104"/>
    <n v="45"/>
    <n v="43.27"/>
    <n v="29.18"/>
    <n v="1947.15"/>
    <n v="1313.1"/>
    <n v="634.04999999999995"/>
    <n v="9"/>
  </r>
  <r>
    <x v="93"/>
    <n v="10212"/>
    <n v="141"/>
    <x v="4"/>
    <x v="3"/>
    <x v="1"/>
    <x v="105"/>
    <n v="45"/>
    <n v="81.78"/>
    <n v="47.25"/>
    <n v="3680.1"/>
    <n v="2126.25"/>
    <n v="1553.85"/>
    <n v="9"/>
  </r>
  <r>
    <x v="93"/>
    <n v="10212"/>
    <n v="141"/>
    <x v="4"/>
    <x v="3"/>
    <x v="1"/>
    <x v="100"/>
    <n v="34"/>
    <n v="37.380000000000003"/>
    <n v="16.239999999999998"/>
    <n v="1270.92"/>
    <n v="552.16"/>
    <n v="718.76"/>
    <n v="9"/>
  </r>
  <r>
    <x v="93"/>
    <n v="10212"/>
    <n v="141"/>
    <x v="4"/>
    <x v="3"/>
    <x v="1"/>
    <x v="107"/>
    <n v="27"/>
    <n v="77.91"/>
    <n v="50.51"/>
    <n v="2103.5700000000002"/>
    <n v="1363.77"/>
    <n v="739.8"/>
    <n v="9"/>
  </r>
  <r>
    <x v="93"/>
    <n v="10212"/>
    <n v="141"/>
    <x v="4"/>
    <x v="3"/>
    <x v="1"/>
    <x v="108"/>
    <n v="46"/>
    <n v="100.66"/>
    <n v="62.11"/>
    <n v="4630.3599999999997"/>
    <n v="2857.06"/>
    <n v="1773.3"/>
    <n v="9"/>
  </r>
  <r>
    <x v="93"/>
    <n v="10212"/>
    <n v="141"/>
    <x v="4"/>
    <x v="3"/>
    <x v="1"/>
    <x v="91"/>
    <n v="49"/>
    <n v="117.96"/>
    <n v="98.3"/>
    <n v="5780.04"/>
    <n v="4816.7"/>
    <n v="963.34"/>
    <n v="9"/>
  </r>
  <r>
    <x v="94"/>
    <n v="10213"/>
    <n v="489"/>
    <x v="63"/>
    <x v="7"/>
    <x v="0"/>
    <x v="2"/>
    <n v="38"/>
    <n v="84.67"/>
    <n v="43.26"/>
    <n v="3217.46"/>
    <n v="1643.88"/>
    <n v="1573.58"/>
    <n v="2"/>
  </r>
  <r>
    <x v="94"/>
    <n v="10213"/>
    <n v="489"/>
    <x v="63"/>
    <x v="7"/>
    <x v="1"/>
    <x v="102"/>
    <n v="25"/>
    <n v="58.44"/>
    <n v="34.21"/>
    <n v="1461"/>
    <n v="855.25"/>
    <n v="605.75"/>
    <n v="2"/>
  </r>
  <r>
    <x v="94"/>
    <n v="10213"/>
    <n v="489"/>
    <x v="63"/>
    <x v="7"/>
    <x v="1"/>
    <x v="106"/>
    <n v="27"/>
    <n v="97.48"/>
    <n v="72.819999999999993"/>
    <n v="2631.96"/>
    <n v="1966.14"/>
    <n v="665.82"/>
    <n v="2"/>
  </r>
  <r>
    <x v="95"/>
    <n v="10214"/>
    <n v="458"/>
    <x v="25"/>
    <x v="3"/>
    <x v="0"/>
    <x v="0"/>
    <n v="30"/>
    <n v="166.6"/>
    <n v="86.7"/>
    <n v="4998"/>
    <n v="2601"/>
    <n v="2397"/>
    <n v="2"/>
  </r>
  <r>
    <x v="95"/>
    <n v="10214"/>
    <n v="458"/>
    <x v="25"/>
    <x v="3"/>
    <x v="0"/>
    <x v="1"/>
    <n v="21"/>
    <n v="53.28"/>
    <n v="33.299999999999997"/>
    <n v="1118.8800000000001"/>
    <n v="699.3"/>
    <n v="419.58"/>
    <n v="2"/>
  </r>
  <r>
    <x v="95"/>
    <n v="10214"/>
    <n v="458"/>
    <x v="25"/>
    <x v="3"/>
    <x v="0"/>
    <x v="4"/>
    <n v="27"/>
    <n v="125.86"/>
    <n v="58.48"/>
    <n v="3398.22"/>
    <n v="1578.96"/>
    <n v="1819.26"/>
    <n v="2"/>
  </r>
  <r>
    <x v="95"/>
    <n v="10214"/>
    <n v="458"/>
    <x v="25"/>
    <x v="3"/>
    <x v="0"/>
    <x v="5"/>
    <n v="50"/>
    <n v="167.06"/>
    <n v="72.56"/>
    <n v="8353"/>
    <n v="3628"/>
    <n v="4725"/>
    <n v="2"/>
  </r>
  <r>
    <x v="95"/>
    <n v="10214"/>
    <n v="458"/>
    <x v="25"/>
    <x v="3"/>
    <x v="0"/>
    <x v="6"/>
    <n v="20"/>
    <n v="32.19"/>
    <n v="22.57"/>
    <n v="643.79999999999995"/>
    <n v="451.4"/>
    <n v="192.4"/>
    <n v="2"/>
  </r>
  <r>
    <x v="95"/>
    <n v="10214"/>
    <n v="458"/>
    <x v="25"/>
    <x v="3"/>
    <x v="0"/>
    <x v="7"/>
    <n v="49"/>
    <n v="39.869999999999997"/>
    <n v="20.61"/>
    <n v="1953.63"/>
    <n v="1009.89"/>
    <n v="943.74"/>
    <n v="2"/>
  </r>
  <r>
    <x v="95"/>
    <n v="10214"/>
    <n v="458"/>
    <x v="25"/>
    <x v="3"/>
    <x v="0"/>
    <x v="3"/>
    <n v="44"/>
    <n v="38.57"/>
    <n v="21.75"/>
    <n v="1697.08"/>
    <n v="957"/>
    <n v="740.08"/>
    <n v="2"/>
  </r>
  <r>
    <x v="96"/>
    <n v="10215"/>
    <n v="475"/>
    <x v="70"/>
    <x v="0"/>
    <x v="1"/>
    <x v="10"/>
    <n v="35"/>
    <n v="205.73"/>
    <n v="98.58"/>
    <n v="7200.55"/>
    <n v="3450.3"/>
    <n v="3750.25"/>
    <n v="2"/>
  </r>
  <r>
    <x v="96"/>
    <n v="10215"/>
    <n v="475"/>
    <x v="70"/>
    <x v="0"/>
    <x v="2"/>
    <x v="13"/>
    <n v="46"/>
    <n v="100.34"/>
    <n v="58.33"/>
    <n v="4615.6400000000003"/>
    <n v="2683.18"/>
    <n v="1932.46"/>
    <n v="2"/>
  </r>
  <r>
    <x v="96"/>
    <n v="10215"/>
    <n v="475"/>
    <x v="70"/>
    <x v="0"/>
    <x v="0"/>
    <x v="8"/>
    <n v="27"/>
    <n v="92.47"/>
    <n v="60.62"/>
    <n v="2496.69"/>
    <n v="1636.74"/>
    <n v="859.95"/>
    <n v="2"/>
  </r>
  <r>
    <x v="96"/>
    <n v="10215"/>
    <n v="475"/>
    <x v="70"/>
    <x v="0"/>
    <x v="0"/>
    <x v="9"/>
    <n v="33"/>
    <n v="53.91"/>
    <n v="24.26"/>
    <n v="1779.03"/>
    <n v="800.58"/>
    <n v="978.45"/>
    <n v="2"/>
  </r>
  <r>
    <x v="96"/>
    <n v="10215"/>
    <n v="475"/>
    <x v="70"/>
    <x v="0"/>
    <x v="0"/>
    <x v="15"/>
    <n v="49"/>
    <n v="97.26"/>
    <n v="60.78"/>
    <n v="4765.74"/>
    <n v="2978.22"/>
    <n v="1787.52"/>
    <n v="2"/>
  </r>
  <r>
    <x v="96"/>
    <n v="10215"/>
    <n v="475"/>
    <x v="70"/>
    <x v="0"/>
    <x v="0"/>
    <x v="16"/>
    <n v="31"/>
    <n v="56.21"/>
    <n v="34.35"/>
    <n v="1742.51"/>
    <n v="1064.8499999999999"/>
    <n v="677.66"/>
    <n v="2"/>
  </r>
  <r>
    <x v="96"/>
    <n v="10215"/>
    <n v="475"/>
    <x v="70"/>
    <x v="0"/>
    <x v="0"/>
    <x v="17"/>
    <n v="49"/>
    <n v="89.01"/>
    <n v="60.74"/>
    <n v="4361.49"/>
    <n v="2976.26"/>
    <n v="1385.23"/>
    <n v="2"/>
  </r>
  <r>
    <x v="96"/>
    <n v="10215"/>
    <n v="475"/>
    <x v="70"/>
    <x v="0"/>
    <x v="0"/>
    <x v="18"/>
    <n v="41"/>
    <n v="84.33"/>
    <n v="57.54"/>
    <n v="3457.53"/>
    <n v="2359.14"/>
    <n v="1098.3900000000001"/>
    <n v="2"/>
  </r>
  <r>
    <x v="96"/>
    <n v="10215"/>
    <n v="475"/>
    <x v="70"/>
    <x v="0"/>
    <x v="0"/>
    <x v="20"/>
    <n v="46"/>
    <n v="42.76"/>
    <n v="23.14"/>
    <n v="1966.96"/>
    <n v="1064.44"/>
    <n v="902.52"/>
    <n v="2"/>
  </r>
  <r>
    <x v="96"/>
    <n v="10215"/>
    <n v="475"/>
    <x v="70"/>
    <x v="0"/>
    <x v="0"/>
    <x v="22"/>
    <n v="39"/>
    <n v="94.47"/>
    <n v="57.46"/>
    <n v="3684.33"/>
    <n v="2240.94"/>
    <n v="1443.39"/>
    <n v="2"/>
  </r>
  <r>
    <x v="97"/>
    <n v="10216"/>
    <n v="256"/>
    <x v="76"/>
    <x v="9"/>
    <x v="2"/>
    <x v="12"/>
    <n v="43"/>
    <n v="133.94"/>
    <n v="77.900000000000006"/>
    <n v="5759.42"/>
    <n v="3349.7"/>
    <n v="2409.7199999999998"/>
    <n v="1"/>
  </r>
  <r>
    <x v="98"/>
    <n v="10217"/>
    <n v="166"/>
    <x v="77"/>
    <x v="11"/>
    <x v="1"/>
    <x v="11"/>
    <n v="48"/>
    <n v="132.97"/>
    <n v="103.42"/>
    <n v="6382.56"/>
    <n v="4964.16"/>
    <n v="1418.4"/>
    <n v="1"/>
  </r>
  <r>
    <x v="98"/>
    <n v="10217"/>
    <n v="166"/>
    <x v="77"/>
    <x v="11"/>
    <x v="2"/>
    <x v="14"/>
    <n v="35"/>
    <n v="58.34"/>
    <n v="24.92"/>
    <n v="2041.9"/>
    <n v="872.2"/>
    <n v="1169.7"/>
    <n v="1"/>
  </r>
  <r>
    <x v="98"/>
    <n v="10217"/>
    <n v="166"/>
    <x v="77"/>
    <x v="11"/>
    <x v="2"/>
    <x v="19"/>
    <n v="38"/>
    <n v="118.66"/>
    <n v="84.76"/>
    <n v="4509.08"/>
    <n v="3220.88"/>
    <n v="1288.2"/>
    <n v="1"/>
  </r>
  <r>
    <x v="98"/>
    <n v="10217"/>
    <n v="166"/>
    <x v="77"/>
    <x v="11"/>
    <x v="2"/>
    <x v="21"/>
    <n v="28"/>
    <n v="103.51"/>
    <n v="61.34"/>
    <n v="2898.28"/>
    <n v="1717.52"/>
    <n v="1180.76"/>
    <n v="1"/>
  </r>
  <r>
    <x v="98"/>
    <n v="10217"/>
    <n v="166"/>
    <x v="77"/>
    <x v="11"/>
    <x v="2"/>
    <x v="23"/>
    <n v="21"/>
    <n v="78.97"/>
    <n v="53.93"/>
    <n v="1658.37"/>
    <n v="1132.53"/>
    <n v="525.84"/>
    <n v="1"/>
  </r>
  <r>
    <x v="98"/>
    <n v="10217"/>
    <n v="166"/>
    <x v="77"/>
    <x v="11"/>
    <x v="2"/>
    <x v="24"/>
    <n v="39"/>
    <n v="56.24"/>
    <n v="33.61"/>
    <n v="2193.36"/>
    <n v="1310.79"/>
    <n v="882.57"/>
    <n v="1"/>
  </r>
  <r>
    <x v="98"/>
    <n v="10217"/>
    <n v="166"/>
    <x v="77"/>
    <x v="11"/>
    <x v="1"/>
    <x v="25"/>
    <n v="31"/>
    <n v="90.02"/>
    <n v="46.53"/>
    <n v="2790.62"/>
    <n v="1442.43"/>
    <n v="1348.19"/>
    <n v="1"/>
  </r>
  <r>
    <x v="99"/>
    <n v="10218"/>
    <n v="473"/>
    <x v="48"/>
    <x v="5"/>
    <x v="2"/>
    <x v="29"/>
    <n v="22"/>
    <n v="110.46"/>
    <n v="74.86"/>
    <n v="2430.12"/>
    <n v="1646.92"/>
    <n v="783.2"/>
    <n v="2"/>
  </r>
  <r>
    <x v="99"/>
    <n v="10218"/>
    <n v="473"/>
    <x v="48"/>
    <x v="5"/>
    <x v="1"/>
    <x v="30"/>
    <n v="34"/>
    <n v="152.41"/>
    <n v="77.900000000000006"/>
    <n v="5181.9399999999996"/>
    <n v="2648.6"/>
    <n v="2533.34"/>
    <n v="2"/>
  </r>
  <r>
    <x v="100"/>
    <n v="10219"/>
    <n v="487"/>
    <x v="41"/>
    <x v="0"/>
    <x v="2"/>
    <x v="27"/>
    <n v="48"/>
    <n v="94.8"/>
    <n v="55.7"/>
    <n v="4550.3999999999996"/>
    <n v="2673.6"/>
    <n v="1876.8"/>
    <n v="2"/>
  </r>
  <r>
    <x v="100"/>
    <n v="10219"/>
    <n v="487"/>
    <x v="41"/>
    <x v="0"/>
    <x v="1"/>
    <x v="28"/>
    <n v="43"/>
    <n v="132.62"/>
    <n v="101.51"/>
    <n v="5702.66"/>
    <n v="4364.93"/>
    <n v="1337.73"/>
    <n v="2"/>
  </r>
  <r>
    <x v="100"/>
    <n v="10219"/>
    <n v="487"/>
    <x v="41"/>
    <x v="0"/>
    <x v="1"/>
    <x v="33"/>
    <n v="21"/>
    <n v="31.12"/>
    <n v="15.91"/>
    <n v="653.52"/>
    <n v="334.11"/>
    <n v="319.41000000000003"/>
    <n v="2"/>
  </r>
  <r>
    <x v="100"/>
    <n v="10219"/>
    <n v="487"/>
    <x v="41"/>
    <x v="0"/>
    <x v="2"/>
    <x v="35"/>
    <n v="35"/>
    <n v="47.62"/>
    <n v="25.98"/>
    <n v="1666.7"/>
    <n v="909.3"/>
    <n v="757.4"/>
    <n v="2"/>
  </r>
  <r>
    <x v="101"/>
    <n v="10220"/>
    <n v="189"/>
    <x v="78"/>
    <x v="19"/>
    <x v="1"/>
    <x v="40"/>
    <n v="32"/>
    <n v="189.1"/>
    <n v="95.59"/>
    <n v="6051.2"/>
    <n v="3058.88"/>
    <n v="2992.32"/>
    <n v="1"/>
  </r>
  <r>
    <x v="101"/>
    <n v="10220"/>
    <n v="189"/>
    <x v="78"/>
    <x v="19"/>
    <x v="1"/>
    <x v="26"/>
    <n v="30"/>
    <n v="151.08000000000001"/>
    <n v="89.14"/>
    <n v="4532.3999999999996"/>
    <n v="2674.2"/>
    <n v="1858.2"/>
    <n v="1"/>
  </r>
  <r>
    <x v="101"/>
    <n v="10220"/>
    <n v="189"/>
    <x v="78"/>
    <x v="19"/>
    <x v="1"/>
    <x v="41"/>
    <n v="27"/>
    <n v="166.1"/>
    <n v="83.05"/>
    <n v="4484.7"/>
    <n v="2242.35"/>
    <n v="2242.35"/>
    <n v="1"/>
  </r>
  <r>
    <x v="101"/>
    <n v="10220"/>
    <n v="189"/>
    <x v="78"/>
    <x v="19"/>
    <x v="1"/>
    <x v="31"/>
    <n v="50"/>
    <n v="126.39"/>
    <n v="91.92"/>
    <n v="6319.5"/>
    <n v="4596"/>
    <n v="1723.5"/>
    <n v="1"/>
  </r>
  <r>
    <x v="101"/>
    <n v="10220"/>
    <n v="189"/>
    <x v="78"/>
    <x v="19"/>
    <x v="1"/>
    <x v="32"/>
    <n v="26"/>
    <n v="48.55"/>
    <n v="32.369999999999997"/>
    <n v="1262.3"/>
    <n v="841.62"/>
    <n v="420.68"/>
    <n v="1"/>
  </r>
  <r>
    <x v="101"/>
    <n v="10220"/>
    <n v="189"/>
    <x v="78"/>
    <x v="19"/>
    <x v="1"/>
    <x v="34"/>
    <n v="37"/>
    <n v="101.72"/>
    <n v="69.78"/>
    <n v="3763.64"/>
    <n v="2581.86"/>
    <n v="1181.78"/>
    <n v="1"/>
  </r>
  <r>
    <x v="101"/>
    <n v="10220"/>
    <n v="189"/>
    <x v="78"/>
    <x v="19"/>
    <x v="3"/>
    <x v="36"/>
    <n v="20"/>
    <n v="49.71"/>
    <n v="26.72"/>
    <n v="994.2"/>
    <n v="534.4"/>
    <n v="459.8"/>
    <n v="1"/>
  </r>
  <r>
    <x v="101"/>
    <n v="10220"/>
    <n v="189"/>
    <x v="78"/>
    <x v="19"/>
    <x v="2"/>
    <x v="37"/>
    <n v="37"/>
    <n v="92.6"/>
    <n v="68.290000000000006"/>
    <n v="3426.2"/>
    <n v="2526.73"/>
    <n v="899.47"/>
    <n v="1"/>
  </r>
  <r>
    <x v="101"/>
    <n v="10220"/>
    <n v="189"/>
    <x v="78"/>
    <x v="19"/>
    <x v="3"/>
    <x v="38"/>
    <n v="30"/>
    <n v="56.82"/>
    <n v="37.49"/>
    <n v="1704.6"/>
    <n v="1124.7"/>
    <n v="579.9"/>
    <n v="1"/>
  </r>
  <r>
    <x v="102"/>
    <n v="10221"/>
    <n v="314"/>
    <x v="79"/>
    <x v="10"/>
    <x v="0"/>
    <x v="42"/>
    <n v="33"/>
    <n v="133.86000000000001"/>
    <n v="68.3"/>
    <n v="4417.38"/>
    <n v="2253.9"/>
    <n v="2163.48"/>
    <n v="1"/>
  </r>
  <r>
    <x v="102"/>
    <n v="10221"/>
    <n v="314"/>
    <x v="79"/>
    <x v="10"/>
    <x v="3"/>
    <x v="43"/>
    <n v="23"/>
    <n v="89.75"/>
    <n v="67.56"/>
    <n v="2064.25"/>
    <n v="1553.88"/>
    <n v="510.37"/>
    <n v="1"/>
  </r>
  <r>
    <x v="102"/>
    <n v="10221"/>
    <n v="314"/>
    <x v="79"/>
    <x v="10"/>
    <x v="0"/>
    <x v="44"/>
    <n v="39"/>
    <n v="84.26"/>
    <n v="52.66"/>
    <n v="3286.14"/>
    <n v="2053.7399999999998"/>
    <n v="1232.4000000000001"/>
    <n v="1"/>
  </r>
  <r>
    <x v="102"/>
    <n v="10221"/>
    <n v="314"/>
    <x v="79"/>
    <x v="10"/>
    <x v="4"/>
    <x v="45"/>
    <n v="49"/>
    <n v="113.06"/>
    <n v="82.34"/>
    <n v="5539.94"/>
    <n v="4034.66"/>
    <n v="1505.28"/>
    <n v="1"/>
  </r>
  <r>
    <x v="102"/>
    <n v="10221"/>
    <n v="314"/>
    <x v="79"/>
    <x v="10"/>
    <x v="4"/>
    <x v="49"/>
    <n v="23"/>
    <n v="69.290000000000006"/>
    <n v="43.3"/>
    <n v="1593.67"/>
    <n v="995.9"/>
    <n v="597.77"/>
    <n v="1"/>
  </r>
  <r>
    <x v="103"/>
    <n v="10222"/>
    <n v="239"/>
    <x v="80"/>
    <x v="0"/>
    <x v="1"/>
    <x v="39"/>
    <n v="49"/>
    <n v="133.28"/>
    <n v="85.68"/>
    <n v="6530.72"/>
    <n v="4198.32"/>
    <n v="2332.4"/>
    <n v="1"/>
  </r>
  <r>
    <x v="103"/>
    <n v="10222"/>
    <n v="239"/>
    <x v="80"/>
    <x v="0"/>
    <x v="5"/>
    <x v="54"/>
    <n v="49"/>
    <n v="137.19"/>
    <n v="77.27"/>
    <n v="6722.31"/>
    <n v="3786.23"/>
    <n v="2936.08"/>
    <n v="1"/>
  </r>
  <r>
    <x v="103"/>
    <n v="10222"/>
    <n v="239"/>
    <x v="80"/>
    <x v="0"/>
    <x v="4"/>
    <x v="56"/>
    <n v="49"/>
    <n v="79.14"/>
    <n v="51.61"/>
    <n v="3877.86"/>
    <n v="2528.89"/>
    <n v="1348.97"/>
    <n v="1"/>
  </r>
  <r>
    <x v="103"/>
    <n v="10222"/>
    <n v="239"/>
    <x v="80"/>
    <x v="0"/>
    <x v="0"/>
    <x v="57"/>
    <n v="45"/>
    <n v="88.93"/>
    <n v="64.58"/>
    <n v="4001.85"/>
    <n v="2906.1"/>
    <n v="1095.75"/>
    <n v="1"/>
  </r>
  <r>
    <x v="103"/>
    <n v="10222"/>
    <n v="239"/>
    <x v="80"/>
    <x v="0"/>
    <x v="5"/>
    <x v="59"/>
    <n v="32"/>
    <n v="56.86"/>
    <n v="34.25"/>
    <n v="1819.52"/>
    <n v="1096"/>
    <n v="723.52"/>
    <n v="1"/>
  </r>
  <r>
    <x v="103"/>
    <n v="10222"/>
    <n v="239"/>
    <x v="80"/>
    <x v="0"/>
    <x v="0"/>
    <x v="46"/>
    <n v="47"/>
    <n v="74.349999999999994"/>
    <n v="46.91"/>
    <n v="3494.45"/>
    <n v="2204.77"/>
    <n v="1289.68"/>
    <n v="1"/>
  </r>
  <r>
    <x v="103"/>
    <n v="10222"/>
    <n v="239"/>
    <x v="80"/>
    <x v="0"/>
    <x v="0"/>
    <x v="60"/>
    <n v="43"/>
    <n v="61.15"/>
    <n v="26.3"/>
    <n v="2629.45"/>
    <n v="1130.9000000000001"/>
    <n v="1498.55"/>
    <n v="1"/>
  </r>
  <r>
    <x v="103"/>
    <n v="10222"/>
    <n v="239"/>
    <x v="80"/>
    <x v="0"/>
    <x v="0"/>
    <x v="47"/>
    <n v="46"/>
    <n v="77.989999999999995"/>
    <n v="48.64"/>
    <n v="3587.54"/>
    <n v="2237.44"/>
    <n v="1350.1"/>
    <n v="1"/>
  </r>
  <r>
    <x v="103"/>
    <n v="10222"/>
    <n v="239"/>
    <x v="80"/>
    <x v="0"/>
    <x v="5"/>
    <x v="61"/>
    <n v="48"/>
    <n v="55.27"/>
    <n v="29.34"/>
    <n v="2652.96"/>
    <n v="1408.32"/>
    <n v="1244.6400000000001"/>
    <n v="1"/>
  </r>
  <r>
    <x v="103"/>
    <n v="10222"/>
    <n v="239"/>
    <x v="80"/>
    <x v="0"/>
    <x v="4"/>
    <x v="48"/>
    <n v="31"/>
    <n v="58.67"/>
    <n v="34"/>
    <n v="1818.77"/>
    <n v="1054"/>
    <n v="764.77"/>
    <n v="1"/>
  </r>
  <r>
    <x v="103"/>
    <n v="10222"/>
    <n v="239"/>
    <x v="80"/>
    <x v="0"/>
    <x v="4"/>
    <x v="66"/>
    <n v="26"/>
    <n v="80.56"/>
    <n v="39.83"/>
    <n v="2094.56"/>
    <n v="1035.58"/>
    <n v="1058.98"/>
    <n v="1"/>
  </r>
  <r>
    <x v="103"/>
    <n v="10222"/>
    <n v="239"/>
    <x v="80"/>
    <x v="0"/>
    <x v="5"/>
    <x v="67"/>
    <n v="37"/>
    <n v="90.75"/>
    <n v="68.8"/>
    <n v="3357.75"/>
    <n v="2545.6"/>
    <n v="812.15"/>
    <n v="1"/>
  </r>
  <r>
    <x v="103"/>
    <n v="10222"/>
    <n v="239"/>
    <x v="80"/>
    <x v="0"/>
    <x v="4"/>
    <x v="50"/>
    <n v="36"/>
    <n v="69.39"/>
    <n v="33.97"/>
    <n v="2498.04"/>
    <n v="1222.92"/>
    <n v="1275.1199999999999"/>
    <n v="1"/>
  </r>
  <r>
    <x v="103"/>
    <n v="10222"/>
    <n v="239"/>
    <x v="80"/>
    <x v="0"/>
    <x v="4"/>
    <x v="51"/>
    <n v="38"/>
    <n v="84.14"/>
    <n v="51.09"/>
    <n v="3197.32"/>
    <n v="1941.42"/>
    <n v="1255.9000000000001"/>
    <n v="1"/>
  </r>
  <r>
    <x v="103"/>
    <n v="10222"/>
    <n v="239"/>
    <x v="80"/>
    <x v="0"/>
    <x v="4"/>
    <x v="52"/>
    <n v="31"/>
    <n v="81.430000000000007"/>
    <n v="53.63"/>
    <n v="2524.33"/>
    <n v="1662.53"/>
    <n v="861.8"/>
    <n v="1"/>
  </r>
  <r>
    <x v="103"/>
    <n v="10222"/>
    <n v="239"/>
    <x v="80"/>
    <x v="0"/>
    <x v="5"/>
    <x v="70"/>
    <n v="43"/>
    <n v="66.63"/>
    <n v="36.270000000000003"/>
    <n v="2865.09"/>
    <n v="1559.61"/>
    <n v="1305.48"/>
    <n v="1"/>
  </r>
  <r>
    <x v="103"/>
    <n v="10222"/>
    <n v="239"/>
    <x v="80"/>
    <x v="0"/>
    <x v="5"/>
    <x v="71"/>
    <n v="31"/>
    <n v="45.19"/>
    <n v="32.770000000000003"/>
    <n v="1400.89"/>
    <n v="1015.87"/>
    <n v="385.02"/>
    <n v="1"/>
  </r>
  <r>
    <x v="103"/>
    <n v="10222"/>
    <n v="239"/>
    <x v="80"/>
    <x v="0"/>
    <x v="4"/>
    <x v="53"/>
    <n v="36"/>
    <n v="48.59"/>
    <n v="33.299999999999997"/>
    <n v="1749.24"/>
    <n v="1198.8"/>
    <n v="550.44000000000005"/>
    <n v="1"/>
  </r>
  <r>
    <x v="104"/>
    <n v="10223"/>
    <n v="114"/>
    <x v="20"/>
    <x v="13"/>
    <x v="6"/>
    <x v="72"/>
    <n v="37"/>
    <n v="80.39"/>
    <n v="48.81"/>
    <n v="2974.43"/>
    <n v="1805.97"/>
    <n v="1168.46"/>
    <n v="3"/>
  </r>
  <r>
    <x v="104"/>
    <n v="10223"/>
    <n v="114"/>
    <x v="20"/>
    <x v="13"/>
    <x v="6"/>
    <x v="73"/>
    <n v="47"/>
    <n v="110.61"/>
    <n v="68.989999999999995"/>
    <n v="5198.67"/>
    <n v="3242.53"/>
    <n v="1956.14"/>
    <n v="3"/>
  </r>
  <r>
    <x v="104"/>
    <n v="10223"/>
    <n v="114"/>
    <x v="20"/>
    <x v="13"/>
    <x v="6"/>
    <x v="74"/>
    <n v="49"/>
    <n v="189.79"/>
    <n v="91.02"/>
    <n v="9299.7099999999991"/>
    <n v="4459.9799999999996"/>
    <n v="4839.7299999999996"/>
    <n v="3"/>
  </r>
  <r>
    <x v="104"/>
    <n v="10223"/>
    <n v="114"/>
    <x v="20"/>
    <x v="13"/>
    <x v="5"/>
    <x v="55"/>
    <n v="47"/>
    <n v="67.58"/>
    <n v="49"/>
    <n v="3176.26"/>
    <n v="2303"/>
    <n v="873.26"/>
    <n v="3"/>
  </r>
  <r>
    <x v="104"/>
    <n v="10223"/>
    <n v="114"/>
    <x v="20"/>
    <x v="13"/>
    <x v="6"/>
    <x v="76"/>
    <n v="28"/>
    <n v="58.75"/>
    <n v="24.23"/>
    <n v="1645"/>
    <n v="678.44"/>
    <n v="966.56"/>
    <n v="3"/>
  </r>
  <r>
    <x v="104"/>
    <n v="10223"/>
    <n v="114"/>
    <x v="20"/>
    <x v="13"/>
    <x v="6"/>
    <x v="77"/>
    <n v="32"/>
    <n v="104.81"/>
    <n v="60.86"/>
    <n v="3353.92"/>
    <n v="1947.52"/>
    <n v="1406.4"/>
    <n v="3"/>
  </r>
  <r>
    <x v="104"/>
    <n v="10223"/>
    <n v="114"/>
    <x v="20"/>
    <x v="13"/>
    <x v="5"/>
    <x v="58"/>
    <n v="34"/>
    <n v="87.54"/>
    <n v="66.739999999999995"/>
    <n v="2976.36"/>
    <n v="2269.16"/>
    <n v="707.2"/>
    <n v="3"/>
  </r>
  <r>
    <x v="104"/>
    <n v="10223"/>
    <n v="114"/>
    <x v="20"/>
    <x v="13"/>
    <x v="6"/>
    <x v="78"/>
    <n v="38"/>
    <n v="60.94"/>
    <n v="37.32"/>
    <n v="2315.7199999999998"/>
    <n v="1418.16"/>
    <n v="897.56"/>
    <n v="3"/>
  </r>
  <r>
    <x v="104"/>
    <n v="10223"/>
    <n v="114"/>
    <x v="20"/>
    <x v="13"/>
    <x v="5"/>
    <x v="62"/>
    <n v="23"/>
    <n v="68.099999999999994"/>
    <n v="36.229999999999997"/>
    <n v="1566.3"/>
    <n v="833.29"/>
    <n v="733.01"/>
    <n v="3"/>
  </r>
  <r>
    <x v="104"/>
    <n v="10223"/>
    <n v="114"/>
    <x v="20"/>
    <x v="13"/>
    <x v="6"/>
    <x v="79"/>
    <n v="21"/>
    <n v="90.9"/>
    <n v="66.92"/>
    <n v="1908.9"/>
    <n v="1405.32"/>
    <n v="503.58"/>
    <n v="3"/>
  </r>
  <r>
    <x v="104"/>
    <n v="10223"/>
    <n v="114"/>
    <x v="20"/>
    <x v="13"/>
    <x v="0"/>
    <x v="63"/>
    <n v="20"/>
    <n v="66.73"/>
    <n v="33.020000000000003"/>
    <n v="1334.6"/>
    <n v="660.4"/>
    <n v="674.2"/>
    <n v="3"/>
  </r>
  <r>
    <x v="104"/>
    <n v="10223"/>
    <n v="114"/>
    <x v="20"/>
    <x v="13"/>
    <x v="0"/>
    <x v="64"/>
    <n v="41"/>
    <n v="41.02"/>
    <n v="27.06"/>
    <n v="1681.82"/>
    <n v="1109.46"/>
    <n v="572.36"/>
    <n v="3"/>
  </r>
  <r>
    <x v="104"/>
    <n v="10223"/>
    <n v="114"/>
    <x v="20"/>
    <x v="13"/>
    <x v="5"/>
    <x v="65"/>
    <n v="25"/>
    <n v="84.03"/>
    <n v="51.15"/>
    <n v="2100.75"/>
    <n v="1278.75"/>
    <n v="822"/>
    <n v="3"/>
  </r>
  <r>
    <x v="104"/>
    <n v="10223"/>
    <n v="114"/>
    <x v="20"/>
    <x v="13"/>
    <x v="5"/>
    <x v="68"/>
    <n v="29"/>
    <n v="113.9"/>
    <n v="59.33"/>
    <n v="3303.1"/>
    <n v="1720.57"/>
    <n v="1582.53"/>
    <n v="3"/>
  </r>
  <r>
    <x v="104"/>
    <n v="10223"/>
    <n v="114"/>
    <x v="20"/>
    <x v="13"/>
    <x v="5"/>
    <x v="69"/>
    <n v="26"/>
    <n v="79.2"/>
    <n v="54.4"/>
    <n v="2059.1999999999998"/>
    <n v="1414.4"/>
    <n v="644.79999999999995"/>
    <n v="3"/>
  </r>
  <r>
    <x v="105"/>
    <n v="10224"/>
    <n v="171"/>
    <x v="59"/>
    <x v="9"/>
    <x v="6"/>
    <x v="75"/>
    <n v="43"/>
    <n v="141.58000000000001"/>
    <n v="66.27"/>
    <n v="6087.94"/>
    <n v="2849.61"/>
    <n v="3238.33"/>
    <n v="2"/>
  </r>
  <r>
    <x v="105"/>
    <n v="10224"/>
    <n v="171"/>
    <x v="59"/>
    <x v="9"/>
    <x v="6"/>
    <x v="87"/>
    <n v="38"/>
    <n v="57.2"/>
    <n v="32.950000000000003"/>
    <n v="2173.6"/>
    <n v="1252.0999999999999"/>
    <n v="921.5"/>
    <n v="2"/>
  </r>
  <r>
    <x v="105"/>
    <n v="10224"/>
    <n v="171"/>
    <x v="59"/>
    <x v="9"/>
    <x v="6"/>
    <x v="89"/>
    <n v="37"/>
    <n v="60.26"/>
    <n v="47.1"/>
    <n v="2229.62"/>
    <n v="1742.7"/>
    <n v="486.92"/>
    <n v="2"/>
  </r>
  <r>
    <x v="105"/>
    <n v="10224"/>
    <n v="171"/>
    <x v="59"/>
    <x v="9"/>
    <x v="6"/>
    <x v="93"/>
    <n v="43"/>
    <n v="37.01"/>
    <n v="24.14"/>
    <n v="1591.43"/>
    <n v="1038.02"/>
    <n v="553.41"/>
    <n v="2"/>
  </r>
  <r>
    <x v="105"/>
    <n v="10224"/>
    <n v="171"/>
    <x v="59"/>
    <x v="9"/>
    <x v="6"/>
    <x v="94"/>
    <n v="30"/>
    <n v="94.91"/>
    <n v="56.13"/>
    <n v="2847.3"/>
    <n v="1683.9"/>
    <n v="1163.4000000000001"/>
    <n v="2"/>
  </r>
  <r>
    <x v="105"/>
    <n v="10224"/>
    <n v="171"/>
    <x v="59"/>
    <x v="9"/>
    <x v="6"/>
    <x v="95"/>
    <n v="50"/>
    <n v="81.36"/>
    <n v="34.17"/>
    <n v="4068"/>
    <n v="1708.5"/>
    <n v="2359.5"/>
    <n v="2"/>
  </r>
  <r>
    <x v="106"/>
    <n v="10225"/>
    <n v="298"/>
    <x v="81"/>
    <x v="20"/>
    <x v="1"/>
    <x v="80"/>
    <n v="27"/>
    <n v="157.6"/>
    <n v="95.34"/>
    <n v="4255.2"/>
    <n v="2574.1799999999998"/>
    <n v="1681.02"/>
    <n v="1"/>
  </r>
  <r>
    <x v="106"/>
    <n v="10225"/>
    <n v="298"/>
    <x v="81"/>
    <x v="20"/>
    <x v="1"/>
    <x v="81"/>
    <n v="25"/>
    <n v="101"/>
    <n v="75.16"/>
    <n v="2525"/>
    <n v="1879"/>
    <n v="646"/>
    <n v="1"/>
  </r>
  <r>
    <x v="106"/>
    <n v="10225"/>
    <n v="298"/>
    <x v="81"/>
    <x v="20"/>
    <x v="1"/>
    <x v="82"/>
    <n v="37"/>
    <n v="64.64"/>
    <n v="31.92"/>
    <n v="2391.6799999999998"/>
    <n v="1181.04"/>
    <n v="1210.6400000000001"/>
    <n v="1"/>
  </r>
  <r>
    <x v="106"/>
    <n v="10225"/>
    <n v="298"/>
    <x v="81"/>
    <x v="20"/>
    <x v="1"/>
    <x v="83"/>
    <n v="21"/>
    <n v="100.19"/>
    <n v="58.73"/>
    <n v="2103.9899999999998"/>
    <n v="1233.33"/>
    <n v="870.66"/>
    <n v="1"/>
  </r>
  <r>
    <x v="106"/>
    <n v="10225"/>
    <n v="298"/>
    <x v="81"/>
    <x v="20"/>
    <x v="1"/>
    <x v="96"/>
    <n v="32"/>
    <n v="116.06"/>
    <n v="83.51"/>
    <n v="3713.92"/>
    <n v="2672.32"/>
    <n v="1041.5999999999999"/>
    <n v="1"/>
  </r>
  <r>
    <x v="106"/>
    <n v="10225"/>
    <n v="298"/>
    <x v="81"/>
    <x v="20"/>
    <x v="1"/>
    <x v="84"/>
    <n v="47"/>
    <n v="71.61"/>
    <n v="53.9"/>
    <n v="3365.67"/>
    <n v="2533.3000000000002"/>
    <n v="832.37"/>
    <n v="1"/>
  </r>
  <r>
    <x v="106"/>
    <n v="10225"/>
    <n v="298"/>
    <x v="81"/>
    <x v="20"/>
    <x v="1"/>
    <x v="30"/>
    <n v="43"/>
    <n v="162.57"/>
    <n v="77.900000000000006"/>
    <n v="6990.51"/>
    <n v="3349.7"/>
    <n v="3640.81"/>
    <n v="1"/>
  </r>
  <r>
    <x v="106"/>
    <n v="10225"/>
    <n v="298"/>
    <x v="81"/>
    <x v="20"/>
    <x v="1"/>
    <x v="85"/>
    <n v="37"/>
    <n v="69.959999999999994"/>
    <n v="49.05"/>
    <n v="2588.52"/>
    <n v="1814.85"/>
    <n v="773.67"/>
    <n v="1"/>
  </r>
  <r>
    <x v="106"/>
    <n v="10225"/>
    <n v="298"/>
    <x v="81"/>
    <x v="20"/>
    <x v="1"/>
    <x v="86"/>
    <n v="27"/>
    <n v="119.06"/>
    <n v="73.489999999999995"/>
    <n v="3214.62"/>
    <n v="1984.23"/>
    <n v="1230.3900000000001"/>
    <n v="1"/>
  </r>
  <r>
    <x v="106"/>
    <n v="10225"/>
    <n v="298"/>
    <x v="81"/>
    <x v="20"/>
    <x v="1"/>
    <x v="88"/>
    <n v="35"/>
    <n v="135.41"/>
    <n v="69.930000000000007"/>
    <n v="4739.3500000000004"/>
    <n v="2447.5500000000002"/>
    <n v="2291.8000000000002"/>
    <n v="1"/>
  </r>
  <r>
    <x v="106"/>
    <n v="10225"/>
    <n v="298"/>
    <x v="81"/>
    <x v="20"/>
    <x v="1"/>
    <x v="100"/>
    <n v="42"/>
    <n v="34.74"/>
    <n v="16.239999999999998"/>
    <n v="1459.08"/>
    <n v="682.08"/>
    <n v="777"/>
    <n v="1"/>
  </r>
  <r>
    <x v="106"/>
    <n v="10225"/>
    <n v="298"/>
    <x v="81"/>
    <x v="20"/>
    <x v="1"/>
    <x v="90"/>
    <n v="24"/>
    <n v="51.43"/>
    <n v="38.58"/>
    <n v="1234.32"/>
    <n v="925.92"/>
    <n v="308.39999999999998"/>
    <n v="1"/>
  </r>
  <r>
    <x v="106"/>
    <n v="10225"/>
    <n v="298"/>
    <x v="81"/>
    <x v="20"/>
    <x v="1"/>
    <x v="91"/>
    <n v="40"/>
    <n v="130.6"/>
    <n v="98.3"/>
    <n v="5224"/>
    <n v="3932"/>
    <n v="1292"/>
    <n v="1"/>
  </r>
  <r>
    <x v="106"/>
    <n v="10225"/>
    <n v="298"/>
    <x v="81"/>
    <x v="20"/>
    <x v="1"/>
    <x v="92"/>
    <n v="46"/>
    <n v="77.61"/>
    <n v="32.33"/>
    <n v="3570.06"/>
    <n v="1487.18"/>
    <n v="2082.88"/>
    <n v="1"/>
  </r>
  <r>
    <x v="107"/>
    <n v="10226"/>
    <n v="239"/>
    <x v="80"/>
    <x v="0"/>
    <x v="1"/>
    <x v="101"/>
    <n v="38"/>
    <n v="108.26"/>
    <n v="65.959999999999994"/>
    <n v="4113.88"/>
    <n v="2506.48"/>
    <n v="1607.4"/>
    <n v="2"/>
  </r>
  <r>
    <x v="107"/>
    <n v="10226"/>
    <n v="239"/>
    <x v="80"/>
    <x v="0"/>
    <x v="1"/>
    <x v="97"/>
    <n v="24"/>
    <n v="129.44999999999999"/>
    <n v="93.89"/>
    <n v="3106.8"/>
    <n v="2253.36"/>
    <n v="853.44"/>
    <n v="2"/>
  </r>
  <r>
    <x v="107"/>
    <n v="10226"/>
    <n v="239"/>
    <x v="80"/>
    <x v="0"/>
    <x v="1"/>
    <x v="98"/>
    <n v="24"/>
    <n v="125.4"/>
    <n v="56.76"/>
    <n v="3009.6"/>
    <n v="1362.24"/>
    <n v="1647.36"/>
    <n v="2"/>
  </r>
  <r>
    <x v="107"/>
    <n v="10226"/>
    <n v="239"/>
    <x v="80"/>
    <x v="0"/>
    <x v="1"/>
    <x v="99"/>
    <n v="46"/>
    <n v="122.91"/>
    <n v="62.16"/>
    <n v="5653.86"/>
    <n v="2859.36"/>
    <n v="2794.5"/>
    <n v="2"/>
  </r>
  <r>
    <x v="107"/>
    <n v="10226"/>
    <n v="239"/>
    <x v="80"/>
    <x v="0"/>
    <x v="1"/>
    <x v="103"/>
    <n v="21"/>
    <n v="65.41"/>
    <n v="49.24"/>
    <n v="1373.61"/>
    <n v="1034.04"/>
    <n v="339.57"/>
    <n v="2"/>
  </r>
  <r>
    <x v="107"/>
    <n v="10226"/>
    <n v="239"/>
    <x v="80"/>
    <x v="0"/>
    <x v="1"/>
    <x v="104"/>
    <n v="36"/>
    <n v="47.79"/>
    <n v="29.18"/>
    <n v="1720.44"/>
    <n v="1050.48"/>
    <n v="669.96"/>
    <n v="2"/>
  </r>
  <r>
    <x v="107"/>
    <n v="10226"/>
    <n v="239"/>
    <x v="80"/>
    <x v="0"/>
    <x v="1"/>
    <x v="108"/>
    <n v="48"/>
    <n v="95.3"/>
    <n v="62.11"/>
    <n v="4574.3999999999996"/>
    <n v="2981.28"/>
    <n v="1593.12"/>
    <n v="2"/>
  </r>
  <r>
    <x v="108"/>
    <n v="10227"/>
    <n v="146"/>
    <x v="68"/>
    <x v="9"/>
    <x v="0"/>
    <x v="8"/>
    <n v="25"/>
    <n v="85.27"/>
    <n v="60.62"/>
    <n v="2131.75"/>
    <n v="1515.5"/>
    <n v="616.25"/>
    <n v="3"/>
  </r>
  <r>
    <x v="108"/>
    <n v="10227"/>
    <n v="146"/>
    <x v="68"/>
    <x v="9"/>
    <x v="0"/>
    <x v="9"/>
    <n v="31"/>
    <n v="50.14"/>
    <n v="24.26"/>
    <n v="1554.34"/>
    <n v="752.06"/>
    <n v="802.28"/>
    <n v="3"/>
  </r>
  <r>
    <x v="108"/>
    <n v="10227"/>
    <n v="146"/>
    <x v="68"/>
    <x v="9"/>
    <x v="0"/>
    <x v="0"/>
    <n v="26"/>
    <n v="136"/>
    <n v="86.7"/>
    <n v="3536"/>
    <n v="2254.1999999999998"/>
    <n v="1281.8"/>
    <n v="3"/>
  </r>
  <r>
    <x v="108"/>
    <n v="10227"/>
    <n v="146"/>
    <x v="68"/>
    <x v="9"/>
    <x v="0"/>
    <x v="1"/>
    <n v="28"/>
    <n v="59.93"/>
    <n v="33.299999999999997"/>
    <n v="1678.04"/>
    <n v="932.4"/>
    <n v="745.64"/>
    <n v="3"/>
  </r>
  <r>
    <x v="108"/>
    <n v="10227"/>
    <n v="146"/>
    <x v="68"/>
    <x v="9"/>
    <x v="0"/>
    <x v="4"/>
    <n v="46"/>
    <n v="118.23"/>
    <n v="58.48"/>
    <n v="5438.58"/>
    <n v="2690.08"/>
    <n v="2748.5"/>
    <n v="3"/>
  </r>
  <r>
    <x v="108"/>
    <n v="10227"/>
    <n v="146"/>
    <x v="68"/>
    <x v="9"/>
    <x v="0"/>
    <x v="5"/>
    <n v="29"/>
    <n v="146.81"/>
    <n v="72.56"/>
    <n v="4257.49"/>
    <n v="2104.2399999999998"/>
    <n v="2153.25"/>
    <n v="3"/>
  </r>
  <r>
    <x v="108"/>
    <n v="10227"/>
    <n v="146"/>
    <x v="68"/>
    <x v="9"/>
    <x v="0"/>
    <x v="18"/>
    <n v="33"/>
    <n v="99.21"/>
    <n v="57.54"/>
    <n v="3273.93"/>
    <n v="1898.82"/>
    <n v="1375.11"/>
    <n v="3"/>
  </r>
  <r>
    <x v="108"/>
    <n v="10227"/>
    <n v="146"/>
    <x v="68"/>
    <x v="9"/>
    <x v="0"/>
    <x v="2"/>
    <n v="34"/>
    <n v="87.43"/>
    <n v="43.26"/>
    <n v="2972.62"/>
    <n v="1470.84"/>
    <n v="1501.78"/>
    <n v="3"/>
  </r>
  <r>
    <x v="108"/>
    <n v="10227"/>
    <n v="146"/>
    <x v="68"/>
    <x v="9"/>
    <x v="1"/>
    <x v="102"/>
    <n v="37"/>
    <n v="70.56"/>
    <n v="34.21"/>
    <n v="2610.7199999999998"/>
    <n v="1265.77"/>
    <n v="1344.95"/>
    <n v="3"/>
  </r>
  <r>
    <x v="108"/>
    <n v="10227"/>
    <n v="146"/>
    <x v="68"/>
    <x v="9"/>
    <x v="0"/>
    <x v="6"/>
    <n v="42"/>
    <n v="27.22"/>
    <n v="22.57"/>
    <n v="1143.24"/>
    <n v="947.94"/>
    <n v="195.3"/>
    <n v="3"/>
  </r>
  <r>
    <x v="108"/>
    <n v="10227"/>
    <n v="146"/>
    <x v="68"/>
    <x v="9"/>
    <x v="0"/>
    <x v="7"/>
    <n v="24"/>
    <n v="39.42"/>
    <n v="20.61"/>
    <n v="946.08"/>
    <n v="494.64"/>
    <n v="451.44"/>
    <n v="3"/>
  </r>
  <r>
    <x v="108"/>
    <n v="10227"/>
    <n v="146"/>
    <x v="68"/>
    <x v="9"/>
    <x v="1"/>
    <x v="105"/>
    <n v="47"/>
    <n v="84.51"/>
    <n v="47.25"/>
    <n v="3971.97"/>
    <n v="2220.75"/>
    <n v="1751.22"/>
    <n v="3"/>
  </r>
  <r>
    <x v="108"/>
    <n v="10227"/>
    <n v="146"/>
    <x v="68"/>
    <x v="9"/>
    <x v="1"/>
    <x v="106"/>
    <n v="33"/>
    <n v="102.17"/>
    <n v="72.819999999999993"/>
    <n v="3371.61"/>
    <n v="2403.06"/>
    <n v="968.55"/>
    <n v="3"/>
  </r>
  <r>
    <x v="108"/>
    <n v="10227"/>
    <n v="146"/>
    <x v="68"/>
    <x v="9"/>
    <x v="1"/>
    <x v="107"/>
    <n v="40"/>
    <n v="78.760000000000005"/>
    <n v="50.51"/>
    <n v="3150.4"/>
    <n v="2020.4"/>
    <n v="1130"/>
    <n v="3"/>
  </r>
  <r>
    <x v="108"/>
    <n v="10227"/>
    <n v="146"/>
    <x v="68"/>
    <x v="9"/>
    <x v="0"/>
    <x v="3"/>
    <n v="27"/>
    <n v="34.880000000000003"/>
    <n v="21.75"/>
    <n v="941.76"/>
    <n v="587.25"/>
    <n v="354.51"/>
    <n v="3"/>
  </r>
  <r>
    <x v="109"/>
    <n v="10228"/>
    <n v="173"/>
    <x v="82"/>
    <x v="0"/>
    <x v="1"/>
    <x v="10"/>
    <n v="29"/>
    <n v="214.3"/>
    <n v="98.58"/>
    <n v="6214.7"/>
    <n v="2858.82"/>
    <n v="3355.88"/>
    <n v="1"/>
  </r>
  <r>
    <x v="109"/>
    <n v="10228"/>
    <n v="173"/>
    <x v="82"/>
    <x v="0"/>
    <x v="2"/>
    <x v="13"/>
    <n v="32"/>
    <n v="100.34"/>
    <n v="58.33"/>
    <n v="3210.88"/>
    <n v="1866.56"/>
    <n v="1344.32"/>
    <n v="1"/>
  </r>
  <r>
    <x v="109"/>
    <n v="10228"/>
    <n v="173"/>
    <x v="82"/>
    <x v="0"/>
    <x v="0"/>
    <x v="15"/>
    <n v="24"/>
    <n v="101.31"/>
    <n v="60.78"/>
    <n v="2431.44"/>
    <n v="1458.72"/>
    <n v="972.72"/>
    <n v="1"/>
  </r>
  <r>
    <x v="109"/>
    <n v="10228"/>
    <n v="173"/>
    <x v="82"/>
    <x v="0"/>
    <x v="0"/>
    <x v="16"/>
    <n v="45"/>
    <n v="57.46"/>
    <n v="34.35"/>
    <n v="2585.6999999999998"/>
    <n v="1545.75"/>
    <n v="1039.95"/>
    <n v="1"/>
  </r>
  <r>
    <x v="109"/>
    <n v="10228"/>
    <n v="173"/>
    <x v="82"/>
    <x v="0"/>
    <x v="0"/>
    <x v="17"/>
    <n v="31"/>
    <n v="100.53"/>
    <n v="60.74"/>
    <n v="3116.43"/>
    <n v="1882.94"/>
    <n v="1233.49"/>
    <n v="1"/>
  </r>
  <r>
    <x v="109"/>
    <n v="10228"/>
    <n v="173"/>
    <x v="82"/>
    <x v="0"/>
    <x v="0"/>
    <x v="22"/>
    <n v="33"/>
    <n v="84.73"/>
    <n v="57.46"/>
    <n v="2796.09"/>
    <n v="1896.18"/>
    <n v="899.91"/>
    <n v="1"/>
  </r>
  <r>
    <x v="110"/>
    <n v="10229"/>
    <n v="124"/>
    <x v="13"/>
    <x v="0"/>
    <x v="1"/>
    <x v="11"/>
    <n v="50"/>
    <n v="138.88"/>
    <n v="103.42"/>
    <n v="6944"/>
    <n v="5171"/>
    <n v="1773"/>
    <n v="5"/>
  </r>
  <r>
    <x v="110"/>
    <n v="10229"/>
    <n v="124"/>
    <x v="13"/>
    <x v="0"/>
    <x v="2"/>
    <x v="12"/>
    <n v="25"/>
    <n v="110.7"/>
    <n v="77.900000000000006"/>
    <n v="2767.5"/>
    <n v="1947.5"/>
    <n v="820"/>
    <n v="5"/>
  </r>
  <r>
    <x v="110"/>
    <n v="10229"/>
    <n v="124"/>
    <x v="13"/>
    <x v="0"/>
    <x v="2"/>
    <x v="27"/>
    <n v="36"/>
    <n v="95.99"/>
    <n v="55.7"/>
    <n v="3455.64"/>
    <n v="2005.2"/>
    <n v="1450.44"/>
    <n v="5"/>
  </r>
  <r>
    <x v="110"/>
    <n v="10229"/>
    <n v="124"/>
    <x v="13"/>
    <x v="0"/>
    <x v="2"/>
    <x v="29"/>
    <n v="26"/>
    <n v="104.32"/>
    <n v="74.86"/>
    <n v="2712.32"/>
    <n v="1946.36"/>
    <n v="765.96"/>
    <n v="5"/>
  </r>
  <r>
    <x v="110"/>
    <n v="10229"/>
    <n v="124"/>
    <x v="13"/>
    <x v="0"/>
    <x v="2"/>
    <x v="14"/>
    <n v="28"/>
    <n v="53.48"/>
    <n v="24.92"/>
    <n v="1497.44"/>
    <n v="697.76"/>
    <n v="799.68"/>
    <n v="5"/>
  </r>
  <r>
    <x v="110"/>
    <n v="10229"/>
    <n v="124"/>
    <x v="13"/>
    <x v="0"/>
    <x v="1"/>
    <x v="30"/>
    <n v="22"/>
    <n v="157.49"/>
    <n v="77.900000000000006"/>
    <n v="3464.78"/>
    <n v="1713.8"/>
    <n v="1750.98"/>
    <n v="5"/>
  </r>
  <r>
    <x v="110"/>
    <n v="10229"/>
    <n v="124"/>
    <x v="13"/>
    <x v="0"/>
    <x v="2"/>
    <x v="19"/>
    <n v="41"/>
    <n v="119.87"/>
    <n v="84.76"/>
    <n v="4914.67"/>
    <n v="3475.16"/>
    <n v="1439.51"/>
    <n v="5"/>
  </r>
  <r>
    <x v="110"/>
    <n v="10229"/>
    <n v="124"/>
    <x v="13"/>
    <x v="0"/>
    <x v="0"/>
    <x v="20"/>
    <n v="39"/>
    <n v="43.77"/>
    <n v="23.14"/>
    <n v="1707.03"/>
    <n v="902.46"/>
    <n v="804.57"/>
    <n v="5"/>
  </r>
  <r>
    <x v="110"/>
    <n v="10229"/>
    <n v="124"/>
    <x v="13"/>
    <x v="0"/>
    <x v="2"/>
    <x v="21"/>
    <n v="48"/>
    <n v="115.01"/>
    <n v="61.34"/>
    <n v="5520.48"/>
    <n v="2944.32"/>
    <n v="2576.16"/>
    <n v="5"/>
  </r>
  <r>
    <x v="110"/>
    <n v="10229"/>
    <n v="124"/>
    <x v="13"/>
    <x v="0"/>
    <x v="1"/>
    <x v="33"/>
    <n v="33"/>
    <n v="34.65"/>
    <n v="15.91"/>
    <n v="1143.45"/>
    <n v="525.03"/>
    <n v="618.41999999999996"/>
    <n v="5"/>
  </r>
  <r>
    <x v="110"/>
    <n v="10229"/>
    <n v="124"/>
    <x v="13"/>
    <x v="0"/>
    <x v="2"/>
    <x v="23"/>
    <n v="25"/>
    <n v="78.97"/>
    <n v="53.93"/>
    <n v="1974.25"/>
    <n v="1348.25"/>
    <n v="626"/>
    <n v="5"/>
  </r>
  <r>
    <x v="110"/>
    <n v="10229"/>
    <n v="124"/>
    <x v="13"/>
    <x v="0"/>
    <x v="2"/>
    <x v="35"/>
    <n v="23"/>
    <n v="49.78"/>
    <n v="25.98"/>
    <n v="1144.94"/>
    <n v="597.54"/>
    <n v="547.4"/>
    <n v="5"/>
  </r>
  <r>
    <x v="110"/>
    <n v="10229"/>
    <n v="124"/>
    <x v="13"/>
    <x v="0"/>
    <x v="2"/>
    <x v="24"/>
    <n v="30"/>
    <n v="52.36"/>
    <n v="33.61"/>
    <n v="1570.8"/>
    <n v="1008.3"/>
    <n v="562.5"/>
    <n v="5"/>
  </r>
  <r>
    <x v="110"/>
    <n v="10229"/>
    <n v="124"/>
    <x v="13"/>
    <x v="0"/>
    <x v="1"/>
    <x v="25"/>
    <n v="50"/>
    <n v="91.04"/>
    <n v="46.53"/>
    <n v="4552"/>
    <n v="2326.5"/>
    <n v="2225.5"/>
    <n v="5"/>
  </r>
  <r>
    <x v="111"/>
    <n v="10230"/>
    <n v="128"/>
    <x v="1"/>
    <x v="1"/>
    <x v="1"/>
    <x v="26"/>
    <n v="43"/>
    <n v="128.41999999999999"/>
    <n v="89.14"/>
    <n v="5522.06"/>
    <n v="3833.02"/>
    <n v="1689.04"/>
    <n v="3"/>
  </r>
  <r>
    <x v="111"/>
    <n v="10230"/>
    <n v="128"/>
    <x v="1"/>
    <x v="1"/>
    <x v="1"/>
    <x v="28"/>
    <n v="49"/>
    <n v="153.91"/>
    <n v="101.51"/>
    <n v="7541.59"/>
    <n v="4973.99"/>
    <n v="2567.6"/>
    <n v="3"/>
  </r>
  <r>
    <x v="111"/>
    <n v="10230"/>
    <n v="128"/>
    <x v="1"/>
    <x v="1"/>
    <x v="1"/>
    <x v="31"/>
    <n v="42"/>
    <n v="142.18"/>
    <n v="91.92"/>
    <n v="5971.56"/>
    <n v="3860.64"/>
    <n v="2110.92"/>
    <n v="3"/>
  </r>
  <r>
    <x v="111"/>
    <n v="10230"/>
    <n v="128"/>
    <x v="1"/>
    <x v="1"/>
    <x v="1"/>
    <x v="32"/>
    <n v="36"/>
    <n v="47.4"/>
    <n v="32.369999999999997"/>
    <n v="1706.4"/>
    <n v="1165.32"/>
    <n v="541.08000000000004"/>
    <n v="3"/>
  </r>
  <r>
    <x v="111"/>
    <n v="10230"/>
    <n v="128"/>
    <x v="1"/>
    <x v="1"/>
    <x v="1"/>
    <x v="34"/>
    <n v="45"/>
    <n v="99.36"/>
    <n v="69.78"/>
    <n v="4471.2"/>
    <n v="3140.1"/>
    <n v="1331.1"/>
    <n v="3"/>
  </r>
  <r>
    <x v="111"/>
    <n v="10230"/>
    <n v="128"/>
    <x v="1"/>
    <x v="1"/>
    <x v="3"/>
    <x v="36"/>
    <n v="46"/>
    <n v="59.03"/>
    <n v="26.72"/>
    <n v="2715.38"/>
    <n v="1229.1199999999999"/>
    <n v="1486.26"/>
    <n v="3"/>
  </r>
  <r>
    <x v="111"/>
    <n v="10230"/>
    <n v="128"/>
    <x v="1"/>
    <x v="1"/>
    <x v="2"/>
    <x v="37"/>
    <n v="34"/>
    <n v="100.7"/>
    <n v="68.290000000000006"/>
    <n v="3423.8"/>
    <n v="2321.86"/>
    <n v="1101.94"/>
    <n v="3"/>
  </r>
  <r>
    <x v="111"/>
    <n v="10230"/>
    <n v="128"/>
    <x v="1"/>
    <x v="1"/>
    <x v="3"/>
    <x v="38"/>
    <n v="43"/>
    <n v="57.41"/>
    <n v="37.49"/>
    <n v="2468.63"/>
    <n v="1612.07"/>
    <n v="856.56"/>
    <n v="3"/>
  </r>
  <r>
    <x v="112"/>
    <n v="10231"/>
    <n v="344"/>
    <x v="58"/>
    <x v="3"/>
    <x v="1"/>
    <x v="40"/>
    <n v="42"/>
    <n v="193.25"/>
    <n v="95.59"/>
    <n v="8116.5"/>
    <n v="4014.78"/>
    <n v="4101.72"/>
    <n v="2"/>
  </r>
  <r>
    <x v="112"/>
    <n v="10231"/>
    <n v="344"/>
    <x v="58"/>
    <x v="3"/>
    <x v="1"/>
    <x v="41"/>
    <n v="49"/>
    <n v="147.07"/>
    <n v="83.05"/>
    <n v="7206.43"/>
    <n v="4069.45"/>
    <n v="3136.98"/>
    <n v="2"/>
  </r>
  <r>
    <x v="113"/>
    <n v="10232"/>
    <n v="240"/>
    <x v="83"/>
    <x v="7"/>
    <x v="0"/>
    <x v="42"/>
    <n v="22"/>
    <n v="133.86000000000001"/>
    <n v="68.3"/>
    <n v="2944.92"/>
    <n v="1502.6"/>
    <n v="1442.32"/>
    <n v="1"/>
  </r>
  <r>
    <x v="113"/>
    <n v="10232"/>
    <n v="240"/>
    <x v="83"/>
    <x v="7"/>
    <x v="3"/>
    <x v="43"/>
    <n v="48"/>
    <n v="97.81"/>
    <n v="67.56"/>
    <n v="4694.88"/>
    <n v="3242.88"/>
    <n v="1452"/>
    <n v="1"/>
  </r>
  <r>
    <x v="113"/>
    <n v="10232"/>
    <n v="240"/>
    <x v="83"/>
    <x v="7"/>
    <x v="0"/>
    <x v="44"/>
    <n v="23"/>
    <n v="78.12"/>
    <n v="52.66"/>
    <n v="1796.76"/>
    <n v="1211.18"/>
    <n v="585.58000000000004"/>
    <n v="1"/>
  </r>
  <r>
    <x v="113"/>
    <n v="10232"/>
    <n v="240"/>
    <x v="83"/>
    <x v="7"/>
    <x v="4"/>
    <x v="45"/>
    <n v="46"/>
    <n v="113.06"/>
    <n v="82.34"/>
    <n v="5200.76"/>
    <n v="3787.64"/>
    <n v="1413.12"/>
    <n v="1"/>
  </r>
  <r>
    <x v="113"/>
    <n v="10232"/>
    <n v="240"/>
    <x v="83"/>
    <x v="7"/>
    <x v="4"/>
    <x v="49"/>
    <n v="26"/>
    <n v="84.88"/>
    <n v="43.3"/>
    <n v="2206.88"/>
    <n v="1125.8"/>
    <n v="1081.08"/>
    <n v="1"/>
  </r>
  <r>
    <x v="113"/>
    <n v="10232"/>
    <n v="240"/>
    <x v="83"/>
    <x v="7"/>
    <x v="4"/>
    <x v="51"/>
    <n v="48"/>
    <n v="86.15"/>
    <n v="51.09"/>
    <n v="4135.2"/>
    <n v="2452.3200000000002"/>
    <n v="1682.88"/>
    <n v="1"/>
  </r>
  <r>
    <x v="113"/>
    <n v="10232"/>
    <n v="240"/>
    <x v="83"/>
    <x v="7"/>
    <x v="4"/>
    <x v="52"/>
    <n v="35"/>
    <n v="81.430000000000007"/>
    <n v="53.63"/>
    <n v="2850.05"/>
    <n v="1877.05"/>
    <n v="973"/>
    <n v="1"/>
  </r>
  <r>
    <x v="113"/>
    <n v="10232"/>
    <n v="240"/>
    <x v="83"/>
    <x v="7"/>
    <x v="4"/>
    <x v="53"/>
    <n v="24"/>
    <n v="48.59"/>
    <n v="33.299999999999997"/>
    <n v="1166.1600000000001"/>
    <n v="799.2"/>
    <n v="366.96"/>
    <n v="1"/>
  </r>
  <r>
    <x v="114"/>
    <n v="10233"/>
    <n v="328"/>
    <x v="84"/>
    <x v="0"/>
    <x v="0"/>
    <x v="46"/>
    <n v="40"/>
    <n v="70.81"/>
    <n v="46.91"/>
    <n v="2832.4"/>
    <n v="1876.4"/>
    <n v="956"/>
    <n v="1"/>
  </r>
  <r>
    <x v="114"/>
    <n v="10233"/>
    <n v="328"/>
    <x v="84"/>
    <x v="0"/>
    <x v="4"/>
    <x v="48"/>
    <n v="36"/>
    <n v="66"/>
    <n v="34"/>
    <n v="2376"/>
    <n v="1224"/>
    <n v="1152"/>
    <n v="1"/>
  </r>
  <r>
    <x v="114"/>
    <n v="10233"/>
    <n v="328"/>
    <x v="84"/>
    <x v="0"/>
    <x v="4"/>
    <x v="50"/>
    <n v="29"/>
    <n v="67.94"/>
    <n v="33.97"/>
    <n v="1970.26"/>
    <n v="985.13"/>
    <n v="985.13"/>
    <n v="1"/>
  </r>
  <r>
    <x v="115"/>
    <n v="10234"/>
    <n v="412"/>
    <x v="85"/>
    <x v="14"/>
    <x v="1"/>
    <x v="39"/>
    <n v="48"/>
    <n v="118.32"/>
    <n v="85.68"/>
    <n v="5679.36"/>
    <n v="4112.6400000000003"/>
    <n v="1566.72"/>
    <n v="1"/>
  </r>
  <r>
    <x v="115"/>
    <n v="10234"/>
    <n v="412"/>
    <x v="85"/>
    <x v="14"/>
    <x v="5"/>
    <x v="54"/>
    <n v="50"/>
    <n v="146.65"/>
    <n v="77.27"/>
    <n v="7332.5"/>
    <n v="3863.5"/>
    <n v="3469"/>
    <n v="1"/>
  </r>
  <r>
    <x v="115"/>
    <n v="10234"/>
    <n v="412"/>
    <x v="85"/>
    <x v="14"/>
    <x v="4"/>
    <x v="56"/>
    <n v="48"/>
    <n v="84.3"/>
    <n v="51.61"/>
    <n v="4046.4"/>
    <n v="2477.2800000000002"/>
    <n v="1569.12"/>
    <n v="1"/>
  </r>
  <r>
    <x v="115"/>
    <n v="10234"/>
    <n v="412"/>
    <x v="85"/>
    <x v="14"/>
    <x v="0"/>
    <x v="57"/>
    <n v="39"/>
    <n v="85.75"/>
    <n v="64.58"/>
    <n v="3344.25"/>
    <n v="2518.62"/>
    <n v="825.63"/>
    <n v="1"/>
  </r>
  <r>
    <x v="115"/>
    <n v="10234"/>
    <n v="412"/>
    <x v="85"/>
    <x v="14"/>
    <x v="5"/>
    <x v="59"/>
    <n v="44"/>
    <n v="67.14"/>
    <n v="34.25"/>
    <n v="2954.16"/>
    <n v="1507"/>
    <n v="1447.16"/>
    <n v="1"/>
  </r>
  <r>
    <x v="115"/>
    <n v="10234"/>
    <n v="412"/>
    <x v="85"/>
    <x v="14"/>
    <x v="0"/>
    <x v="60"/>
    <n v="25"/>
    <n v="65.09"/>
    <n v="26.3"/>
    <n v="1627.25"/>
    <n v="657.5"/>
    <n v="969.75"/>
    <n v="1"/>
  </r>
  <r>
    <x v="115"/>
    <n v="10234"/>
    <n v="412"/>
    <x v="85"/>
    <x v="14"/>
    <x v="0"/>
    <x v="47"/>
    <n v="31"/>
    <n v="78.83"/>
    <n v="48.64"/>
    <n v="2443.73"/>
    <n v="1507.84"/>
    <n v="935.89"/>
    <n v="1"/>
  </r>
  <r>
    <x v="115"/>
    <n v="10234"/>
    <n v="412"/>
    <x v="85"/>
    <x v="14"/>
    <x v="4"/>
    <x v="66"/>
    <n v="29"/>
    <n v="83.28"/>
    <n v="39.83"/>
    <n v="2415.12"/>
    <n v="1155.07"/>
    <n v="1260.05"/>
    <n v="1"/>
  </r>
  <r>
    <x v="115"/>
    <n v="10234"/>
    <n v="412"/>
    <x v="85"/>
    <x v="14"/>
    <x v="5"/>
    <x v="71"/>
    <n v="40"/>
    <n v="45.69"/>
    <n v="32.770000000000003"/>
    <n v="1827.6"/>
    <n v="1310.8"/>
    <n v="516.79999999999995"/>
    <n v="1"/>
  </r>
  <r>
    <x v="116"/>
    <n v="10235"/>
    <n v="260"/>
    <x v="86"/>
    <x v="16"/>
    <x v="5"/>
    <x v="55"/>
    <n v="24"/>
    <n v="81.95"/>
    <n v="49"/>
    <n v="1966.8"/>
    <n v="1176"/>
    <n v="790.8"/>
    <n v="1"/>
  </r>
  <r>
    <x v="116"/>
    <n v="10235"/>
    <n v="260"/>
    <x v="86"/>
    <x v="16"/>
    <x v="5"/>
    <x v="58"/>
    <n v="23"/>
    <n v="89.72"/>
    <n v="66.739999999999995"/>
    <n v="2063.56"/>
    <n v="1535.02"/>
    <n v="528.54"/>
    <n v="1"/>
  </r>
  <r>
    <x v="116"/>
    <n v="10235"/>
    <n v="260"/>
    <x v="86"/>
    <x v="16"/>
    <x v="5"/>
    <x v="61"/>
    <n v="33"/>
    <n v="55.27"/>
    <n v="29.34"/>
    <n v="1823.91"/>
    <n v="968.22"/>
    <n v="855.69"/>
    <n v="1"/>
  </r>
  <r>
    <x v="116"/>
    <n v="10235"/>
    <n v="260"/>
    <x v="86"/>
    <x v="16"/>
    <x v="5"/>
    <x v="62"/>
    <n v="40"/>
    <n v="63.03"/>
    <n v="36.229999999999997"/>
    <n v="2521.1999999999998"/>
    <n v="1449.2"/>
    <n v="1072"/>
    <n v="1"/>
  </r>
  <r>
    <x v="116"/>
    <n v="10235"/>
    <n v="260"/>
    <x v="86"/>
    <x v="16"/>
    <x v="6"/>
    <x v="79"/>
    <n v="41"/>
    <n v="90.9"/>
    <n v="66.92"/>
    <n v="3726.9"/>
    <n v="2743.72"/>
    <n v="983.18"/>
    <n v="1"/>
  </r>
  <r>
    <x v="116"/>
    <n v="10235"/>
    <n v="260"/>
    <x v="86"/>
    <x v="16"/>
    <x v="0"/>
    <x v="63"/>
    <n v="34"/>
    <n v="66.73"/>
    <n v="33.020000000000003"/>
    <n v="2268.8200000000002"/>
    <n v="1122.68"/>
    <n v="1146.1400000000001"/>
    <n v="1"/>
  </r>
  <r>
    <x v="116"/>
    <n v="10235"/>
    <n v="260"/>
    <x v="86"/>
    <x v="16"/>
    <x v="0"/>
    <x v="64"/>
    <n v="41"/>
    <n v="37.090000000000003"/>
    <n v="27.06"/>
    <n v="1520.69"/>
    <n v="1109.46"/>
    <n v="411.23"/>
    <n v="1"/>
  </r>
  <r>
    <x v="116"/>
    <n v="10235"/>
    <n v="260"/>
    <x v="86"/>
    <x v="16"/>
    <x v="5"/>
    <x v="65"/>
    <n v="25"/>
    <n v="88.6"/>
    <n v="51.15"/>
    <n v="2215"/>
    <n v="1278.75"/>
    <n v="936.25"/>
    <n v="1"/>
  </r>
  <r>
    <x v="116"/>
    <n v="10235"/>
    <n v="260"/>
    <x v="86"/>
    <x v="16"/>
    <x v="5"/>
    <x v="67"/>
    <n v="38"/>
    <n v="92.74"/>
    <n v="68.8"/>
    <n v="3524.12"/>
    <n v="2614.4"/>
    <n v="909.72"/>
    <n v="1"/>
  </r>
  <r>
    <x v="116"/>
    <n v="10235"/>
    <n v="260"/>
    <x v="86"/>
    <x v="16"/>
    <x v="5"/>
    <x v="68"/>
    <n v="25"/>
    <n v="116.28"/>
    <n v="59.33"/>
    <n v="2907"/>
    <n v="1483.25"/>
    <n v="1423.75"/>
    <n v="1"/>
  </r>
  <r>
    <x v="116"/>
    <n v="10235"/>
    <n v="260"/>
    <x v="86"/>
    <x v="16"/>
    <x v="5"/>
    <x v="69"/>
    <n v="32"/>
    <n v="73.599999999999994"/>
    <n v="54.4"/>
    <n v="2355.1999999999998"/>
    <n v="1740.8"/>
    <n v="614.4"/>
    <n v="1"/>
  </r>
  <r>
    <x v="116"/>
    <n v="10235"/>
    <n v="260"/>
    <x v="86"/>
    <x v="16"/>
    <x v="5"/>
    <x v="70"/>
    <n v="34"/>
    <n v="70.33"/>
    <n v="36.270000000000003"/>
    <n v="2391.2199999999998"/>
    <n v="1233.18"/>
    <n v="1158.04"/>
    <n v="1"/>
  </r>
  <r>
    <x v="117"/>
    <n v="10236"/>
    <n v="486"/>
    <x v="9"/>
    <x v="0"/>
    <x v="6"/>
    <x v="73"/>
    <n v="22"/>
    <n v="105.86"/>
    <n v="68.989999999999995"/>
    <n v="2328.92"/>
    <n v="1517.78"/>
    <n v="811.14"/>
    <n v="2"/>
  </r>
  <r>
    <x v="117"/>
    <n v="10236"/>
    <n v="486"/>
    <x v="9"/>
    <x v="0"/>
    <x v="6"/>
    <x v="76"/>
    <n v="23"/>
    <n v="52.7"/>
    <n v="24.23"/>
    <n v="1212.0999999999999"/>
    <n v="557.29"/>
    <n v="654.80999999999995"/>
    <n v="2"/>
  </r>
  <r>
    <x v="117"/>
    <n v="10236"/>
    <n v="486"/>
    <x v="9"/>
    <x v="0"/>
    <x v="6"/>
    <x v="78"/>
    <n v="36"/>
    <n v="65.510000000000005"/>
    <n v="37.32"/>
    <n v="2358.36"/>
    <n v="1343.52"/>
    <n v="1014.84"/>
    <n v="2"/>
  </r>
  <r>
    <x v="118"/>
    <n v="10237"/>
    <n v="181"/>
    <x v="2"/>
    <x v="0"/>
    <x v="6"/>
    <x v="72"/>
    <n v="23"/>
    <n v="91.87"/>
    <n v="48.81"/>
    <n v="2113.0100000000002"/>
    <n v="1122.6300000000001"/>
    <n v="990.38"/>
    <n v="2"/>
  </r>
  <r>
    <x v="118"/>
    <n v="10237"/>
    <n v="181"/>
    <x v="2"/>
    <x v="0"/>
    <x v="6"/>
    <x v="74"/>
    <n v="39"/>
    <n v="158.80000000000001"/>
    <n v="91.02"/>
    <n v="6193.2"/>
    <n v="3549.78"/>
    <n v="2643.42"/>
    <n v="2"/>
  </r>
  <r>
    <x v="118"/>
    <n v="10237"/>
    <n v="181"/>
    <x v="2"/>
    <x v="0"/>
    <x v="6"/>
    <x v="75"/>
    <n v="32"/>
    <n v="129.53"/>
    <n v="66.27"/>
    <n v="4144.96"/>
    <n v="2120.64"/>
    <n v="2024.32"/>
    <n v="2"/>
  </r>
  <r>
    <x v="118"/>
    <n v="10237"/>
    <n v="181"/>
    <x v="2"/>
    <x v="0"/>
    <x v="6"/>
    <x v="87"/>
    <n v="26"/>
    <n v="49.74"/>
    <n v="32.950000000000003"/>
    <n v="1293.24"/>
    <n v="856.7"/>
    <n v="436.54"/>
    <n v="2"/>
  </r>
  <r>
    <x v="118"/>
    <n v="10237"/>
    <n v="181"/>
    <x v="2"/>
    <x v="0"/>
    <x v="6"/>
    <x v="77"/>
    <n v="20"/>
    <n v="109.32"/>
    <n v="60.86"/>
    <n v="2186.4"/>
    <n v="1217.2"/>
    <n v="969.2"/>
    <n v="2"/>
  </r>
  <r>
    <x v="118"/>
    <n v="10237"/>
    <n v="181"/>
    <x v="2"/>
    <x v="0"/>
    <x v="6"/>
    <x v="89"/>
    <n v="26"/>
    <n v="62.33"/>
    <n v="47.1"/>
    <n v="1620.58"/>
    <n v="1224.5999999999999"/>
    <n v="395.98"/>
    <n v="2"/>
  </r>
  <r>
    <x v="118"/>
    <n v="10237"/>
    <n v="181"/>
    <x v="2"/>
    <x v="0"/>
    <x v="6"/>
    <x v="93"/>
    <n v="26"/>
    <n v="35"/>
    <n v="24.14"/>
    <n v="910"/>
    <n v="627.64"/>
    <n v="282.36"/>
    <n v="2"/>
  </r>
  <r>
    <x v="118"/>
    <n v="10237"/>
    <n v="181"/>
    <x v="2"/>
    <x v="0"/>
    <x v="6"/>
    <x v="94"/>
    <n v="27"/>
    <n v="94.91"/>
    <n v="56.13"/>
    <n v="2562.5700000000002"/>
    <n v="1515.51"/>
    <n v="1047.06"/>
    <n v="2"/>
  </r>
  <r>
    <x v="118"/>
    <n v="10237"/>
    <n v="181"/>
    <x v="2"/>
    <x v="0"/>
    <x v="6"/>
    <x v="95"/>
    <n v="20"/>
    <n v="78.92"/>
    <n v="34.17"/>
    <n v="1578.4"/>
    <n v="683.4"/>
    <n v="895"/>
    <n v="2"/>
  </r>
  <r>
    <x v="119"/>
    <n v="10238"/>
    <n v="145"/>
    <x v="5"/>
    <x v="4"/>
    <x v="1"/>
    <x v="80"/>
    <n v="28"/>
    <n v="161.49"/>
    <n v="95.34"/>
    <n v="4521.72"/>
    <n v="2669.52"/>
    <n v="1852.2"/>
    <n v="2"/>
  </r>
  <r>
    <x v="119"/>
    <n v="10238"/>
    <n v="145"/>
    <x v="5"/>
    <x v="4"/>
    <x v="1"/>
    <x v="81"/>
    <n v="29"/>
    <n v="104.52"/>
    <n v="75.16"/>
    <n v="3031.08"/>
    <n v="2179.64"/>
    <n v="851.44"/>
    <n v="2"/>
  </r>
  <r>
    <x v="119"/>
    <n v="10238"/>
    <n v="145"/>
    <x v="5"/>
    <x v="4"/>
    <x v="1"/>
    <x v="82"/>
    <n v="20"/>
    <n v="73.42"/>
    <n v="31.92"/>
    <n v="1468.4"/>
    <n v="638.4"/>
    <n v="830"/>
    <n v="2"/>
  </r>
  <r>
    <x v="119"/>
    <n v="10238"/>
    <n v="145"/>
    <x v="5"/>
    <x v="4"/>
    <x v="1"/>
    <x v="85"/>
    <n v="41"/>
    <n v="68.349999999999994"/>
    <n v="49.05"/>
    <n v="2802.35"/>
    <n v="2011.05"/>
    <n v="791.3"/>
    <n v="2"/>
  </r>
  <r>
    <x v="119"/>
    <n v="10238"/>
    <n v="145"/>
    <x v="5"/>
    <x v="4"/>
    <x v="1"/>
    <x v="86"/>
    <n v="49"/>
    <n v="144.05000000000001"/>
    <n v="73.489999999999995"/>
    <n v="7058.45"/>
    <n v="3601.01"/>
    <n v="3457.44"/>
    <n v="2"/>
  </r>
  <r>
    <x v="119"/>
    <n v="10238"/>
    <n v="145"/>
    <x v="5"/>
    <x v="4"/>
    <x v="1"/>
    <x v="88"/>
    <n v="44"/>
    <n v="120.53"/>
    <n v="69.930000000000007"/>
    <n v="5303.32"/>
    <n v="3076.92"/>
    <n v="2226.4"/>
    <n v="2"/>
  </r>
  <r>
    <x v="119"/>
    <n v="10238"/>
    <n v="145"/>
    <x v="5"/>
    <x v="4"/>
    <x v="1"/>
    <x v="90"/>
    <n v="47"/>
    <n v="53.88"/>
    <n v="38.58"/>
    <n v="2532.36"/>
    <n v="1813.26"/>
    <n v="719.1"/>
    <n v="2"/>
  </r>
  <r>
    <x v="119"/>
    <n v="10238"/>
    <n v="145"/>
    <x v="5"/>
    <x v="4"/>
    <x v="1"/>
    <x v="92"/>
    <n v="22"/>
    <n v="67.91"/>
    <n v="32.33"/>
    <n v="1494.02"/>
    <n v="711.26"/>
    <n v="782.76"/>
    <n v="2"/>
  </r>
  <r>
    <x v="120"/>
    <n v="10239"/>
    <n v="311"/>
    <x v="42"/>
    <x v="15"/>
    <x v="1"/>
    <x v="83"/>
    <n v="21"/>
    <n v="100.19"/>
    <n v="58.73"/>
    <n v="2103.9899999999998"/>
    <n v="1233.33"/>
    <n v="870.66"/>
    <n v="2"/>
  </r>
  <r>
    <x v="120"/>
    <n v="10239"/>
    <n v="311"/>
    <x v="42"/>
    <x v="15"/>
    <x v="1"/>
    <x v="84"/>
    <n v="46"/>
    <n v="70.069999999999993"/>
    <n v="53.9"/>
    <n v="3223.22"/>
    <n v="2479.4"/>
    <n v="743.82"/>
    <n v="2"/>
  </r>
  <r>
    <x v="120"/>
    <n v="10239"/>
    <n v="311"/>
    <x v="42"/>
    <x v="15"/>
    <x v="1"/>
    <x v="30"/>
    <n v="47"/>
    <n v="135.47"/>
    <n v="77.900000000000006"/>
    <n v="6367.09"/>
    <n v="3661.3"/>
    <n v="2705.79"/>
    <n v="2"/>
  </r>
  <r>
    <x v="120"/>
    <n v="10239"/>
    <n v="311"/>
    <x v="42"/>
    <x v="15"/>
    <x v="1"/>
    <x v="100"/>
    <n v="20"/>
    <n v="32.47"/>
    <n v="16.239999999999998"/>
    <n v="649.4"/>
    <n v="324.8"/>
    <n v="324.60000000000002"/>
    <n v="2"/>
  </r>
  <r>
    <x v="120"/>
    <n v="10239"/>
    <n v="311"/>
    <x v="42"/>
    <x v="15"/>
    <x v="1"/>
    <x v="91"/>
    <n v="29"/>
    <n v="133.41"/>
    <n v="98.3"/>
    <n v="3868.89"/>
    <n v="2850.7"/>
    <n v="1018.19"/>
    <n v="2"/>
  </r>
  <r>
    <x v="121"/>
    <n v="10240"/>
    <n v="177"/>
    <x v="74"/>
    <x v="18"/>
    <x v="1"/>
    <x v="96"/>
    <n v="41"/>
    <n v="125.97"/>
    <n v="83.51"/>
    <n v="5164.7700000000004"/>
    <n v="3423.91"/>
    <n v="1740.86"/>
    <n v="2"/>
  </r>
  <r>
    <x v="121"/>
    <n v="10240"/>
    <n v="177"/>
    <x v="74"/>
    <x v="18"/>
    <x v="1"/>
    <x v="97"/>
    <n v="37"/>
    <n v="136.56"/>
    <n v="93.89"/>
    <n v="5052.72"/>
    <n v="3473.93"/>
    <n v="1578.79"/>
    <n v="2"/>
  </r>
  <r>
    <x v="121"/>
    <n v="10240"/>
    <n v="177"/>
    <x v="74"/>
    <x v="18"/>
    <x v="1"/>
    <x v="99"/>
    <n v="37"/>
    <n v="134.22"/>
    <n v="62.16"/>
    <n v="4966.1400000000003"/>
    <n v="2299.92"/>
    <n v="2666.22"/>
    <n v="2"/>
  </r>
  <r>
    <x v="121"/>
    <n v="10241"/>
    <n v="209"/>
    <x v="87"/>
    <x v="9"/>
    <x v="1"/>
    <x v="101"/>
    <n v="21"/>
    <n v="119.46"/>
    <n v="65.959999999999994"/>
    <n v="2508.66"/>
    <n v="1385.16"/>
    <n v="1123.5"/>
    <n v="1"/>
  </r>
  <r>
    <x v="121"/>
    <n v="10241"/>
    <n v="209"/>
    <x v="87"/>
    <x v="9"/>
    <x v="0"/>
    <x v="0"/>
    <n v="41"/>
    <n v="153"/>
    <n v="86.7"/>
    <n v="6273"/>
    <n v="3554.7"/>
    <n v="2718.3"/>
    <n v="1"/>
  </r>
  <r>
    <x v="121"/>
    <n v="10241"/>
    <n v="209"/>
    <x v="87"/>
    <x v="9"/>
    <x v="0"/>
    <x v="1"/>
    <n v="33"/>
    <n v="55.7"/>
    <n v="33.299999999999997"/>
    <n v="1838.1"/>
    <n v="1098.9000000000001"/>
    <n v="739.2"/>
    <n v="1"/>
  </r>
  <r>
    <x v="121"/>
    <n v="10241"/>
    <n v="209"/>
    <x v="87"/>
    <x v="9"/>
    <x v="1"/>
    <x v="98"/>
    <n v="44"/>
    <n v="126.72"/>
    <n v="56.76"/>
    <n v="5575.68"/>
    <n v="2497.44"/>
    <n v="3078.24"/>
    <n v="1"/>
  </r>
  <r>
    <x v="121"/>
    <n v="10241"/>
    <n v="209"/>
    <x v="87"/>
    <x v="9"/>
    <x v="0"/>
    <x v="2"/>
    <n v="42"/>
    <n v="77.31"/>
    <n v="43.26"/>
    <n v="3247.02"/>
    <n v="1816.92"/>
    <n v="1430.1"/>
    <n v="1"/>
  </r>
  <r>
    <x v="121"/>
    <n v="10241"/>
    <n v="209"/>
    <x v="87"/>
    <x v="9"/>
    <x v="1"/>
    <x v="102"/>
    <n v="30"/>
    <n v="62.72"/>
    <n v="34.21"/>
    <n v="1881.6"/>
    <n v="1026.3"/>
    <n v="855.3"/>
    <n v="1"/>
  </r>
  <r>
    <x v="121"/>
    <n v="10241"/>
    <n v="209"/>
    <x v="87"/>
    <x v="9"/>
    <x v="1"/>
    <x v="103"/>
    <n v="22"/>
    <n v="72.02"/>
    <n v="49.24"/>
    <n v="1584.44"/>
    <n v="1083.28"/>
    <n v="501.16"/>
    <n v="1"/>
  </r>
  <r>
    <x v="121"/>
    <n v="10241"/>
    <n v="209"/>
    <x v="87"/>
    <x v="9"/>
    <x v="1"/>
    <x v="104"/>
    <n v="21"/>
    <n v="47.29"/>
    <n v="29.18"/>
    <n v="993.09"/>
    <n v="612.78"/>
    <n v="380.31"/>
    <n v="1"/>
  </r>
  <r>
    <x v="121"/>
    <n v="10241"/>
    <n v="209"/>
    <x v="87"/>
    <x v="9"/>
    <x v="1"/>
    <x v="105"/>
    <n v="47"/>
    <n v="89.05"/>
    <n v="47.25"/>
    <n v="4185.3500000000004"/>
    <n v="2220.75"/>
    <n v="1964.6"/>
    <n v="1"/>
  </r>
  <r>
    <x v="121"/>
    <n v="10241"/>
    <n v="209"/>
    <x v="87"/>
    <x v="9"/>
    <x v="1"/>
    <x v="106"/>
    <n v="28"/>
    <n v="117.44"/>
    <n v="72.819999999999993"/>
    <n v="3288.32"/>
    <n v="2038.96"/>
    <n v="1249.3599999999999"/>
    <n v="1"/>
  </r>
  <r>
    <x v="121"/>
    <n v="10241"/>
    <n v="209"/>
    <x v="87"/>
    <x v="9"/>
    <x v="1"/>
    <x v="107"/>
    <n v="26"/>
    <n v="69.34"/>
    <n v="50.51"/>
    <n v="1802.84"/>
    <n v="1313.26"/>
    <n v="489.58"/>
    <n v="1"/>
  </r>
  <r>
    <x v="121"/>
    <n v="10241"/>
    <n v="209"/>
    <x v="87"/>
    <x v="9"/>
    <x v="1"/>
    <x v="108"/>
    <n v="27"/>
    <n v="107.08"/>
    <n v="62.11"/>
    <n v="2891.16"/>
    <n v="1676.97"/>
    <n v="1214.19"/>
    <n v="1"/>
  </r>
  <r>
    <x v="122"/>
    <n v="10242"/>
    <n v="456"/>
    <x v="88"/>
    <x v="0"/>
    <x v="0"/>
    <x v="3"/>
    <n v="46"/>
    <n v="36.520000000000003"/>
    <n v="21.75"/>
    <n v="1679.92"/>
    <n v="1000.5"/>
    <n v="679.42"/>
    <n v="1"/>
  </r>
  <r>
    <x v="123"/>
    <n v="10243"/>
    <n v="495"/>
    <x v="73"/>
    <x v="0"/>
    <x v="0"/>
    <x v="4"/>
    <n v="47"/>
    <n v="111.87"/>
    <n v="58.48"/>
    <n v="5257.89"/>
    <n v="2748.56"/>
    <n v="2509.33"/>
    <n v="2"/>
  </r>
  <r>
    <x v="123"/>
    <n v="10243"/>
    <n v="495"/>
    <x v="73"/>
    <x v="0"/>
    <x v="0"/>
    <x v="6"/>
    <n v="33"/>
    <n v="30.87"/>
    <n v="22.57"/>
    <n v="1018.71"/>
    <n v="744.81"/>
    <n v="273.89999999999998"/>
    <n v="2"/>
  </r>
  <r>
    <x v="124"/>
    <n v="10244"/>
    <n v="141"/>
    <x v="4"/>
    <x v="3"/>
    <x v="0"/>
    <x v="8"/>
    <n v="40"/>
    <n v="99.66"/>
    <n v="60.62"/>
    <n v="3986.4"/>
    <n v="2424.8000000000002"/>
    <n v="1561.6"/>
    <n v="10"/>
  </r>
  <r>
    <x v="124"/>
    <n v="10244"/>
    <n v="141"/>
    <x v="4"/>
    <x v="3"/>
    <x v="0"/>
    <x v="9"/>
    <n v="20"/>
    <n v="48.52"/>
    <n v="24.26"/>
    <n v="970.4"/>
    <n v="485.2"/>
    <n v="485.2"/>
    <n v="10"/>
  </r>
  <r>
    <x v="124"/>
    <n v="10244"/>
    <n v="141"/>
    <x v="4"/>
    <x v="3"/>
    <x v="0"/>
    <x v="5"/>
    <n v="43"/>
    <n v="141.75"/>
    <n v="72.56"/>
    <n v="6095.25"/>
    <n v="3120.08"/>
    <n v="2975.17"/>
    <n v="10"/>
  </r>
  <r>
    <x v="124"/>
    <n v="10244"/>
    <n v="141"/>
    <x v="4"/>
    <x v="3"/>
    <x v="0"/>
    <x v="15"/>
    <n v="30"/>
    <n v="87.13"/>
    <n v="60.78"/>
    <n v="2613.9"/>
    <n v="1823.4"/>
    <n v="790.5"/>
    <n v="10"/>
  </r>
  <r>
    <x v="124"/>
    <n v="10244"/>
    <n v="141"/>
    <x v="4"/>
    <x v="3"/>
    <x v="0"/>
    <x v="16"/>
    <n v="24"/>
    <n v="54.96"/>
    <n v="34.35"/>
    <n v="1319.04"/>
    <n v="824.4"/>
    <n v="494.64"/>
    <n v="10"/>
  </r>
  <r>
    <x v="124"/>
    <n v="10244"/>
    <n v="141"/>
    <x v="4"/>
    <x v="3"/>
    <x v="0"/>
    <x v="17"/>
    <n v="29"/>
    <n v="85.87"/>
    <n v="60.74"/>
    <n v="2490.23"/>
    <n v="1761.46"/>
    <n v="728.77"/>
    <n v="10"/>
  </r>
  <r>
    <x v="124"/>
    <n v="10244"/>
    <n v="141"/>
    <x v="4"/>
    <x v="3"/>
    <x v="0"/>
    <x v="18"/>
    <n v="36"/>
    <n v="87.3"/>
    <n v="57.54"/>
    <n v="3142.8"/>
    <n v="2071.44"/>
    <n v="1071.3599999999999"/>
    <n v="10"/>
  </r>
  <r>
    <x v="124"/>
    <n v="10244"/>
    <n v="141"/>
    <x v="4"/>
    <x v="3"/>
    <x v="0"/>
    <x v="7"/>
    <n v="39"/>
    <n v="42.11"/>
    <n v="20.61"/>
    <n v="1642.29"/>
    <n v="803.79"/>
    <n v="838.5"/>
    <n v="10"/>
  </r>
  <r>
    <x v="124"/>
    <n v="10244"/>
    <n v="141"/>
    <x v="4"/>
    <x v="3"/>
    <x v="0"/>
    <x v="22"/>
    <n v="40"/>
    <n v="97.39"/>
    <n v="57.46"/>
    <n v="3895.6"/>
    <n v="2298.4"/>
    <n v="1597.2"/>
    <n v="10"/>
  </r>
  <r>
    <x v="125"/>
    <n v="10245"/>
    <n v="455"/>
    <x v="69"/>
    <x v="0"/>
    <x v="1"/>
    <x v="10"/>
    <n v="34"/>
    <n v="195.01"/>
    <n v="98.58"/>
    <n v="6630.34"/>
    <n v="3351.72"/>
    <n v="3278.62"/>
    <n v="2"/>
  </r>
  <r>
    <x v="125"/>
    <n v="10245"/>
    <n v="455"/>
    <x v="69"/>
    <x v="0"/>
    <x v="1"/>
    <x v="11"/>
    <n v="28"/>
    <n v="147.74"/>
    <n v="103.42"/>
    <n v="4136.72"/>
    <n v="2895.76"/>
    <n v="1240.96"/>
    <n v="2"/>
  </r>
  <r>
    <x v="125"/>
    <n v="10245"/>
    <n v="455"/>
    <x v="69"/>
    <x v="0"/>
    <x v="2"/>
    <x v="12"/>
    <n v="38"/>
    <n v="120.27"/>
    <n v="77.900000000000006"/>
    <n v="4570.26"/>
    <n v="2960.2"/>
    <n v="1610.06"/>
    <n v="2"/>
  </r>
  <r>
    <x v="125"/>
    <n v="10245"/>
    <n v="455"/>
    <x v="69"/>
    <x v="0"/>
    <x v="2"/>
    <x v="13"/>
    <n v="29"/>
    <n v="114.34"/>
    <n v="58.33"/>
    <n v="3315.86"/>
    <n v="1691.57"/>
    <n v="1624.29"/>
    <n v="2"/>
  </r>
  <r>
    <x v="125"/>
    <n v="10245"/>
    <n v="455"/>
    <x v="69"/>
    <x v="0"/>
    <x v="2"/>
    <x v="19"/>
    <n v="21"/>
    <n v="111.39"/>
    <n v="84.76"/>
    <n v="2339.19"/>
    <n v="1779.96"/>
    <n v="559.23"/>
    <n v="2"/>
  </r>
  <r>
    <x v="125"/>
    <n v="10245"/>
    <n v="455"/>
    <x v="69"/>
    <x v="0"/>
    <x v="0"/>
    <x v="20"/>
    <n v="45"/>
    <n v="48.8"/>
    <n v="23.14"/>
    <n v="2196"/>
    <n v="1041.3"/>
    <n v="1154.7"/>
    <n v="2"/>
  </r>
  <r>
    <x v="125"/>
    <n v="10245"/>
    <n v="455"/>
    <x v="69"/>
    <x v="0"/>
    <x v="2"/>
    <x v="23"/>
    <n v="37"/>
    <n v="81.86"/>
    <n v="53.93"/>
    <n v="3028.82"/>
    <n v="1995.41"/>
    <n v="1033.4100000000001"/>
    <n v="2"/>
  </r>
  <r>
    <x v="125"/>
    <n v="10245"/>
    <n v="455"/>
    <x v="69"/>
    <x v="0"/>
    <x v="2"/>
    <x v="24"/>
    <n v="44"/>
    <n v="54.94"/>
    <n v="33.61"/>
    <n v="2417.36"/>
    <n v="1478.84"/>
    <n v="938.52"/>
    <n v="2"/>
  </r>
  <r>
    <x v="125"/>
    <n v="10245"/>
    <n v="455"/>
    <x v="69"/>
    <x v="0"/>
    <x v="1"/>
    <x v="25"/>
    <n v="44"/>
    <n v="81.93"/>
    <n v="46.53"/>
    <n v="3604.92"/>
    <n v="2047.32"/>
    <n v="1557.6"/>
    <n v="2"/>
  </r>
  <r>
    <x v="126"/>
    <n v="10247"/>
    <n v="334"/>
    <x v="36"/>
    <x v="15"/>
    <x v="1"/>
    <x v="40"/>
    <n v="44"/>
    <n v="195.33"/>
    <n v="95.59"/>
    <n v="8594.52"/>
    <n v="4205.96"/>
    <n v="4388.5600000000004"/>
    <n v="2"/>
  </r>
  <r>
    <x v="126"/>
    <n v="10247"/>
    <n v="334"/>
    <x v="36"/>
    <x v="15"/>
    <x v="1"/>
    <x v="26"/>
    <n v="25"/>
    <n v="140.5"/>
    <n v="89.14"/>
    <n v="3512.5"/>
    <n v="2228.5"/>
    <n v="1284"/>
    <n v="2"/>
  </r>
  <r>
    <x v="126"/>
    <n v="10247"/>
    <n v="334"/>
    <x v="36"/>
    <x v="15"/>
    <x v="1"/>
    <x v="41"/>
    <n v="27"/>
    <n v="167.83"/>
    <n v="83.05"/>
    <n v="4531.41"/>
    <n v="2242.35"/>
    <n v="2289.06"/>
    <n v="2"/>
  </r>
  <r>
    <x v="126"/>
    <n v="10247"/>
    <n v="334"/>
    <x v="36"/>
    <x v="15"/>
    <x v="1"/>
    <x v="31"/>
    <n v="48"/>
    <n v="143.62"/>
    <n v="91.92"/>
    <n v="6893.76"/>
    <n v="4412.16"/>
    <n v="2481.6"/>
    <n v="2"/>
  </r>
  <r>
    <x v="126"/>
    <n v="10247"/>
    <n v="334"/>
    <x v="36"/>
    <x v="15"/>
    <x v="3"/>
    <x v="36"/>
    <n v="40"/>
    <n v="58.41"/>
    <n v="26.72"/>
    <n v="2336.4"/>
    <n v="1068.8"/>
    <n v="1267.5999999999999"/>
    <n v="2"/>
  </r>
  <r>
    <x v="126"/>
    <n v="10247"/>
    <n v="334"/>
    <x v="36"/>
    <x v="15"/>
    <x v="3"/>
    <x v="38"/>
    <n v="49"/>
    <n v="51.55"/>
    <n v="37.49"/>
    <n v="2525.9499999999998"/>
    <n v="1837.01"/>
    <n v="688.94"/>
    <n v="2"/>
  </r>
  <r>
    <x v="126"/>
    <n v="10246"/>
    <n v="141"/>
    <x v="4"/>
    <x v="3"/>
    <x v="2"/>
    <x v="27"/>
    <n v="46"/>
    <n v="99.54"/>
    <n v="55.7"/>
    <n v="4578.84"/>
    <n v="2562.1999999999998"/>
    <n v="2016.64"/>
    <n v="11"/>
  </r>
  <r>
    <x v="126"/>
    <n v="10246"/>
    <n v="141"/>
    <x v="4"/>
    <x v="3"/>
    <x v="1"/>
    <x v="28"/>
    <n v="40"/>
    <n v="144.08000000000001"/>
    <n v="101.51"/>
    <n v="5763.2"/>
    <n v="4060.4"/>
    <n v="1702.8"/>
    <n v="11"/>
  </r>
  <r>
    <x v="126"/>
    <n v="10246"/>
    <n v="141"/>
    <x v="4"/>
    <x v="3"/>
    <x v="2"/>
    <x v="29"/>
    <n v="22"/>
    <n v="100.64"/>
    <n v="74.86"/>
    <n v="2214.08"/>
    <n v="1646.92"/>
    <n v="567.16"/>
    <n v="11"/>
  </r>
  <r>
    <x v="126"/>
    <n v="10246"/>
    <n v="141"/>
    <x v="4"/>
    <x v="3"/>
    <x v="2"/>
    <x v="14"/>
    <n v="30"/>
    <n v="57.73"/>
    <n v="24.92"/>
    <n v="1731.9"/>
    <n v="747.6"/>
    <n v="984.3"/>
    <n v="11"/>
  </r>
  <r>
    <x v="126"/>
    <n v="10246"/>
    <n v="141"/>
    <x v="4"/>
    <x v="3"/>
    <x v="1"/>
    <x v="30"/>
    <n v="36"/>
    <n v="145.63"/>
    <n v="77.900000000000006"/>
    <n v="5242.68"/>
    <n v="2804.4"/>
    <n v="2438.2800000000002"/>
    <n v="11"/>
  </r>
  <r>
    <x v="126"/>
    <n v="10246"/>
    <n v="141"/>
    <x v="4"/>
    <x v="3"/>
    <x v="1"/>
    <x v="32"/>
    <n v="44"/>
    <n v="46.24"/>
    <n v="32.369999999999997"/>
    <n v="2034.56"/>
    <n v="1424.28"/>
    <n v="610.28"/>
    <n v="11"/>
  </r>
  <r>
    <x v="126"/>
    <n v="10246"/>
    <n v="141"/>
    <x v="4"/>
    <x v="3"/>
    <x v="2"/>
    <x v="21"/>
    <n v="29"/>
    <n v="118.84"/>
    <n v="61.34"/>
    <n v="3446.36"/>
    <n v="1778.86"/>
    <n v="1667.5"/>
    <n v="11"/>
  </r>
  <r>
    <x v="126"/>
    <n v="10246"/>
    <n v="141"/>
    <x v="4"/>
    <x v="3"/>
    <x v="1"/>
    <x v="33"/>
    <n v="49"/>
    <n v="34.65"/>
    <n v="15.91"/>
    <n v="1697.85"/>
    <n v="779.59"/>
    <n v="918.26"/>
    <n v="11"/>
  </r>
  <r>
    <x v="126"/>
    <n v="10246"/>
    <n v="141"/>
    <x v="4"/>
    <x v="3"/>
    <x v="1"/>
    <x v="34"/>
    <n v="46"/>
    <n v="100.54"/>
    <n v="69.78"/>
    <n v="4624.84"/>
    <n v="3209.88"/>
    <n v="1414.96"/>
    <n v="11"/>
  </r>
  <r>
    <x v="126"/>
    <n v="10246"/>
    <n v="141"/>
    <x v="4"/>
    <x v="3"/>
    <x v="2"/>
    <x v="35"/>
    <n v="35"/>
    <n v="45.45"/>
    <n v="25.98"/>
    <n v="1590.75"/>
    <n v="909.3"/>
    <n v="681.45"/>
    <n v="11"/>
  </r>
  <r>
    <x v="126"/>
    <n v="10246"/>
    <n v="141"/>
    <x v="4"/>
    <x v="3"/>
    <x v="2"/>
    <x v="37"/>
    <n v="22"/>
    <n v="113.44"/>
    <n v="68.290000000000006"/>
    <n v="2495.6799999999998"/>
    <n v="1502.38"/>
    <n v="993.3"/>
    <n v="11"/>
  </r>
  <r>
    <x v="127"/>
    <n v="10248"/>
    <n v="131"/>
    <x v="7"/>
    <x v="0"/>
    <x v="1"/>
    <x v="39"/>
    <n v="20"/>
    <n v="126.48"/>
    <n v="85.68"/>
    <n v="2529.6"/>
    <n v="1713.6"/>
    <n v="816"/>
    <n v="2"/>
  </r>
  <r>
    <x v="127"/>
    <n v="10248"/>
    <n v="131"/>
    <x v="7"/>
    <x v="0"/>
    <x v="4"/>
    <x v="56"/>
    <n v="21"/>
    <n v="80.86"/>
    <n v="51.61"/>
    <n v="1698.06"/>
    <n v="1083.81"/>
    <n v="614.25"/>
    <n v="2"/>
  </r>
  <r>
    <x v="127"/>
    <n v="10248"/>
    <n v="131"/>
    <x v="7"/>
    <x v="0"/>
    <x v="0"/>
    <x v="42"/>
    <n v="32"/>
    <n v="133.86000000000001"/>
    <n v="68.3"/>
    <n v="4283.5200000000004"/>
    <n v="2185.6"/>
    <n v="2097.92"/>
    <n v="2"/>
  </r>
  <r>
    <x v="127"/>
    <n v="10248"/>
    <n v="131"/>
    <x v="7"/>
    <x v="0"/>
    <x v="3"/>
    <x v="43"/>
    <n v="42"/>
    <n v="95.8"/>
    <n v="67.56"/>
    <n v="4023.6"/>
    <n v="2837.52"/>
    <n v="1186.08"/>
    <n v="2"/>
  </r>
  <r>
    <x v="127"/>
    <n v="10248"/>
    <n v="131"/>
    <x v="7"/>
    <x v="0"/>
    <x v="0"/>
    <x v="44"/>
    <n v="42"/>
    <n v="87.77"/>
    <n v="52.66"/>
    <n v="3686.34"/>
    <n v="2211.7199999999998"/>
    <n v="1474.62"/>
    <n v="2"/>
  </r>
  <r>
    <x v="127"/>
    <n v="10248"/>
    <n v="131"/>
    <x v="7"/>
    <x v="0"/>
    <x v="4"/>
    <x v="45"/>
    <n v="48"/>
    <n v="122.89"/>
    <n v="82.34"/>
    <n v="5898.72"/>
    <n v="3952.32"/>
    <n v="1946.4"/>
    <n v="2"/>
  </r>
  <r>
    <x v="127"/>
    <n v="10248"/>
    <n v="131"/>
    <x v="7"/>
    <x v="0"/>
    <x v="0"/>
    <x v="46"/>
    <n v="30"/>
    <n v="85.85"/>
    <n v="46.91"/>
    <n v="2575.5"/>
    <n v="1407.3"/>
    <n v="1168.2"/>
    <n v="2"/>
  </r>
  <r>
    <x v="127"/>
    <n v="10248"/>
    <n v="131"/>
    <x v="7"/>
    <x v="0"/>
    <x v="0"/>
    <x v="47"/>
    <n v="23"/>
    <n v="83.02"/>
    <n v="48.64"/>
    <n v="1909.46"/>
    <n v="1118.72"/>
    <n v="790.74"/>
    <n v="2"/>
  </r>
  <r>
    <x v="127"/>
    <n v="10248"/>
    <n v="131"/>
    <x v="7"/>
    <x v="0"/>
    <x v="4"/>
    <x v="48"/>
    <n v="36"/>
    <n v="66"/>
    <n v="34"/>
    <n v="2376"/>
    <n v="1224"/>
    <n v="1152"/>
    <n v="2"/>
  </r>
  <r>
    <x v="127"/>
    <n v="10248"/>
    <n v="131"/>
    <x v="7"/>
    <x v="0"/>
    <x v="4"/>
    <x v="49"/>
    <n v="40"/>
    <n v="81.41"/>
    <n v="43.3"/>
    <n v="3256.4"/>
    <n v="1732"/>
    <n v="1524.4"/>
    <n v="2"/>
  </r>
  <r>
    <x v="127"/>
    <n v="10248"/>
    <n v="131"/>
    <x v="7"/>
    <x v="0"/>
    <x v="4"/>
    <x v="50"/>
    <n v="32"/>
    <n v="69.39"/>
    <n v="33.97"/>
    <n v="2220.48"/>
    <n v="1087.04"/>
    <n v="1133.44"/>
    <n v="2"/>
  </r>
  <r>
    <x v="127"/>
    <n v="10248"/>
    <n v="131"/>
    <x v="7"/>
    <x v="0"/>
    <x v="4"/>
    <x v="51"/>
    <n v="30"/>
    <n v="84.14"/>
    <n v="51.09"/>
    <n v="2524.1999999999998"/>
    <n v="1532.7"/>
    <n v="991.5"/>
    <n v="2"/>
  </r>
  <r>
    <x v="127"/>
    <n v="10248"/>
    <n v="131"/>
    <x v="7"/>
    <x v="0"/>
    <x v="4"/>
    <x v="52"/>
    <n v="35"/>
    <n v="92.36"/>
    <n v="53.63"/>
    <n v="3232.6"/>
    <n v="1877.05"/>
    <n v="1355.55"/>
    <n v="2"/>
  </r>
  <r>
    <x v="127"/>
    <n v="10248"/>
    <n v="131"/>
    <x v="7"/>
    <x v="0"/>
    <x v="4"/>
    <x v="53"/>
    <n v="23"/>
    <n v="53.51"/>
    <n v="33.299999999999997"/>
    <n v="1230.73"/>
    <n v="765.9"/>
    <n v="464.83"/>
    <n v="2"/>
  </r>
  <r>
    <x v="128"/>
    <n v="10249"/>
    <n v="173"/>
    <x v="82"/>
    <x v="0"/>
    <x v="0"/>
    <x v="57"/>
    <n v="46"/>
    <n v="88.93"/>
    <n v="64.58"/>
    <n v="4090.78"/>
    <n v="2970.68"/>
    <n v="1120.0999999999999"/>
    <n v="2"/>
  </r>
  <r>
    <x v="128"/>
    <n v="10249"/>
    <n v="173"/>
    <x v="82"/>
    <x v="0"/>
    <x v="5"/>
    <x v="59"/>
    <n v="20"/>
    <n v="54.81"/>
    <n v="34.25"/>
    <n v="1096.2"/>
    <n v="685"/>
    <n v="411.2"/>
    <n v="2"/>
  </r>
  <r>
    <x v="128"/>
    <n v="10249"/>
    <n v="173"/>
    <x v="82"/>
    <x v="0"/>
    <x v="0"/>
    <x v="60"/>
    <n v="25"/>
    <n v="65.75"/>
    <n v="26.3"/>
    <n v="1643.75"/>
    <n v="657.5"/>
    <n v="986.25"/>
    <n v="2"/>
  </r>
  <r>
    <x v="128"/>
    <n v="10249"/>
    <n v="173"/>
    <x v="82"/>
    <x v="0"/>
    <x v="4"/>
    <x v="66"/>
    <n v="40"/>
    <n v="85.99"/>
    <n v="39.83"/>
    <n v="3439.6"/>
    <n v="1593.2"/>
    <n v="1846.4"/>
    <n v="2"/>
  </r>
  <r>
    <x v="128"/>
    <n v="10249"/>
    <n v="173"/>
    <x v="82"/>
    <x v="0"/>
    <x v="5"/>
    <x v="71"/>
    <n v="32"/>
    <n v="49.16"/>
    <n v="32.770000000000003"/>
    <n v="1573.12"/>
    <n v="1048.6400000000001"/>
    <n v="524.48"/>
    <n v="2"/>
  </r>
  <r>
    <x v="129"/>
    <n v="10250"/>
    <n v="450"/>
    <x v="89"/>
    <x v="0"/>
    <x v="5"/>
    <x v="54"/>
    <n v="45"/>
    <n v="148.22999999999999"/>
    <n v="77.27"/>
    <n v="6670.35"/>
    <n v="3477.15"/>
    <n v="3193.2"/>
    <n v="1"/>
  </r>
  <r>
    <x v="129"/>
    <n v="10250"/>
    <n v="450"/>
    <x v="89"/>
    <x v="0"/>
    <x v="5"/>
    <x v="55"/>
    <n v="27"/>
    <n v="84.48"/>
    <n v="49"/>
    <n v="2280.96"/>
    <n v="1323"/>
    <n v="957.96"/>
    <n v="1"/>
  </r>
  <r>
    <x v="129"/>
    <n v="10250"/>
    <n v="450"/>
    <x v="89"/>
    <x v="0"/>
    <x v="5"/>
    <x v="58"/>
    <n v="31"/>
    <n v="95.2"/>
    <n v="66.739999999999995"/>
    <n v="2951.2"/>
    <n v="2068.94"/>
    <n v="882.26"/>
    <n v="1"/>
  </r>
  <r>
    <x v="129"/>
    <n v="10250"/>
    <n v="450"/>
    <x v="89"/>
    <x v="0"/>
    <x v="6"/>
    <x v="78"/>
    <n v="32"/>
    <n v="63.22"/>
    <n v="37.32"/>
    <n v="2023.04"/>
    <n v="1194.24"/>
    <n v="828.8"/>
    <n v="1"/>
  </r>
  <r>
    <x v="129"/>
    <n v="10250"/>
    <n v="450"/>
    <x v="89"/>
    <x v="0"/>
    <x v="5"/>
    <x v="61"/>
    <n v="40"/>
    <n v="61.42"/>
    <n v="29.34"/>
    <n v="2456.8000000000002"/>
    <n v="1173.5999999999999"/>
    <n v="1283.2"/>
    <n v="1"/>
  </r>
  <r>
    <x v="129"/>
    <n v="10250"/>
    <n v="450"/>
    <x v="89"/>
    <x v="0"/>
    <x v="5"/>
    <x v="62"/>
    <n v="37"/>
    <n v="72.45"/>
    <n v="36.229999999999997"/>
    <n v="2680.65"/>
    <n v="1340.51"/>
    <n v="1340.14"/>
    <n v="1"/>
  </r>
  <r>
    <x v="129"/>
    <n v="10250"/>
    <n v="450"/>
    <x v="89"/>
    <x v="0"/>
    <x v="6"/>
    <x v="79"/>
    <n v="31"/>
    <n v="99.89"/>
    <n v="66.92"/>
    <n v="3096.59"/>
    <n v="2074.52"/>
    <n v="1022.07"/>
    <n v="1"/>
  </r>
  <r>
    <x v="129"/>
    <n v="10250"/>
    <n v="450"/>
    <x v="89"/>
    <x v="0"/>
    <x v="0"/>
    <x v="63"/>
    <n v="50"/>
    <n v="62.6"/>
    <n v="33.020000000000003"/>
    <n v="3130"/>
    <n v="1651"/>
    <n v="1479"/>
    <n v="1"/>
  </r>
  <r>
    <x v="129"/>
    <n v="10250"/>
    <n v="450"/>
    <x v="89"/>
    <x v="0"/>
    <x v="0"/>
    <x v="64"/>
    <n v="36"/>
    <n v="36.659999999999997"/>
    <n v="27.06"/>
    <n v="1319.76"/>
    <n v="974.16"/>
    <n v="345.6"/>
    <n v="1"/>
  </r>
  <r>
    <x v="129"/>
    <n v="10250"/>
    <n v="450"/>
    <x v="89"/>
    <x v="0"/>
    <x v="5"/>
    <x v="65"/>
    <n v="31"/>
    <n v="91.34"/>
    <n v="51.15"/>
    <n v="2831.54"/>
    <n v="1585.65"/>
    <n v="1245.8900000000001"/>
    <n v="1"/>
  </r>
  <r>
    <x v="129"/>
    <n v="10250"/>
    <n v="450"/>
    <x v="89"/>
    <x v="0"/>
    <x v="5"/>
    <x v="67"/>
    <n v="35"/>
    <n v="90.75"/>
    <n v="68.8"/>
    <n v="3176.25"/>
    <n v="2408"/>
    <n v="768.25"/>
    <n v="1"/>
  </r>
  <r>
    <x v="129"/>
    <n v="10250"/>
    <n v="450"/>
    <x v="89"/>
    <x v="0"/>
    <x v="5"/>
    <x v="68"/>
    <n v="44"/>
    <n v="98.48"/>
    <n v="59.33"/>
    <n v="4333.12"/>
    <n v="2610.52"/>
    <n v="1722.6"/>
    <n v="1"/>
  </r>
  <r>
    <x v="129"/>
    <n v="10250"/>
    <n v="450"/>
    <x v="89"/>
    <x v="0"/>
    <x v="5"/>
    <x v="69"/>
    <n v="44"/>
    <n v="76"/>
    <n v="54.4"/>
    <n v="3344"/>
    <n v="2393.6"/>
    <n v="950.4"/>
    <n v="1"/>
  </r>
  <r>
    <x v="129"/>
    <n v="10250"/>
    <n v="450"/>
    <x v="89"/>
    <x v="0"/>
    <x v="5"/>
    <x v="70"/>
    <n v="38"/>
    <n v="65.89"/>
    <n v="36.270000000000003"/>
    <n v="2503.8200000000002"/>
    <n v="1378.26"/>
    <n v="1125.56"/>
    <n v="1"/>
  </r>
  <r>
    <x v="130"/>
    <n v="10251"/>
    <n v="328"/>
    <x v="84"/>
    <x v="0"/>
    <x v="6"/>
    <x v="72"/>
    <n v="59"/>
    <n v="93.79"/>
    <n v="48.81"/>
    <n v="5533.61"/>
    <n v="2879.79"/>
    <n v="2653.82"/>
    <n v="2"/>
  </r>
  <r>
    <x v="130"/>
    <n v="10251"/>
    <n v="328"/>
    <x v="84"/>
    <x v="0"/>
    <x v="6"/>
    <x v="73"/>
    <n v="44"/>
    <n v="115.37"/>
    <n v="68.989999999999995"/>
    <n v="5076.28"/>
    <n v="3035.56"/>
    <n v="2040.72"/>
    <n v="2"/>
  </r>
  <r>
    <x v="130"/>
    <n v="10251"/>
    <n v="328"/>
    <x v="84"/>
    <x v="0"/>
    <x v="6"/>
    <x v="74"/>
    <n v="43"/>
    <n v="172.36"/>
    <n v="91.02"/>
    <n v="7411.48"/>
    <n v="3913.86"/>
    <n v="3497.62"/>
    <n v="2"/>
  </r>
  <r>
    <x v="130"/>
    <n v="10251"/>
    <n v="328"/>
    <x v="84"/>
    <x v="0"/>
    <x v="6"/>
    <x v="75"/>
    <n v="46"/>
    <n v="129.53"/>
    <n v="66.27"/>
    <n v="5958.38"/>
    <n v="3048.42"/>
    <n v="2909.96"/>
    <n v="2"/>
  </r>
  <r>
    <x v="130"/>
    <n v="10251"/>
    <n v="328"/>
    <x v="84"/>
    <x v="0"/>
    <x v="6"/>
    <x v="76"/>
    <n v="44"/>
    <n v="58.15"/>
    <n v="24.23"/>
    <n v="2558.6"/>
    <n v="1066.1199999999999"/>
    <n v="1492.48"/>
    <n v="2"/>
  </r>
  <r>
    <x v="130"/>
    <n v="10251"/>
    <n v="328"/>
    <x v="84"/>
    <x v="0"/>
    <x v="6"/>
    <x v="77"/>
    <n v="50"/>
    <n v="91.29"/>
    <n v="60.86"/>
    <n v="4564.5"/>
    <n v="3043"/>
    <n v="1521.5"/>
    <n v="2"/>
  </r>
  <r>
    <x v="131"/>
    <n v="10252"/>
    <n v="406"/>
    <x v="75"/>
    <x v="9"/>
    <x v="1"/>
    <x v="85"/>
    <n v="20"/>
    <n v="74.78"/>
    <n v="49.05"/>
    <n v="1495.6"/>
    <n v="981"/>
    <n v="514.6"/>
    <n v="2"/>
  </r>
  <r>
    <x v="131"/>
    <n v="10252"/>
    <n v="406"/>
    <x v="75"/>
    <x v="9"/>
    <x v="1"/>
    <x v="86"/>
    <n v="41"/>
    <n v="145.52000000000001"/>
    <n v="73.489999999999995"/>
    <n v="5966.32"/>
    <n v="3013.09"/>
    <n v="2953.23"/>
    <n v="2"/>
  </r>
  <r>
    <x v="131"/>
    <n v="10252"/>
    <n v="406"/>
    <x v="75"/>
    <x v="9"/>
    <x v="6"/>
    <x v="87"/>
    <n v="31"/>
    <n v="50.36"/>
    <n v="32.950000000000003"/>
    <n v="1561.16"/>
    <n v="1021.45"/>
    <n v="539.71"/>
    <n v="2"/>
  </r>
  <r>
    <x v="131"/>
    <n v="10252"/>
    <n v="406"/>
    <x v="75"/>
    <x v="9"/>
    <x v="1"/>
    <x v="88"/>
    <n v="26"/>
    <n v="127.97"/>
    <n v="69.930000000000007"/>
    <n v="3327.22"/>
    <n v="1818.18"/>
    <n v="1509.04"/>
    <n v="2"/>
  </r>
  <r>
    <x v="131"/>
    <n v="10252"/>
    <n v="406"/>
    <x v="75"/>
    <x v="9"/>
    <x v="6"/>
    <x v="89"/>
    <n v="47"/>
    <n v="63.03"/>
    <n v="47.1"/>
    <n v="2962.41"/>
    <n v="2213.6999999999998"/>
    <n v="748.71"/>
    <n v="2"/>
  </r>
  <r>
    <x v="131"/>
    <n v="10252"/>
    <n v="406"/>
    <x v="75"/>
    <x v="9"/>
    <x v="1"/>
    <x v="92"/>
    <n v="38"/>
    <n v="69.52"/>
    <n v="32.33"/>
    <n v="2641.76"/>
    <n v="1228.54"/>
    <n v="1413.22"/>
    <n v="2"/>
  </r>
  <r>
    <x v="131"/>
    <n v="10252"/>
    <n v="406"/>
    <x v="75"/>
    <x v="9"/>
    <x v="6"/>
    <x v="93"/>
    <n v="36"/>
    <n v="36.21"/>
    <n v="24.14"/>
    <n v="1303.56"/>
    <n v="869.04"/>
    <n v="434.52"/>
    <n v="2"/>
  </r>
  <r>
    <x v="131"/>
    <n v="10252"/>
    <n v="406"/>
    <x v="75"/>
    <x v="9"/>
    <x v="6"/>
    <x v="94"/>
    <n v="25"/>
    <n v="93.89"/>
    <n v="56.13"/>
    <n v="2347.25"/>
    <n v="1403.25"/>
    <n v="944"/>
    <n v="2"/>
  </r>
  <r>
    <x v="131"/>
    <n v="10252"/>
    <n v="406"/>
    <x v="75"/>
    <x v="9"/>
    <x v="6"/>
    <x v="95"/>
    <n v="48"/>
    <n v="72.41"/>
    <n v="34.17"/>
    <n v="3475.68"/>
    <n v="1640.16"/>
    <n v="1835.52"/>
    <n v="2"/>
  </r>
  <r>
    <x v="132"/>
    <n v="10253"/>
    <n v="201"/>
    <x v="47"/>
    <x v="7"/>
    <x v="1"/>
    <x v="80"/>
    <n v="24"/>
    <n v="157.6"/>
    <n v="95.34"/>
    <n v="3782.4"/>
    <n v="2288.16"/>
    <n v="1494.24"/>
    <n v="2"/>
  </r>
  <r>
    <x v="132"/>
    <n v="10253"/>
    <n v="201"/>
    <x v="47"/>
    <x v="7"/>
    <x v="1"/>
    <x v="81"/>
    <n v="22"/>
    <n v="102.17"/>
    <n v="75.16"/>
    <n v="2247.7399999999998"/>
    <n v="1653.52"/>
    <n v="594.22"/>
    <n v="2"/>
  </r>
  <r>
    <x v="132"/>
    <n v="10253"/>
    <n v="201"/>
    <x v="47"/>
    <x v="7"/>
    <x v="1"/>
    <x v="82"/>
    <n v="25"/>
    <n v="67.03"/>
    <n v="31.92"/>
    <n v="1675.75"/>
    <n v="798"/>
    <n v="877.75"/>
    <n v="2"/>
  </r>
  <r>
    <x v="132"/>
    <n v="10253"/>
    <n v="201"/>
    <x v="47"/>
    <x v="7"/>
    <x v="1"/>
    <x v="83"/>
    <n v="41"/>
    <n v="109.4"/>
    <n v="58.73"/>
    <n v="4485.3999999999996"/>
    <n v="2407.9299999999998"/>
    <n v="2077.4699999999998"/>
    <n v="2"/>
  </r>
  <r>
    <x v="132"/>
    <n v="10253"/>
    <n v="201"/>
    <x v="47"/>
    <x v="7"/>
    <x v="1"/>
    <x v="96"/>
    <n v="26"/>
    <n v="130.22"/>
    <n v="83.51"/>
    <n v="3385.72"/>
    <n v="2171.2600000000002"/>
    <n v="1214.46"/>
    <n v="2"/>
  </r>
  <r>
    <x v="132"/>
    <n v="10253"/>
    <n v="201"/>
    <x v="47"/>
    <x v="7"/>
    <x v="1"/>
    <x v="101"/>
    <n v="24"/>
    <n v="103.29"/>
    <n v="65.959999999999994"/>
    <n v="2478.96"/>
    <n v="1583.04"/>
    <n v="895.92"/>
    <n v="2"/>
  </r>
  <r>
    <x v="132"/>
    <n v="10253"/>
    <n v="201"/>
    <x v="47"/>
    <x v="7"/>
    <x v="1"/>
    <x v="84"/>
    <n v="23"/>
    <n v="67.760000000000005"/>
    <n v="53.9"/>
    <n v="1558.48"/>
    <n v="1239.7"/>
    <n v="318.77999999999997"/>
    <n v="2"/>
  </r>
  <r>
    <x v="132"/>
    <n v="10253"/>
    <n v="201"/>
    <x v="47"/>
    <x v="7"/>
    <x v="1"/>
    <x v="97"/>
    <n v="33"/>
    <n v="130.87"/>
    <n v="93.89"/>
    <n v="4318.71"/>
    <n v="3098.37"/>
    <n v="1220.3399999999999"/>
    <n v="2"/>
  </r>
  <r>
    <x v="132"/>
    <n v="10253"/>
    <n v="201"/>
    <x v="47"/>
    <x v="7"/>
    <x v="1"/>
    <x v="98"/>
    <n v="37"/>
    <n v="114.84"/>
    <n v="56.76"/>
    <n v="4249.08"/>
    <n v="2100.12"/>
    <n v="2148.96"/>
    <n v="2"/>
  </r>
  <r>
    <x v="132"/>
    <n v="10253"/>
    <n v="201"/>
    <x v="47"/>
    <x v="7"/>
    <x v="1"/>
    <x v="30"/>
    <n v="40"/>
    <n v="145.63"/>
    <n v="77.900000000000006"/>
    <n v="5825.2"/>
    <n v="3116"/>
    <n v="2709.2"/>
    <n v="2"/>
  </r>
  <r>
    <x v="132"/>
    <n v="10253"/>
    <n v="201"/>
    <x v="47"/>
    <x v="7"/>
    <x v="1"/>
    <x v="99"/>
    <n v="31"/>
    <n v="139.87"/>
    <n v="62.16"/>
    <n v="4335.97"/>
    <n v="1926.96"/>
    <n v="2409.0100000000002"/>
    <n v="2"/>
  </r>
  <r>
    <x v="132"/>
    <n v="10253"/>
    <n v="201"/>
    <x v="47"/>
    <x v="7"/>
    <x v="1"/>
    <x v="100"/>
    <n v="40"/>
    <n v="34.74"/>
    <n v="16.239999999999998"/>
    <n v="1389.6"/>
    <n v="649.6"/>
    <n v="740"/>
    <n v="2"/>
  </r>
  <r>
    <x v="132"/>
    <n v="10253"/>
    <n v="201"/>
    <x v="47"/>
    <x v="7"/>
    <x v="1"/>
    <x v="90"/>
    <n v="24"/>
    <n v="50.82"/>
    <n v="38.58"/>
    <n v="1219.68"/>
    <n v="925.92"/>
    <n v="293.76"/>
    <n v="2"/>
  </r>
  <r>
    <x v="132"/>
    <n v="10253"/>
    <n v="201"/>
    <x v="47"/>
    <x v="7"/>
    <x v="1"/>
    <x v="91"/>
    <n v="39"/>
    <n v="115.15"/>
    <n v="98.3"/>
    <n v="4490.8500000000004"/>
    <n v="3833.7"/>
    <n v="657.15"/>
    <n v="2"/>
  </r>
  <r>
    <x v="133"/>
    <n v="10254"/>
    <n v="323"/>
    <x v="30"/>
    <x v="14"/>
    <x v="0"/>
    <x v="0"/>
    <n v="49"/>
    <n v="137.69999999999999"/>
    <n v="86.7"/>
    <n v="6747.3"/>
    <n v="4248.3"/>
    <n v="2499"/>
    <n v="2"/>
  </r>
  <r>
    <x v="133"/>
    <n v="10254"/>
    <n v="323"/>
    <x v="30"/>
    <x v="14"/>
    <x v="0"/>
    <x v="1"/>
    <n v="36"/>
    <n v="55.09"/>
    <n v="33.299999999999997"/>
    <n v="1983.24"/>
    <n v="1198.8"/>
    <n v="784.44"/>
    <n v="2"/>
  </r>
  <r>
    <x v="133"/>
    <n v="10254"/>
    <n v="323"/>
    <x v="30"/>
    <x v="14"/>
    <x v="0"/>
    <x v="4"/>
    <n v="41"/>
    <n v="102.98"/>
    <n v="58.48"/>
    <n v="4222.18"/>
    <n v="2397.6799999999998"/>
    <n v="1824.5"/>
    <n v="2"/>
  </r>
  <r>
    <x v="133"/>
    <n v="10254"/>
    <n v="323"/>
    <x v="30"/>
    <x v="14"/>
    <x v="0"/>
    <x v="2"/>
    <n v="34"/>
    <n v="80.989999999999995"/>
    <n v="43.26"/>
    <n v="2753.66"/>
    <n v="1470.84"/>
    <n v="1282.82"/>
    <n v="2"/>
  </r>
  <r>
    <x v="133"/>
    <n v="10254"/>
    <n v="323"/>
    <x v="30"/>
    <x v="14"/>
    <x v="1"/>
    <x v="102"/>
    <n v="30"/>
    <n v="59.87"/>
    <n v="34.21"/>
    <n v="1796.1"/>
    <n v="1026.3"/>
    <n v="769.8"/>
    <n v="2"/>
  </r>
  <r>
    <x v="133"/>
    <n v="10254"/>
    <n v="323"/>
    <x v="30"/>
    <x v="14"/>
    <x v="1"/>
    <x v="103"/>
    <n v="34"/>
    <n v="66.88"/>
    <n v="49.24"/>
    <n v="2273.92"/>
    <n v="1674.16"/>
    <n v="599.76"/>
    <n v="2"/>
  </r>
  <r>
    <x v="133"/>
    <n v="10254"/>
    <n v="323"/>
    <x v="30"/>
    <x v="14"/>
    <x v="1"/>
    <x v="104"/>
    <n v="32"/>
    <n v="43.27"/>
    <n v="29.18"/>
    <n v="1384.64"/>
    <n v="933.76"/>
    <n v="450.88"/>
    <n v="2"/>
  </r>
  <r>
    <x v="133"/>
    <n v="10254"/>
    <n v="323"/>
    <x v="30"/>
    <x v="14"/>
    <x v="0"/>
    <x v="6"/>
    <n v="38"/>
    <n v="28.88"/>
    <n v="22.57"/>
    <n v="1097.44"/>
    <n v="857.66"/>
    <n v="239.78"/>
    <n v="2"/>
  </r>
  <r>
    <x v="133"/>
    <n v="10254"/>
    <n v="323"/>
    <x v="30"/>
    <x v="14"/>
    <x v="1"/>
    <x v="105"/>
    <n v="31"/>
    <n v="85.42"/>
    <n v="47.25"/>
    <n v="2648.02"/>
    <n v="1464.75"/>
    <n v="1183.27"/>
    <n v="2"/>
  </r>
  <r>
    <x v="133"/>
    <n v="10254"/>
    <n v="323"/>
    <x v="30"/>
    <x v="14"/>
    <x v="1"/>
    <x v="106"/>
    <n v="33"/>
    <n v="111.57"/>
    <n v="72.819999999999993"/>
    <n v="3681.81"/>
    <n v="2403.06"/>
    <n v="1278.75"/>
    <n v="2"/>
  </r>
  <r>
    <x v="133"/>
    <n v="10254"/>
    <n v="323"/>
    <x v="30"/>
    <x v="14"/>
    <x v="1"/>
    <x v="107"/>
    <n v="42"/>
    <n v="69.34"/>
    <n v="50.51"/>
    <n v="2912.28"/>
    <n v="2121.42"/>
    <n v="790.86"/>
    <n v="2"/>
  </r>
  <r>
    <x v="133"/>
    <n v="10254"/>
    <n v="323"/>
    <x v="30"/>
    <x v="14"/>
    <x v="1"/>
    <x v="108"/>
    <n v="49"/>
    <n v="101.73"/>
    <n v="62.11"/>
    <n v="4984.7700000000004"/>
    <n v="3043.39"/>
    <n v="1941.38"/>
    <n v="2"/>
  </r>
  <r>
    <x v="133"/>
    <n v="10254"/>
    <n v="323"/>
    <x v="30"/>
    <x v="14"/>
    <x v="0"/>
    <x v="3"/>
    <n v="20"/>
    <n v="39.799999999999997"/>
    <n v="21.75"/>
    <n v="796"/>
    <n v="435"/>
    <n v="361"/>
    <n v="2"/>
  </r>
  <r>
    <x v="134"/>
    <n v="10255"/>
    <n v="209"/>
    <x v="87"/>
    <x v="9"/>
    <x v="0"/>
    <x v="5"/>
    <n v="24"/>
    <n v="135"/>
    <n v="72.56"/>
    <n v="3240"/>
    <n v="1741.44"/>
    <n v="1498.56"/>
    <n v="2"/>
  </r>
  <r>
    <x v="134"/>
    <n v="10255"/>
    <n v="209"/>
    <x v="87"/>
    <x v="9"/>
    <x v="0"/>
    <x v="7"/>
    <n v="37"/>
    <n v="37.630000000000003"/>
    <n v="20.61"/>
    <n v="1392.31"/>
    <n v="762.57"/>
    <n v="629.74"/>
    <n v="2"/>
  </r>
  <r>
    <x v="135"/>
    <n v="10256"/>
    <n v="145"/>
    <x v="5"/>
    <x v="4"/>
    <x v="0"/>
    <x v="8"/>
    <n v="34"/>
    <n v="93.49"/>
    <n v="60.62"/>
    <n v="3178.66"/>
    <n v="2061.08"/>
    <n v="1117.58"/>
    <n v="3"/>
  </r>
  <r>
    <x v="135"/>
    <n v="10256"/>
    <n v="145"/>
    <x v="5"/>
    <x v="4"/>
    <x v="0"/>
    <x v="9"/>
    <n v="29"/>
    <n v="52.83"/>
    <n v="24.26"/>
    <n v="1532.07"/>
    <n v="703.54"/>
    <n v="828.53"/>
    <n v="3"/>
  </r>
  <r>
    <x v="136"/>
    <n v="10257"/>
    <n v="450"/>
    <x v="89"/>
    <x v="0"/>
    <x v="0"/>
    <x v="15"/>
    <n v="50"/>
    <n v="92.19"/>
    <n v="60.78"/>
    <n v="4609.5"/>
    <n v="3039"/>
    <n v="1570.5"/>
    <n v="2"/>
  </r>
  <r>
    <x v="136"/>
    <n v="10257"/>
    <n v="450"/>
    <x v="89"/>
    <x v="0"/>
    <x v="0"/>
    <x v="16"/>
    <n v="49"/>
    <n v="59.34"/>
    <n v="34.35"/>
    <n v="2907.66"/>
    <n v="1683.15"/>
    <n v="1224.51"/>
    <n v="2"/>
  </r>
  <r>
    <x v="136"/>
    <n v="10257"/>
    <n v="450"/>
    <x v="89"/>
    <x v="0"/>
    <x v="0"/>
    <x v="17"/>
    <n v="37"/>
    <n v="83.78"/>
    <n v="60.74"/>
    <n v="3099.86"/>
    <n v="2247.38"/>
    <n v="852.48"/>
    <n v="2"/>
  </r>
  <r>
    <x v="136"/>
    <n v="10257"/>
    <n v="450"/>
    <x v="89"/>
    <x v="0"/>
    <x v="0"/>
    <x v="18"/>
    <n v="26"/>
    <n v="91.27"/>
    <n v="57.54"/>
    <n v="2373.02"/>
    <n v="1496.04"/>
    <n v="876.98"/>
    <n v="2"/>
  </r>
  <r>
    <x v="136"/>
    <n v="10257"/>
    <n v="450"/>
    <x v="89"/>
    <x v="0"/>
    <x v="0"/>
    <x v="22"/>
    <n v="46"/>
    <n v="81.81"/>
    <n v="57.46"/>
    <n v="3763.26"/>
    <n v="2643.16"/>
    <n v="1120.0999999999999"/>
    <n v="2"/>
  </r>
  <r>
    <x v="137"/>
    <n v="10258"/>
    <n v="398"/>
    <x v="90"/>
    <x v="18"/>
    <x v="1"/>
    <x v="10"/>
    <n v="32"/>
    <n v="177.87"/>
    <n v="98.58"/>
    <n v="5691.84"/>
    <n v="3154.56"/>
    <n v="2537.2800000000002"/>
    <n v="1"/>
  </r>
  <r>
    <x v="137"/>
    <n v="10258"/>
    <n v="398"/>
    <x v="90"/>
    <x v="18"/>
    <x v="2"/>
    <x v="12"/>
    <n v="41"/>
    <n v="133.94"/>
    <n v="77.900000000000006"/>
    <n v="5491.54"/>
    <n v="3193.9"/>
    <n v="2297.64"/>
    <n v="1"/>
  </r>
  <r>
    <x v="137"/>
    <n v="10258"/>
    <n v="398"/>
    <x v="90"/>
    <x v="18"/>
    <x v="2"/>
    <x v="13"/>
    <n v="41"/>
    <n v="113.17"/>
    <n v="58.33"/>
    <n v="4639.97"/>
    <n v="2391.5300000000002"/>
    <n v="2248.44"/>
    <n v="1"/>
  </r>
  <r>
    <x v="137"/>
    <n v="10258"/>
    <n v="398"/>
    <x v="90"/>
    <x v="18"/>
    <x v="0"/>
    <x v="20"/>
    <n v="21"/>
    <n v="49.81"/>
    <n v="23.14"/>
    <n v="1046.01"/>
    <n v="485.94"/>
    <n v="560.07000000000005"/>
    <n v="1"/>
  </r>
  <r>
    <x v="137"/>
    <n v="10258"/>
    <n v="398"/>
    <x v="90"/>
    <x v="18"/>
    <x v="2"/>
    <x v="24"/>
    <n v="20"/>
    <n v="62.7"/>
    <n v="33.61"/>
    <n v="1254"/>
    <n v="672.2"/>
    <n v="581.79999999999995"/>
    <n v="1"/>
  </r>
  <r>
    <x v="137"/>
    <n v="10258"/>
    <n v="398"/>
    <x v="90"/>
    <x v="18"/>
    <x v="1"/>
    <x v="25"/>
    <n v="45"/>
    <n v="86.99"/>
    <n v="46.53"/>
    <n v="3914.55"/>
    <n v="2093.85"/>
    <n v="1820.7"/>
    <n v="1"/>
  </r>
  <r>
    <x v="137"/>
    <n v="10259"/>
    <n v="166"/>
    <x v="77"/>
    <x v="11"/>
    <x v="1"/>
    <x v="11"/>
    <n v="26"/>
    <n v="121.15"/>
    <n v="103.42"/>
    <n v="3149.9"/>
    <n v="2688.92"/>
    <n v="460.98"/>
    <n v="2"/>
  </r>
  <r>
    <x v="137"/>
    <n v="10259"/>
    <n v="166"/>
    <x v="77"/>
    <x v="11"/>
    <x v="2"/>
    <x v="27"/>
    <n v="46"/>
    <n v="117.32"/>
    <n v="55.7"/>
    <n v="5396.72"/>
    <n v="2562.1999999999998"/>
    <n v="2834.52"/>
    <n v="2"/>
  </r>
  <r>
    <x v="137"/>
    <n v="10259"/>
    <n v="166"/>
    <x v="77"/>
    <x v="11"/>
    <x v="1"/>
    <x v="28"/>
    <n v="30"/>
    <n v="134.26"/>
    <n v="101.51"/>
    <n v="4027.8"/>
    <n v="3045.3"/>
    <n v="982.5"/>
    <n v="2"/>
  </r>
  <r>
    <x v="137"/>
    <n v="10259"/>
    <n v="166"/>
    <x v="77"/>
    <x v="11"/>
    <x v="2"/>
    <x v="29"/>
    <n v="34"/>
    <n v="120.28"/>
    <n v="74.86"/>
    <n v="4089.52"/>
    <n v="2545.2399999999998"/>
    <n v="1544.28"/>
    <n v="2"/>
  </r>
  <r>
    <x v="137"/>
    <n v="10259"/>
    <n v="166"/>
    <x v="77"/>
    <x v="11"/>
    <x v="2"/>
    <x v="14"/>
    <n v="30"/>
    <n v="59.55"/>
    <n v="24.92"/>
    <n v="1786.5"/>
    <n v="747.6"/>
    <n v="1038.9000000000001"/>
    <n v="2"/>
  </r>
  <r>
    <x v="137"/>
    <n v="10259"/>
    <n v="166"/>
    <x v="77"/>
    <x v="11"/>
    <x v="1"/>
    <x v="30"/>
    <n v="27"/>
    <n v="152.41"/>
    <n v="77.900000000000006"/>
    <n v="4115.07"/>
    <n v="2103.3000000000002"/>
    <n v="2011.77"/>
    <n v="2"/>
  </r>
  <r>
    <x v="137"/>
    <n v="10259"/>
    <n v="166"/>
    <x v="77"/>
    <x v="11"/>
    <x v="2"/>
    <x v="19"/>
    <n v="41"/>
    <n v="107.76"/>
    <n v="84.76"/>
    <n v="4418.16"/>
    <n v="3475.16"/>
    <n v="943"/>
    <n v="2"/>
  </r>
  <r>
    <x v="137"/>
    <n v="10259"/>
    <n v="166"/>
    <x v="77"/>
    <x v="11"/>
    <x v="1"/>
    <x v="32"/>
    <n v="28"/>
    <n v="46.82"/>
    <n v="32.369999999999997"/>
    <n v="1310.96"/>
    <n v="906.36"/>
    <n v="404.6"/>
    <n v="2"/>
  </r>
  <r>
    <x v="137"/>
    <n v="10259"/>
    <n v="166"/>
    <x v="77"/>
    <x v="11"/>
    <x v="2"/>
    <x v="21"/>
    <n v="47"/>
    <n v="121.4"/>
    <n v="61.34"/>
    <n v="5705.8"/>
    <n v="2882.98"/>
    <n v="2822.82"/>
    <n v="2"/>
  </r>
  <r>
    <x v="137"/>
    <n v="10259"/>
    <n v="166"/>
    <x v="77"/>
    <x v="11"/>
    <x v="1"/>
    <x v="33"/>
    <n v="31"/>
    <n v="31.47"/>
    <n v="15.91"/>
    <n v="975.57"/>
    <n v="493.21"/>
    <n v="482.36"/>
    <n v="2"/>
  </r>
  <r>
    <x v="137"/>
    <n v="10259"/>
    <n v="166"/>
    <x v="77"/>
    <x v="11"/>
    <x v="2"/>
    <x v="23"/>
    <n v="45"/>
    <n v="95.35"/>
    <n v="53.93"/>
    <n v="4290.75"/>
    <n v="2426.85"/>
    <n v="1863.9"/>
    <n v="2"/>
  </r>
  <r>
    <x v="137"/>
    <n v="10259"/>
    <n v="166"/>
    <x v="77"/>
    <x v="11"/>
    <x v="2"/>
    <x v="35"/>
    <n v="40"/>
    <n v="45.99"/>
    <n v="25.98"/>
    <n v="1839.6"/>
    <n v="1039.2"/>
    <n v="800.4"/>
    <n v="2"/>
  </r>
  <r>
    <x v="137"/>
    <n v="10259"/>
    <n v="166"/>
    <x v="77"/>
    <x v="11"/>
    <x v="2"/>
    <x v="37"/>
    <n v="29"/>
    <n v="105.33"/>
    <n v="68.290000000000006"/>
    <n v="3054.57"/>
    <n v="1980.41"/>
    <n v="1074.1600000000001"/>
    <n v="2"/>
  </r>
  <r>
    <x v="138"/>
    <n v="10260"/>
    <n v="357"/>
    <x v="71"/>
    <x v="14"/>
    <x v="1"/>
    <x v="40"/>
    <n v="46"/>
    <n v="180.79"/>
    <n v="95.59"/>
    <n v="8316.34"/>
    <n v="4397.1400000000003"/>
    <n v="3919.2"/>
    <n v="2"/>
  </r>
  <r>
    <x v="138"/>
    <n v="10260"/>
    <n v="357"/>
    <x v="71"/>
    <x v="14"/>
    <x v="1"/>
    <x v="26"/>
    <n v="30"/>
    <n v="140.5"/>
    <n v="89.14"/>
    <n v="4215"/>
    <n v="2674.2"/>
    <n v="1540.8"/>
    <n v="2"/>
  </r>
  <r>
    <x v="138"/>
    <n v="10260"/>
    <n v="357"/>
    <x v="71"/>
    <x v="14"/>
    <x v="1"/>
    <x v="41"/>
    <n v="44"/>
    <n v="169.56"/>
    <n v="83.05"/>
    <n v="7460.64"/>
    <n v="3654.2"/>
    <n v="3806.44"/>
    <n v="2"/>
  </r>
  <r>
    <x v="138"/>
    <n v="10260"/>
    <n v="357"/>
    <x v="71"/>
    <x v="14"/>
    <x v="0"/>
    <x v="42"/>
    <n v="32"/>
    <n v="121.57"/>
    <n v="68.3"/>
    <n v="3890.24"/>
    <n v="2185.6"/>
    <n v="1704.64"/>
    <n v="2"/>
  </r>
  <r>
    <x v="138"/>
    <n v="10260"/>
    <n v="357"/>
    <x v="71"/>
    <x v="14"/>
    <x v="3"/>
    <x v="43"/>
    <n v="29"/>
    <n v="92.77"/>
    <n v="67.56"/>
    <n v="2690.33"/>
    <n v="1959.24"/>
    <n v="731.09"/>
    <n v="2"/>
  </r>
  <r>
    <x v="138"/>
    <n v="10260"/>
    <n v="357"/>
    <x v="71"/>
    <x v="14"/>
    <x v="1"/>
    <x v="31"/>
    <n v="23"/>
    <n v="137.88"/>
    <n v="91.92"/>
    <n v="3171.24"/>
    <n v="2114.16"/>
    <n v="1057.08"/>
    <n v="2"/>
  </r>
  <r>
    <x v="138"/>
    <n v="10260"/>
    <n v="357"/>
    <x v="71"/>
    <x v="14"/>
    <x v="1"/>
    <x v="34"/>
    <n v="23"/>
    <n v="117.1"/>
    <n v="69.78"/>
    <n v="2693.3"/>
    <n v="1604.94"/>
    <n v="1088.3599999999999"/>
    <n v="2"/>
  </r>
  <r>
    <x v="138"/>
    <n v="10260"/>
    <n v="357"/>
    <x v="71"/>
    <x v="14"/>
    <x v="3"/>
    <x v="36"/>
    <n v="27"/>
    <n v="55.3"/>
    <n v="26.72"/>
    <n v="1493.1"/>
    <n v="721.44"/>
    <n v="771.66"/>
    <n v="2"/>
  </r>
  <r>
    <x v="138"/>
    <n v="10260"/>
    <n v="357"/>
    <x v="71"/>
    <x v="14"/>
    <x v="3"/>
    <x v="38"/>
    <n v="21"/>
    <n v="56.24"/>
    <n v="37.49"/>
    <n v="1181.04"/>
    <n v="787.29"/>
    <n v="393.75"/>
    <n v="2"/>
  </r>
  <r>
    <x v="138"/>
    <n v="10260"/>
    <n v="357"/>
    <x v="71"/>
    <x v="14"/>
    <x v="4"/>
    <x v="49"/>
    <n v="33"/>
    <n v="80.55"/>
    <n v="43.3"/>
    <n v="2658.15"/>
    <n v="1428.9"/>
    <n v="1229.25"/>
    <n v="2"/>
  </r>
  <r>
    <x v="139"/>
    <n v="10261"/>
    <n v="233"/>
    <x v="56"/>
    <x v="16"/>
    <x v="1"/>
    <x v="39"/>
    <n v="27"/>
    <n v="116.96"/>
    <n v="85.68"/>
    <n v="3157.92"/>
    <n v="2313.36"/>
    <n v="844.56"/>
    <n v="2"/>
  </r>
  <r>
    <x v="139"/>
    <n v="10261"/>
    <n v="233"/>
    <x v="56"/>
    <x v="16"/>
    <x v="0"/>
    <x v="44"/>
    <n v="20"/>
    <n v="80.75"/>
    <n v="52.66"/>
    <n v="1615"/>
    <n v="1053.2"/>
    <n v="561.79999999999995"/>
    <n v="2"/>
  </r>
  <r>
    <x v="139"/>
    <n v="10261"/>
    <n v="233"/>
    <x v="56"/>
    <x v="16"/>
    <x v="4"/>
    <x v="45"/>
    <n v="36"/>
    <n v="105.69"/>
    <n v="82.34"/>
    <n v="3804.84"/>
    <n v="2964.24"/>
    <n v="840.6"/>
    <n v="2"/>
  </r>
  <r>
    <x v="139"/>
    <n v="10261"/>
    <n v="233"/>
    <x v="56"/>
    <x v="16"/>
    <x v="0"/>
    <x v="46"/>
    <n v="22"/>
    <n v="79.66"/>
    <n v="46.91"/>
    <n v="1752.52"/>
    <n v="1032.02"/>
    <n v="720.5"/>
    <n v="2"/>
  </r>
  <r>
    <x v="139"/>
    <n v="10261"/>
    <n v="233"/>
    <x v="56"/>
    <x v="16"/>
    <x v="4"/>
    <x v="48"/>
    <n v="34"/>
    <n v="64"/>
    <n v="34"/>
    <n v="2176"/>
    <n v="1156"/>
    <n v="1020"/>
    <n v="2"/>
  </r>
  <r>
    <x v="139"/>
    <n v="10261"/>
    <n v="233"/>
    <x v="56"/>
    <x v="16"/>
    <x v="4"/>
    <x v="50"/>
    <n v="44"/>
    <n v="58.55"/>
    <n v="33.97"/>
    <n v="2576.1999999999998"/>
    <n v="1494.68"/>
    <n v="1081.52"/>
    <n v="2"/>
  </r>
  <r>
    <x v="139"/>
    <n v="10261"/>
    <n v="233"/>
    <x v="56"/>
    <x v="16"/>
    <x v="4"/>
    <x v="51"/>
    <n v="25"/>
    <n v="89.15"/>
    <n v="51.09"/>
    <n v="2228.75"/>
    <n v="1277.25"/>
    <n v="951.5"/>
    <n v="2"/>
  </r>
  <r>
    <x v="139"/>
    <n v="10261"/>
    <n v="233"/>
    <x v="56"/>
    <x v="16"/>
    <x v="4"/>
    <x v="52"/>
    <n v="50"/>
    <n v="88.39"/>
    <n v="53.63"/>
    <n v="4419.5"/>
    <n v="2681.5"/>
    <n v="1738"/>
    <n v="2"/>
  </r>
  <r>
    <x v="139"/>
    <n v="10261"/>
    <n v="233"/>
    <x v="56"/>
    <x v="16"/>
    <x v="4"/>
    <x v="53"/>
    <n v="29"/>
    <n v="43.68"/>
    <n v="33.299999999999997"/>
    <n v="1266.72"/>
    <n v="965.7"/>
    <n v="301.02"/>
    <n v="2"/>
  </r>
  <r>
    <x v="140"/>
    <n v="10262"/>
    <n v="141"/>
    <x v="4"/>
    <x v="3"/>
    <x v="5"/>
    <x v="54"/>
    <n v="49"/>
    <n v="157.69"/>
    <n v="77.27"/>
    <n v="7726.81"/>
    <n v="3786.23"/>
    <n v="3940.58"/>
    <n v="12"/>
  </r>
  <r>
    <x v="140"/>
    <n v="10262"/>
    <n v="141"/>
    <x v="4"/>
    <x v="3"/>
    <x v="4"/>
    <x v="56"/>
    <n v="32"/>
    <n v="81.72"/>
    <n v="51.61"/>
    <n v="2615.04"/>
    <n v="1651.52"/>
    <n v="963.52"/>
    <n v="12"/>
  </r>
  <r>
    <x v="140"/>
    <n v="10262"/>
    <n v="141"/>
    <x v="4"/>
    <x v="3"/>
    <x v="0"/>
    <x v="57"/>
    <n v="34"/>
    <n v="85.75"/>
    <n v="64.58"/>
    <n v="2915.5"/>
    <n v="2195.7199999999998"/>
    <n v="719.78"/>
    <n v="12"/>
  </r>
  <r>
    <x v="140"/>
    <n v="10262"/>
    <n v="141"/>
    <x v="4"/>
    <x v="3"/>
    <x v="5"/>
    <x v="58"/>
    <n v="34"/>
    <n v="98.48"/>
    <n v="66.739999999999995"/>
    <n v="3348.32"/>
    <n v="2269.16"/>
    <n v="1079.1600000000001"/>
    <n v="12"/>
  </r>
  <r>
    <x v="140"/>
    <n v="10262"/>
    <n v="141"/>
    <x v="4"/>
    <x v="3"/>
    <x v="5"/>
    <x v="59"/>
    <n v="24"/>
    <n v="63.71"/>
    <n v="34.25"/>
    <n v="1529.04"/>
    <n v="822"/>
    <n v="707.04"/>
    <n v="12"/>
  </r>
  <r>
    <x v="140"/>
    <n v="10262"/>
    <n v="141"/>
    <x v="4"/>
    <x v="3"/>
    <x v="0"/>
    <x v="60"/>
    <n v="46"/>
    <n v="65.75"/>
    <n v="26.3"/>
    <n v="3024.5"/>
    <n v="1209.8"/>
    <n v="1814.7"/>
    <n v="12"/>
  </r>
  <r>
    <x v="140"/>
    <n v="10262"/>
    <n v="141"/>
    <x v="4"/>
    <x v="3"/>
    <x v="0"/>
    <x v="47"/>
    <n v="49"/>
    <n v="82.18"/>
    <n v="48.64"/>
    <n v="4026.82"/>
    <n v="2383.36"/>
    <n v="1643.46"/>
    <n v="12"/>
  </r>
  <r>
    <x v="140"/>
    <n v="10262"/>
    <n v="141"/>
    <x v="4"/>
    <x v="3"/>
    <x v="5"/>
    <x v="61"/>
    <n v="48"/>
    <n v="58.69"/>
    <n v="29.34"/>
    <n v="2817.12"/>
    <n v="1408.32"/>
    <n v="1408.8"/>
    <n v="12"/>
  </r>
  <r>
    <x v="140"/>
    <n v="10262"/>
    <n v="141"/>
    <x v="4"/>
    <x v="3"/>
    <x v="0"/>
    <x v="63"/>
    <n v="40"/>
    <n v="63.97"/>
    <n v="33.020000000000003"/>
    <n v="2558.8000000000002"/>
    <n v="1320.8"/>
    <n v="1238"/>
    <n v="12"/>
  </r>
  <r>
    <x v="140"/>
    <n v="10262"/>
    <n v="141"/>
    <x v="4"/>
    <x v="3"/>
    <x v="0"/>
    <x v="64"/>
    <n v="49"/>
    <n v="35.78"/>
    <n v="27.06"/>
    <n v="1753.22"/>
    <n v="1325.94"/>
    <n v="427.28"/>
    <n v="12"/>
  </r>
  <r>
    <x v="140"/>
    <n v="10262"/>
    <n v="141"/>
    <x v="4"/>
    <x v="3"/>
    <x v="5"/>
    <x v="65"/>
    <n v="40"/>
    <n v="87.69"/>
    <n v="51.15"/>
    <n v="3507.6"/>
    <n v="2046"/>
    <n v="1461.6"/>
    <n v="12"/>
  </r>
  <r>
    <x v="140"/>
    <n v="10262"/>
    <n v="141"/>
    <x v="4"/>
    <x v="3"/>
    <x v="4"/>
    <x v="66"/>
    <n v="44"/>
    <n v="83.28"/>
    <n v="39.83"/>
    <n v="3664.32"/>
    <n v="1752.52"/>
    <n v="1911.8"/>
    <n v="12"/>
  </r>
  <r>
    <x v="140"/>
    <n v="10262"/>
    <n v="141"/>
    <x v="4"/>
    <x v="3"/>
    <x v="5"/>
    <x v="67"/>
    <n v="33"/>
    <n v="81.77"/>
    <n v="68.8"/>
    <n v="2698.41"/>
    <n v="2270.4"/>
    <n v="428.01"/>
    <n v="12"/>
  </r>
  <r>
    <x v="140"/>
    <n v="10262"/>
    <n v="141"/>
    <x v="4"/>
    <x v="3"/>
    <x v="5"/>
    <x v="69"/>
    <n v="27"/>
    <n v="64.8"/>
    <n v="54.4"/>
    <n v="1749.6"/>
    <n v="1468.8"/>
    <n v="280.8"/>
    <n v="12"/>
  </r>
  <r>
    <x v="140"/>
    <n v="10262"/>
    <n v="141"/>
    <x v="4"/>
    <x v="3"/>
    <x v="5"/>
    <x v="70"/>
    <n v="35"/>
    <n v="64.41"/>
    <n v="36.270000000000003"/>
    <n v="2254.35"/>
    <n v="1269.45"/>
    <n v="984.9"/>
    <n v="12"/>
  </r>
  <r>
    <x v="140"/>
    <n v="10262"/>
    <n v="141"/>
    <x v="4"/>
    <x v="3"/>
    <x v="5"/>
    <x v="71"/>
    <n v="21"/>
    <n v="41.71"/>
    <n v="32.770000000000003"/>
    <n v="875.91"/>
    <n v="688.17"/>
    <n v="187.74"/>
    <n v="12"/>
  </r>
  <r>
    <x v="141"/>
    <n v="10263"/>
    <n v="175"/>
    <x v="55"/>
    <x v="0"/>
    <x v="6"/>
    <x v="72"/>
    <n v="34"/>
    <n v="89"/>
    <n v="48.81"/>
    <n v="3026"/>
    <n v="1659.54"/>
    <n v="1366.46"/>
    <n v="2"/>
  </r>
  <r>
    <x v="141"/>
    <n v="10263"/>
    <n v="175"/>
    <x v="55"/>
    <x v="0"/>
    <x v="6"/>
    <x v="73"/>
    <n v="40"/>
    <n v="107.05"/>
    <n v="68.989999999999995"/>
    <n v="4282"/>
    <n v="2759.6"/>
    <n v="1522.4"/>
    <n v="2"/>
  </r>
  <r>
    <x v="141"/>
    <n v="10263"/>
    <n v="175"/>
    <x v="55"/>
    <x v="0"/>
    <x v="6"/>
    <x v="74"/>
    <n v="41"/>
    <n v="193.66"/>
    <n v="91.02"/>
    <n v="7940.06"/>
    <n v="3731.82"/>
    <n v="4208.24"/>
    <n v="2"/>
  </r>
  <r>
    <x v="141"/>
    <n v="10263"/>
    <n v="175"/>
    <x v="55"/>
    <x v="0"/>
    <x v="6"/>
    <x v="75"/>
    <n v="48"/>
    <n v="123.51"/>
    <n v="66.27"/>
    <n v="5928.48"/>
    <n v="3180.96"/>
    <n v="2747.52"/>
    <n v="2"/>
  </r>
  <r>
    <x v="141"/>
    <n v="10263"/>
    <n v="175"/>
    <x v="55"/>
    <x v="0"/>
    <x v="5"/>
    <x v="55"/>
    <n v="33"/>
    <n v="67.58"/>
    <n v="49"/>
    <n v="2230.14"/>
    <n v="1617"/>
    <n v="613.14"/>
    <n v="2"/>
  </r>
  <r>
    <x v="141"/>
    <n v="10263"/>
    <n v="175"/>
    <x v="55"/>
    <x v="0"/>
    <x v="6"/>
    <x v="76"/>
    <n v="34"/>
    <n v="50.27"/>
    <n v="24.23"/>
    <n v="1709.18"/>
    <n v="823.82"/>
    <n v="885.36"/>
    <n v="2"/>
  </r>
  <r>
    <x v="141"/>
    <n v="10263"/>
    <n v="175"/>
    <x v="55"/>
    <x v="0"/>
    <x v="6"/>
    <x v="77"/>
    <n v="42"/>
    <n v="109.32"/>
    <n v="60.86"/>
    <n v="4591.4399999999996"/>
    <n v="2556.12"/>
    <n v="2035.32"/>
    <n v="2"/>
  </r>
  <r>
    <x v="141"/>
    <n v="10263"/>
    <n v="175"/>
    <x v="55"/>
    <x v="0"/>
    <x v="6"/>
    <x v="78"/>
    <n v="37"/>
    <n v="67.03"/>
    <n v="37.32"/>
    <n v="2480.11"/>
    <n v="1380.84"/>
    <n v="1099.27"/>
    <n v="2"/>
  </r>
  <r>
    <x v="141"/>
    <n v="10263"/>
    <n v="175"/>
    <x v="55"/>
    <x v="0"/>
    <x v="5"/>
    <x v="62"/>
    <n v="24"/>
    <n v="59.41"/>
    <n v="36.229999999999997"/>
    <n v="1425.84"/>
    <n v="869.52"/>
    <n v="556.32000000000005"/>
    <n v="2"/>
  </r>
  <r>
    <x v="141"/>
    <n v="10263"/>
    <n v="175"/>
    <x v="55"/>
    <x v="0"/>
    <x v="6"/>
    <x v="79"/>
    <n v="31"/>
    <n v="93.9"/>
    <n v="66.92"/>
    <n v="2910.9"/>
    <n v="2074.52"/>
    <n v="836.38"/>
    <n v="2"/>
  </r>
  <r>
    <x v="141"/>
    <n v="10263"/>
    <n v="175"/>
    <x v="55"/>
    <x v="0"/>
    <x v="5"/>
    <x v="68"/>
    <n v="47"/>
    <n v="117.46"/>
    <n v="59.33"/>
    <n v="5520.62"/>
    <n v="2788.51"/>
    <n v="2732.11"/>
    <n v="2"/>
  </r>
  <r>
    <x v="142"/>
    <n v="10264"/>
    <n v="362"/>
    <x v="91"/>
    <x v="0"/>
    <x v="6"/>
    <x v="87"/>
    <n v="48"/>
    <n v="58.44"/>
    <n v="32.950000000000003"/>
    <n v="2805.12"/>
    <n v="1581.6"/>
    <n v="1223.52"/>
    <n v="1"/>
  </r>
  <r>
    <x v="142"/>
    <n v="10264"/>
    <n v="362"/>
    <x v="91"/>
    <x v="0"/>
    <x v="1"/>
    <x v="88"/>
    <n v="20"/>
    <n v="124.99"/>
    <n v="69.930000000000007"/>
    <n v="2499.8000000000002"/>
    <n v="1398.6"/>
    <n v="1101.2"/>
    <n v="1"/>
  </r>
  <r>
    <x v="142"/>
    <n v="10264"/>
    <n v="362"/>
    <x v="91"/>
    <x v="0"/>
    <x v="6"/>
    <x v="89"/>
    <n v="37"/>
    <n v="61.64"/>
    <n v="47.1"/>
    <n v="2280.6799999999998"/>
    <n v="1742.7"/>
    <n v="537.98"/>
    <n v="1"/>
  </r>
  <r>
    <x v="142"/>
    <n v="10264"/>
    <n v="362"/>
    <x v="91"/>
    <x v="0"/>
    <x v="1"/>
    <x v="92"/>
    <n v="47"/>
    <n v="75.180000000000007"/>
    <n v="32.33"/>
    <n v="3533.46"/>
    <n v="1519.51"/>
    <n v="2013.95"/>
    <n v="1"/>
  </r>
  <r>
    <x v="142"/>
    <n v="10264"/>
    <n v="362"/>
    <x v="91"/>
    <x v="0"/>
    <x v="6"/>
    <x v="93"/>
    <n v="20"/>
    <n v="39.020000000000003"/>
    <n v="24.14"/>
    <n v="780.4"/>
    <n v="482.8"/>
    <n v="297.60000000000002"/>
    <n v="1"/>
  </r>
  <r>
    <x v="142"/>
    <n v="10264"/>
    <n v="362"/>
    <x v="91"/>
    <x v="0"/>
    <x v="6"/>
    <x v="94"/>
    <n v="34"/>
    <n v="100.01"/>
    <n v="56.13"/>
    <n v="3400.34"/>
    <n v="1908.42"/>
    <n v="1491.92"/>
    <n v="1"/>
  </r>
  <r>
    <x v="142"/>
    <n v="10264"/>
    <n v="362"/>
    <x v="91"/>
    <x v="0"/>
    <x v="6"/>
    <x v="95"/>
    <n v="47"/>
    <n v="67.53"/>
    <n v="34.17"/>
    <n v="3173.91"/>
    <n v="1605.99"/>
    <n v="1567.92"/>
    <n v="1"/>
  </r>
  <r>
    <x v="143"/>
    <n v="10265"/>
    <n v="471"/>
    <x v="66"/>
    <x v="13"/>
    <x v="1"/>
    <x v="85"/>
    <n v="45"/>
    <n v="74.78"/>
    <n v="49.05"/>
    <n v="3365.1"/>
    <n v="2207.25"/>
    <n v="1157.8499999999999"/>
    <n v="2"/>
  </r>
  <r>
    <x v="143"/>
    <n v="10265"/>
    <n v="471"/>
    <x v="66"/>
    <x v="13"/>
    <x v="1"/>
    <x v="86"/>
    <n v="49"/>
    <n v="123.47"/>
    <n v="73.489999999999995"/>
    <n v="6050.03"/>
    <n v="3601.01"/>
    <n v="2449.02"/>
    <n v="2"/>
  </r>
  <r>
    <x v="144"/>
    <n v="10266"/>
    <n v="386"/>
    <x v="57"/>
    <x v="5"/>
    <x v="1"/>
    <x v="80"/>
    <n v="44"/>
    <n v="188.73"/>
    <n v="95.34"/>
    <n v="8304.1200000000008"/>
    <n v="4194.96"/>
    <n v="4109.16"/>
    <n v="2"/>
  </r>
  <r>
    <x v="144"/>
    <n v="10266"/>
    <n v="386"/>
    <x v="57"/>
    <x v="5"/>
    <x v="1"/>
    <x v="81"/>
    <n v="22"/>
    <n v="110.39"/>
    <n v="75.16"/>
    <n v="2428.58"/>
    <n v="1653.52"/>
    <n v="775.06"/>
    <n v="2"/>
  </r>
  <r>
    <x v="144"/>
    <n v="10266"/>
    <n v="386"/>
    <x v="57"/>
    <x v="5"/>
    <x v="1"/>
    <x v="82"/>
    <n v="35"/>
    <n v="67.83"/>
    <n v="31.92"/>
    <n v="2374.0500000000002"/>
    <n v="1117.2"/>
    <n v="1256.8499999999999"/>
    <n v="2"/>
  </r>
  <r>
    <x v="144"/>
    <n v="10266"/>
    <n v="386"/>
    <x v="57"/>
    <x v="5"/>
    <x v="1"/>
    <x v="83"/>
    <n v="40"/>
    <n v="112.86"/>
    <n v="58.73"/>
    <n v="4514.3999999999996"/>
    <n v="2349.1999999999998"/>
    <n v="2165.1999999999998"/>
    <n v="2"/>
  </r>
  <r>
    <x v="144"/>
    <n v="10266"/>
    <n v="386"/>
    <x v="57"/>
    <x v="5"/>
    <x v="1"/>
    <x v="96"/>
    <n v="21"/>
    <n v="131.63"/>
    <n v="83.51"/>
    <n v="2764.23"/>
    <n v="1753.71"/>
    <n v="1010.52"/>
    <n v="2"/>
  </r>
  <r>
    <x v="144"/>
    <n v="10266"/>
    <n v="386"/>
    <x v="57"/>
    <x v="5"/>
    <x v="1"/>
    <x v="101"/>
    <n v="36"/>
    <n v="99.55"/>
    <n v="65.959999999999994"/>
    <n v="3583.8"/>
    <n v="2374.56"/>
    <n v="1209.24"/>
    <n v="2"/>
  </r>
  <r>
    <x v="144"/>
    <n v="10266"/>
    <n v="386"/>
    <x v="57"/>
    <x v="5"/>
    <x v="1"/>
    <x v="84"/>
    <n v="33"/>
    <n v="77"/>
    <n v="53.9"/>
    <n v="2541"/>
    <n v="1778.7"/>
    <n v="762.3"/>
    <n v="2"/>
  </r>
  <r>
    <x v="144"/>
    <n v="10266"/>
    <n v="386"/>
    <x v="57"/>
    <x v="5"/>
    <x v="1"/>
    <x v="97"/>
    <n v="49"/>
    <n v="139.41"/>
    <n v="93.89"/>
    <n v="6831.09"/>
    <n v="4600.6099999999997"/>
    <n v="2230.48"/>
    <n v="2"/>
  </r>
  <r>
    <x v="144"/>
    <n v="10266"/>
    <n v="386"/>
    <x v="57"/>
    <x v="5"/>
    <x v="1"/>
    <x v="98"/>
    <n v="20"/>
    <n v="113.52"/>
    <n v="56.76"/>
    <n v="2270.4"/>
    <n v="1135.2"/>
    <n v="1135.2"/>
    <n v="2"/>
  </r>
  <r>
    <x v="144"/>
    <n v="10266"/>
    <n v="386"/>
    <x v="57"/>
    <x v="5"/>
    <x v="1"/>
    <x v="30"/>
    <n v="29"/>
    <n v="137.16999999999999"/>
    <n v="77.900000000000006"/>
    <n v="3977.93"/>
    <n v="2259.1"/>
    <n v="1718.83"/>
    <n v="2"/>
  </r>
  <r>
    <x v="144"/>
    <n v="10266"/>
    <n v="386"/>
    <x v="57"/>
    <x v="5"/>
    <x v="1"/>
    <x v="99"/>
    <n v="33"/>
    <n v="127.15"/>
    <n v="62.16"/>
    <n v="4195.95"/>
    <n v="2051.2800000000002"/>
    <n v="2144.67"/>
    <n v="2"/>
  </r>
  <r>
    <x v="144"/>
    <n v="10266"/>
    <n v="386"/>
    <x v="57"/>
    <x v="5"/>
    <x v="1"/>
    <x v="104"/>
    <n v="28"/>
    <n v="40.25"/>
    <n v="29.18"/>
    <n v="1127"/>
    <n v="817.04"/>
    <n v="309.95999999999998"/>
    <n v="2"/>
  </r>
  <r>
    <x v="144"/>
    <n v="10266"/>
    <n v="386"/>
    <x v="57"/>
    <x v="5"/>
    <x v="1"/>
    <x v="100"/>
    <n v="34"/>
    <n v="35.119999999999997"/>
    <n v="16.239999999999998"/>
    <n v="1194.08"/>
    <n v="552.16"/>
    <n v="641.91999999999996"/>
    <n v="2"/>
  </r>
  <r>
    <x v="144"/>
    <n v="10266"/>
    <n v="386"/>
    <x v="57"/>
    <x v="5"/>
    <x v="1"/>
    <x v="90"/>
    <n v="47"/>
    <n v="56.33"/>
    <n v="38.58"/>
    <n v="2647.51"/>
    <n v="1813.26"/>
    <n v="834.25"/>
    <n v="2"/>
  </r>
  <r>
    <x v="144"/>
    <n v="10266"/>
    <n v="386"/>
    <x v="57"/>
    <x v="5"/>
    <x v="1"/>
    <x v="91"/>
    <n v="24"/>
    <n v="119.37"/>
    <n v="98.3"/>
    <n v="2864.88"/>
    <n v="2359.1999999999998"/>
    <n v="505.68"/>
    <n v="2"/>
  </r>
  <r>
    <x v="145"/>
    <n v="10267"/>
    <n v="151"/>
    <x v="26"/>
    <x v="0"/>
    <x v="1"/>
    <x v="102"/>
    <n v="36"/>
    <n v="71.27"/>
    <n v="34.21"/>
    <n v="2565.7199999999998"/>
    <n v="1231.56"/>
    <n v="1334.16"/>
    <n v="3"/>
  </r>
  <r>
    <x v="145"/>
    <n v="10267"/>
    <n v="151"/>
    <x v="26"/>
    <x v="0"/>
    <x v="1"/>
    <x v="103"/>
    <n v="40"/>
    <n v="72.02"/>
    <n v="49.24"/>
    <n v="2880.8"/>
    <n v="1969.6"/>
    <n v="911.2"/>
    <n v="3"/>
  </r>
  <r>
    <x v="145"/>
    <n v="10267"/>
    <n v="151"/>
    <x v="26"/>
    <x v="0"/>
    <x v="1"/>
    <x v="105"/>
    <n v="38"/>
    <n v="76.33"/>
    <n v="47.25"/>
    <n v="2900.54"/>
    <n v="1795.5"/>
    <n v="1105.04"/>
    <n v="3"/>
  </r>
  <r>
    <x v="145"/>
    <n v="10267"/>
    <n v="151"/>
    <x v="26"/>
    <x v="0"/>
    <x v="1"/>
    <x v="106"/>
    <n v="43"/>
    <n v="93.95"/>
    <n v="72.819999999999993"/>
    <n v="4039.85"/>
    <n v="3131.26"/>
    <n v="908.59"/>
    <n v="3"/>
  </r>
  <r>
    <x v="145"/>
    <n v="10267"/>
    <n v="151"/>
    <x v="26"/>
    <x v="0"/>
    <x v="1"/>
    <x v="107"/>
    <n v="44"/>
    <n v="83.9"/>
    <n v="50.51"/>
    <n v="3691.6"/>
    <n v="2222.44"/>
    <n v="1469.16"/>
    <n v="3"/>
  </r>
  <r>
    <x v="145"/>
    <n v="10267"/>
    <n v="151"/>
    <x v="26"/>
    <x v="0"/>
    <x v="1"/>
    <x v="108"/>
    <n v="43"/>
    <n v="98.51"/>
    <n v="62.11"/>
    <n v="4235.93"/>
    <n v="2670.73"/>
    <n v="1565.2"/>
    <n v="3"/>
  </r>
  <r>
    <x v="146"/>
    <n v="10268"/>
    <n v="412"/>
    <x v="85"/>
    <x v="14"/>
    <x v="0"/>
    <x v="8"/>
    <n v="49"/>
    <n v="93.49"/>
    <n v="60.62"/>
    <n v="4581.01"/>
    <n v="2970.38"/>
    <n v="1610.63"/>
    <n v="2"/>
  </r>
  <r>
    <x v="146"/>
    <n v="10268"/>
    <n v="412"/>
    <x v="85"/>
    <x v="14"/>
    <x v="0"/>
    <x v="9"/>
    <n v="26"/>
    <n v="45.82"/>
    <n v="24.26"/>
    <n v="1191.32"/>
    <n v="630.76"/>
    <n v="560.55999999999995"/>
    <n v="2"/>
  </r>
  <r>
    <x v="146"/>
    <n v="10268"/>
    <n v="412"/>
    <x v="85"/>
    <x v="14"/>
    <x v="0"/>
    <x v="0"/>
    <n v="34"/>
    <n v="164.9"/>
    <n v="86.7"/>
    <n v="5606.6"/>
    <n v="2947.8"/>
    <n v="2658.8"/>
    <n v="2"/>
  </r>
  <r>
    <x v="146"/>
    <n v="10268"/>
    <n v="412"/>
    <x v="85"/>
    <x v="14"/>
    <x v="0"/>
    <x v="1"/>
    <n v="31"/>
    <n v="60.54"/>
    <n v="33.299999999999997"/>
    <n v="1876.74"/>
    <n v="1032.3"/>
    <n v="844.44"/>
    <n v="2"/>
  </r>
  <r>
    <x v="146"/>
    <n v="10268"/>
    <n v="412"/>
    <x v="85"/>
    <x v="14"/>
    <x v="0"/>
    <x v="4"/>
    <n v="50"/>
    <n v="124.59"/>
    <n v="58.48"/>
    <n v="6229.5"/>
    <n v="2924"/>
    <n v="3305.5"/>
    <n v="2"/>
  </r>
  <r>
    <x v="146"/>
    <n v="10268"/>
    <n v="412"/>
    <x v="85"/>
    <x v="14"/>
    <x v="0"/>
    <x v="5"/>
    <n v="35"/>
    <n v="148.5"/>
    <n v="72.56"/>
    <n v="5197.5"/>
    <n v="2539.6"/>
    <n v="2657.9"/>
    <n v="2"/>
  </r>
  <r>
    <x v="146"/>
    <n v="10268"/>
    <n v="412"/>
    <x v="85"/>
    <x v="14"/>
    <x v="0"/>
    <x v="18"/>
    <n v="39"/>
    <n v="96.23"/>
    <n v="57.54"/>
    <n v="3752.97"/>
    <n v="2244.06"/>
    <n v="1508.91"/>
    <n v="2"/>
  </r>
  <r>
    <x v="146"/>
    <n v="10268"/>
    <n v="412"/>
    <x v="85"/>
    <x v="14"/>
    <x v="0"/>
    <x v="2"/>
    <n v="35"/>
    <n v="84.67"/>
    <n v="43.26"/>
    <n v="2963.45"/>
    <n v="1514.1"/>
    <n v="1449.35"/>
    <n v="2"/>
  </r>
  <r>
    <x v="146"/>
    <n v="10268"/>
    <n v="412"/>
    <x v="85"/>
    <x v="14"/>
    <x v="0"/>
    <x v="6"/>
    <n v="33"/>
    <n v="31.86"/>
    <n v="22.57"/>
    <n v="1051.3800000000001"/>
    <n v="744.81"/>
    <n v="306.57"/>
    <n v="2"/>
  </r>
  <r>
    <x v="146"/>
    <n v="10268"/>
    <n v="412"/>
    <x v="85"/>
    <x v="14"/>
    <x v="0"/>
    <x v="7"/>
    <n v="40"/>
    <n v="36.29"/>
    <n v="20.61"/>
    <n v="1451.6"/>
    <n v="824.4"/>
    <n v="627.20000000000005"/>
    <n v="2"/>
  </r>
  <r>
    <x v="146"/>
    <n v="10268"/>
    <n v="412"/>
    <x v="85"/>
    <x v="14"/>
    <x v="0"/>
    <x v="3"/>
    <n v="30"/>
    <n v="37.75"/>
    <n v="21.75"/>
    <n v="1132.5"/>
    <n v="652.5"/>
    <n v="480"/>
    <n v="2"/>
  </r>
  <r>
    <x v="147"/>
    <n v="10269"/>
    <n v="382"/>
    <x v="19"/>
    <x v="12"/>
    <x v="0"/>
    <x v="16"/>
    <n v="32"/>
    <n v="57.46"/>
    <n v="34.35"/>
    <n v="1838.72"/>
    <n v="1099.2"/>
    <n v="739.52"/>
    <n v="2"/>
  </r>
  <r>
    <x v="147"/>
    <n v="10269"/>
    <n v="382"/>
    <x v="19"/>
    <x v="12"/>
    <x v="0"/>
    <x v="22"/>
    <n v="48"/>
    <n v="95.44"/>
    <n v="57.46"/>
    <n v="4581.12"/>
    <n v="2758.08"/>
    <n v="1823.04"/>
    <n v="2"/>
  </r>
  <r>
    <x v="148"/>
    <n v="10270"/>
    <n v="282"/>
    <x v="34"/>
    <x v="13"/>
    <x v="1"/>
    <x v="10"/>
    <n v="21"/>
    <n v="171.44"/>
    <n v="98.58"/>
    <n v="3600.24"/>
    <n v="2070.1799999999998"/>
    <n v="1530.06"/>
    <n v="2"/>
  </r>
  <r>
    <x v="148"/>
    <n v="10270"/>
    <n v="282"/>
    <x v="34"/>
    <x v="13"/>
    <x v="1"/>
    <x v="11"/>
    <n v="32"/>
    <n v="124.1"/>
    <n v="103.42"/>
    <n v="3971.2"/>
    <n v="3309.44"/>
    <n v="661.76"/>
    <n v="2"/>
  </r>
  <r>
    <x v="148"/>
    <n v="10270"/>
    <n v="282"/>
    <x v="34"/>
    <x v="13"/>
    <x v="2"/>
    <x v="12"/>
    <n v="28"/>
    <n v="135.30000000000001"/>
    <n v="77.900000000000006"/>
    <n v="3788.4"/>
    <n v="2181.1999999999998"/>
    <n v="1607.2"/>
    <n v="2"/>
  </r>
  <r>
    <x v="148"/>
    <n v="10270"/>
    <n v="282"/>
    <x v="34"/>
    <x v="13"/>
    <x v="2"/>
    <x v="13"/>
    <n v="43"/>
    <n v="94.5"/>
    <n v="58.33"/>
    <n v="4063.5"/>
    <n v="2508.19"/>
    <n v="1555.31"/>
    <n v="2"/>
  </r>
  <r>
    <x v="148"/>
    <n v="10270"/>
    <n v="282"/>
    <x v="34"/>
    <x v="13"/>
    <x v="0"/>
    <x v="15"/>
    <n v="31"/>
    <n v="81.05"/>
    <n v="60.78"/>
    <n v="2512.5500000000002"/>
    <n v="1884.18"/>
    <n v="628.37"/>
    <n v="2"/>
  </r>
  <r>
    <x v="148"/>
    <n v="10270"/>
    <n v="282"/>
    <x v="34"/>
    <x v="13"/>
    <x v="0"/>
    <x v="17"/>
    <n v="38"/>
    <n v="85.87"/>
    <n v="60.74"/>
    <n v="3263.06"/>
    <n v="2308.12"/>
    <n v="954.94"/>
    <n v="2"/>
  </r>
  <r>
    <x v="148"/>
    <n v="10270"/>
    <n v="282"/>
    <x v="34"/>
    <x v="13"/>
    <x v="2"/>
    <x v="19"/>
    <n v="38"/>
    <n v="107.76"/>
    <n v="84.76"/>
    <n v="4094.88"/>
    <n v="3220.88"/>
    <n v="874"/>
    <n v="2"/>
  </r>
  <r>
    <x v="148"/>
    <n v="10270"/>
    <n v="282"/>
    <x v="34"/>
    <x v="13"/>
    <x v="0"/>
    <x v="20"/>
    <n v="44"/>
    <n v="40.25"/>
    <n v="23.14"/>
    <n v="1771"/>
    <n v="1018.16"/>
    <n v="752.84"/>
    <n v="2"/>
  </r>
  <r>
    <x v="148"/>
    <n v="10270"/>
    <n v="282"/>
    <x v="34"/>
    <x v="13"/>
    <x v="2"/>
    <x v="23"/>
    <n v="32"/>
    <n v="93.42"/>
    <n v="53.93"/>
    <n v="2989.44"/>
    <n v="1725.76"/>
    <n v="1263.68"/>
    <n v="2"/>
  </r>
  <r>
    <x v="148"/>
    <n v="10270"/>
    <n v="282"/>
    <x v="34"/>
    <x v="13"/>
    <x v="2"/>
    <x v="24"/>
    <n v="21"/>
    <n v="52.36"/>
    <n v="33.61"/>
    <n v="1099.56"/>
    <n v="705.81"/>
    <n v="393.75"/>
    <n v="2"/>
  </r>
  <r>
    <x v="148"/>
    <n v="10270"/>
    <n v="282"/>
    <x v="34"/>
    <x v="13"/>
    <x v="1"/>
    <x v="25"/>
    <n v="46"/>
    <n v="101.15"/>
    <n v="46.53"/>
    <n v="4652.8999999999996"/>
    <n v="2140.38"/>
    <n v="2512.52"/>
    <n v="2"/>
  </r>
  <r>
    <x v="149"/>
    <n v="10271"/>
    <n v="124"/>
    <x v="13"/>
    <x v="0"/>
    <x v="2"/>
    <x v="27"/>
    <n v="31"/>
    <n v="99.54"/>
    <n v="55.7"/>
    <n v="3085.74"/>
    <n v="1726.7"/>
    <n v="1359.04"/>
    <n v="6"/>
  </r>
  <r>
    <x v="149"/>
    <n v="10271"/>
    <n v="124"/>
    <x v="13"/>
    <x v="0"/>
    <x v="1"/>
    <x v="28"/>
    <n v="50"/>
    <n v="147.36000000000001"/>
    <n v="101.51"/>
    <n v="7368"/>
    <n v="5075.5"/>
    <n v="2292.5"/>
    <n v="6"/>
  </r>
  <r>
    <x v="149"/>
    <n v="10271"/>
    <n v="124"/>
    <x v="13"/>
    <x v="0"/>
    <x v="2"/>
    <x v="29"/>
    <n v="50"/>
    <n v="121.5"/>
    <n v="74.86"/>
    <n v="6075"/>
    <n v="3743"/>
    <n v="2332"/>
    <n v="6"/>
  </r>
  <r>
    <x v="149"/>
    <n v="10271"/>
    <n v="124"/>
    <x v="13"/>
    <x v="0"/>
    <x v="2"/>
    <x v="14"/>
    <n v="25"/>
    <n v="59.55"/>
    <n v="24.92"/>
    <n v="1488.75"/>
    <n v="623"/>
    <n v="865.75"/>
    <n v="6"/>
  </r>
  <r>
    <x v="149"/>
    <n v="10271"/>
    <n v="124"/>
    <x v="13"/>
    <x v="0"/>
    <x v="1"/>
    <x v="30"/>
    <n v="20"/>
    <n v="169.34"/>
    <n v="77.900000000000006"/>
    <n v="3386.8"/>
    <n v="1558"/>
    <n v="1828.8"/>
    <n v="6"/>
  </r>
  <r>
    <x v="149"/>
    <n v="10271"/>
    <n v="124"/>
    <x v="13"/>
    <x v="0"/>
    <x v="1"/>
    <x v="32"/>
    <n v="45"/>
    <n v="49.71"/>
    <n v="32.369999999999997"/>
    <n v="2236.9499999999998"/>
    <n v="1456.65"/>
    <n v="780.3"/>
    <n v="6"/>
  </r>
  <r>
    <x v="149"/>
    <n v="10271"/>
    <n v="124"/>
    <x v="13"/>
    <x v="0"/>
    <x v="2"/>
    <x v="21"/>
    <n v="43"/>
    <n v="122.68"/>
    <n v="61.34"/>
    <n v="5275.24"/>
    <n v="2637.62"/>
    <n v="2637.62"/>
    <n v="6"/>
  </r>
  <r>
    <x v="149"/>
    <n v="10271"/>
    <n v="124"/>
    <x v="13"/>
    <x v="0"/>
    <x v="1"/>
    <x v="33"/>
    <n v="38"/>
    <n v="28.64"/>
    <n v="15.91"/>
    <n v="1088.32"/>
    <n v="604.58000000000004"/>
    <n v="483.74"/>
    <n v="6"/>
  </r>
  <r>
    <x v="149"/>
    <n v="10271"/>
    <n v="124"/>
    <x v="13"/>
    <x v="0"/>
    <x v="1"/>
    <x v="34"/>
    <n v="22"/>
    <n v="110"/>
    <n v="69.78"/>
    <n v="2420"/>
    <n v="1535.16"/>
    <n v="884.84"/>
    <n v="6"/>
  </r>
  <r>
    <x v="149"/>
    <n v="10271"/>
    <n v="124"/>
    <x v="13"/>
    <x v="0"/>
    <x v="2"/>
    <x v="35"/>
    <n v="35"/>
    <n v="51.95"/>
    <n v="25.98"/>
    <n v="1818.25"/>
    <n v="909.3"/>
    <n v="908.95"/>
    <n v="6"/>
  </r>
  <r>
    <x v="149"/>
    <n v="10271"/>
    <n v="124"/>
    <x v="13"/>
    <x v="0"/>
    <x v="2"/>
    <x v="37"/>
    <n v="34"/>
    <n v="93.76"/>
    <n v="68.290000000000006"/>
    <n v="3187.84"/>
    <n v="2321.86"/>
    <n v="865.98"/>
    <n v="6"/>
  </r>
  <r>
    <x v="149"/>
    <n v="10272"/>
    <n v="157"/>
    <x v="92"/>
    <x v="0"/>
    <x v="1"/>
    <x v="40"/>
    <n v="35"/>
    <n v="187.02"/>
    <n v="95.59"/>
    <n v="6545.7"/>
    <n v="3345.65"/>
    <n v="3200.05"/>
    <n v="1"/>
  </r>
  <r>
    <x v="149"/>
    <n v="10272"/>
    <n v="157"/>
    <x v="92"/>
    <x v="0"/>
    <x v="1"/>
    <x v="26"/>
    <n v="27"/>
    <n v="123.89"/>
    <n v="89.14"/>
    <n v="3345.03"/>
    <n v="2406.7800000000002"/>
    <n v="938.25"/>
    <n v="1"/>
  </r>
  <r>
    <x v="149"/>
    <n v="10272"/>
    <n v="157"/>
    <x v="92"/>
    <x v="0"/>
    <x v="1"/>
    <x v="41"/>
    <n v="39"/>
    <n v="148.80000000000001"/>
    <n v="83.05"/>
    <n v="5803.2"/>
    <n v="3238.95"/>
    <n v="2564.25"/>
    <n v="1"/>
  </r>
  <r>
    <x v="149"/>
    <n v="10272"/>
    <n v="157"/>
    <x v="92"/>
    <x v="0"/>
    <x v="1"/>
    <x v="31"/>
    <n v="25"/>
    <n v="126.39"/>
    <n v="91.92"/>
    <n v="3159.75"/>
    <n v="2298"/>
    <n v="861.75"/>
    <n v="1"/>
  </r>
  <r>
    <x v="149"/>
    <n v="10272"/>
    <n v="157"/>
    <x v="92"/>
    <x v="0"/>
    <x v="3"/>
    <x v="36"/>
    <n v="45"/>
    <n v="56.55"/>
    <n v="26.72"/>
    <n v="2544.75"/>
    <n v="1202.4000000000001"/>
    <n v="1342.35"/>
    <n v="1"/>
  </r>
  <r>
    <x v="149"/>
    <n v="10272"/>
    <n v="157"/>
    <x v="92"/>
    <x v="0"/>
    <x v="3"/>
    <x v="38"/>
    <n v="43"/>
    <n v="53.89"/>
    <n v="37.49"/>
    <n v="2317.27"/>
    <n v="1612.07"/>
    <n v="705.2"/>
    <n v="1"/>
  </r>
  <r>
    <x v="150"/>
    <n v="10273"/>
    <n v="314"/>
    <x v="79"/>
    <x v="10"/>
    <x v="1"/>
    <x v="39"/>
    <n v="30"/>
    <n v="136"/>
    <n v="85.68"/>
    <n v="4080"/>
    <n v="2570.4"/>
    <n v="1509.6"/>
    <n v="2"/>
  </r>
  <r>
    <x v="150"/>
    <n v="10273"/>
    <n v="314"/>
    <x v="79"/>
    <x v="10"/>
    <x v="4"/>
    <x v="56"/>
    <n v="34"/>
    <n v="84.3"/>
    <n v="51.61"/>
    <n v="2866.2"/>
    <n v="1754.74"/>
    <n v="1111.46"/>
    <n v="2"/>
  </r>
  <r>
    <x v="150"/>
    <n v="10273"/>
    <n v="314"/>
    <x v="79"/>
    <x v="10"/>
    <x v="0"/>
    <x v="42"/>
    <n v="40"/>
    <n v="117.47"/>
    <n v="68.3"/>
    <n v="4698.8"/>
    <n v="2732"/>
    <n v="1966.8"/>
    <n v="2"/>
  </r>
  <r>
    <x v="150"/>
    <n v="10273"/>
    <n v="314"/>
    <x v="79"/>
    <x v="10"/>
    <x v="3"/>
    <x v="43"/>
    <n v="47"/>
    <n v="87.73"/>
    <n v="67.56"/>
    <n v="4123.3100000000004"/>
    <n v="3175.32"/>
    <n v="947.99"/>
    <n v="2"/>
  </r>
  <r>
    <x v="150"/>
    <n v="10273"/>
    <n v="314"/>
    <x v="79"/>
    <x v="10"/>
    <x v="0"/>
    <x v="57"/>
    <n v="50"/>
    <n v="105.87"/>
    <n v="64.58"/>
    <n v="5293.5"/>
    <n v="3229"/>
    <n v="2064.5"/>
    <n v="2"/>
  </r>
  <r>
    <x v="150"/>
    <n v="10273"/>
    <n v="314"/>
    <x v="79"/>
    <x v="10"/>
    <x v="0"/>
    <x v="44"/>
    <n v="33"/>
    <n v="72.849999999999994"/>
    <n v="52.66"/>
    <n v="2404.0500000000002"/>
    <n v="1737.78"/>
    <n v="666.27"/>
    <n v="2"/>
  </r>
  <r>
    <x v="150"/>
    <n v="10273"/>
    <n v="314"/>
    <x v="79"/>
    <x v="10"/>
    <x v="4"/>
    <x v="45"/>
    <n v="22"/>
    <n v="103.23"/>
    <n v="82.34"/>
    <n v="2271.06"/>
    <n v="1811.48"/>
    <n v="459.58"/>
    <n v="2"/>
  </r>
  <r>
    <x v="150"/>
    <n v="10273"/>
    <n v="314"/>
    <x v="79"/>
    <x v="10"/>
    <x v="0"/>
    <x v="46"/>
    <n v="27"/>
    <n v="84.08"/>
    <n v="46.91"/>
    <n v="2270.16"/>
    <n v="1266.57"/>
    <n v="1003.59"/>
    <n v="2"/>
  </r>
  <r>
    <x v="150"/>
    <n v="10273"/>
    <n v="314"/>
    <x v="79"/>
    <x v="10"/>
    <x v="0"/>
    <x v="47"/>
    <n v="48"/>
    <n v="83.86"/>
    <n v="48.64"/>
    <n v="4025.28"/>
    <n v="2334.7199999999998"/>
    <n v="1690.56"/>
    <n v="2"/>
  </r>
  <r>
    <x v="150"/>
    <n v="10273"/>
    <n v="314"/>
    <x v="79"/>
    <x v="10"/>
    <x v="4"/>
    <x v="48"/>
    <n v="21"/>
    <n v="66"/>
    <n v="34"/>
    <n v="1386"/>
    <n v="714"/>
    <n v="672"/>
    <n v="2"/>
  </r>
  <r>
    <x v="150"/>
    <n v="10273"/>
    <n v="314"/>
    <x v="79"/>
    <x v="10"/>
    <x v="4"/>
    <x v="49"/>
    <n v="21"/>
    <n v="77.95"/>
    <n v="43.3"/>
    <n v="1636.95"/>
    <n v="909.3"/>
    <n v="727.65"/>
    <n v="2"/>
  </r>
  <r>
    <x v="150"/>
    <n v="10273"/>
    <n v="314"/>
    <x v="79"/>
    <x v="10"/>
    <x v="4"/>
    <x v="50"/>
    <n v="42"/>
    <n v="57.82"/>
    <n v="33.97"/>
    <n v="2428.44"/>
    <n v="1426.74"/>
    <n v="1001.7"/>
    <n v="2"/>
  </r>
  <r>
    <x v="150"/>
    <n v="10273"/>
    <n v="314"/>
    <x v="79"/>
    <x v="10"/>
    <x v="4"/>
    <x v="51"/>
    <n v="40"/>
    <n v="91.15"/>
    <n v="51.09"/>
    <n v="3646"/>
    <n v="2043.6"/>
    <n v="1602.4"/>
    <n v="2"/>
  </r>
  <r>
    <x v="150"/>
    <n v="10273"/>
    <n v="314"/>
    <x v="79"/>
    <x v="10"/>
    <x v="4"/>
    <x v="52"/>
    <n v="26"/>
    <n v="89.38"/>
    <n v="53.63"/>
    <n v="2323.88"/>
    <n v="1394.38"/>
    <n v="929.5"/>
    <n v="2"/>
  </r>
  <r>
    <x v="150"/>
    <n v="10273"/>
    <n v="314"/>
    <x v="79"/>
    <x v="10"/>
    <x v="4"/>
    <x v="53"/>
    <n v="37"/>
    <n v="51.32"/>
    <n v="33.299999999999997"/>
    <n v="1898.84"/>
    <n v="1232.0999999999999"/>
    <n v="666.74"/>
    <n v="2"/>
  </r>
  <r>
    <x v="150"/>
    <n v="10274"/>
    <n v="379"/>
    <x v="39"/>
    <x v="0"/>
    <x v="5"/>
    <x v="54"/>
    <n v="41"/>
    <n v="129.31"/>
    <n v="77.27"/>
    <n v="5301.71"/>
    <n v="3168.07"/>
    <n v="2133.64"/>
    <n v="2"/>
  </r>
  <r>
    <x v="150"/>
    <n v="10274"/>
    <n v="379"/>
    <x v="39"/>
    <x v="0"/>
    <x v="5"/>
    <x v="59"/>
    <n v="40"/>
    <n v="56.86"/>
    <n v="34.25"/>
    <n v="2274.4"/>
    <n v="1370"/>
    <n v="904.4"/>
    <n v="2"/>
  </r>
  <r>
    <x v="150"/>
    <n v="10274"/>
    <n v="379"/>
    <x v="39"/>
    <x v="0"/>
    <x v="0"/>
    <x v="60"/>
    <n v="24"/>
    <n v="65.09"/>
    <n v="26.3"/>
    <n v="1562.16"/>
    <n v="631.20000000000005"/>
    <n v="930.96"/>
    <n v="2"/>
  </r>
  <r>
    <x v="150"/>
    <n v="10274"/>
    <n v="379"/>
    <x v="39"/>
    <x v="0"/>
    <x v="4"/>
    <x v="66"/>
    <n v="24"/>
    <n v="75.13"/>
    <n v="39.83"/>
    <n v="1803.12"/>
    <n v="955.92"/>
    <n v="847.2"/>
    <n v="2"/>
  </r>
  <r>
    <x v="150"/>
    <n v="10274"/>
    <n v="379"/>
    <x v="39"/>
    <x v="0"/>
    <x v="5"/>
    <x v="71"/>
    <n v="32"/>
    <n v="49.66"/>
    <n v="32.770000000000003"/>
    <n v="1589.12"/>
    <n v="1048.6400000000001"/>
    <n v="540.48"/>
    <n v="2"/>
  </r>
  <r>
    <x v="151"/>
    <n v="10275"/>
    <n v="119"/>
    <x v="93"/>
    <x v="9"/>
    <x v="6"/>
    <x v="72"/>
    <n v="45"/>
    <n v="81.349999999999994"/>
    <n v="48.81"/>
    <n v="3660.75"/>
    <n v="2196.4499999999998"/>
    <n v="1464.3"/>
    <n v="1"/>
  </r>
  <r>
    <x v="151"/>
    <n v="10275"/>
    <n v="119"/>
    <x v="93"/>
    <x v="9"/>
    <x v="6"/>
    <x v="73"/>
    <n v="22"/>
    <n v="115.37"/>
    <n v="68.989999999999995"/>
    <n v="2538.14"/>
    <n v="1517.78"/>
    <n v="1020.36"/>
    <n v="1"/>
  </r>
  <r>
    <x v="151"/>
    <n v="10275"/>
    <n v="119"/>
    <x v="93"/>
    <x v="9"/>
    <x v="6"/>
    <x v="74"/>
    <n v="36"/>
    <n v="154.93"/>
    <n v="91.02"/>
    <n v="5577.48"/>
    <n v="3276.72"/>
    <n v="2300.7600000000002"/>
    <n v="1"/>
  </r>
  <r>
    <x v="151"/>
    <n v="10275"/>
    <n v="119"/>
    <x v="93"/>
    <x v="9"/>
    <x v="5"/>
    <x v="55"/>
    <n v="35"/>
    <n v="70.12"/>
    <n v="49"/>
    <n v="2454.1999999999998"/>
    <n v="1715"/>
    <n v="739.2"/>
    <n v="1"/>
  </r>
  <r>
    <x v="151"/>
    <n v="10275"/>
    <n v="119"/>
    <x v="93"/>
    <x v="9"/>
    <x v="6"/>
    <x v="76"/>
    <n v="37"/>
    <n v="52.09"/>
    <n v="24.23"/>
    <n v="1927.33"/>
    <n v="896.51"/>
    <n v="1030.82"/>
    <n v="1"/>
  </r>
  <r>
    <x v="151"/>
    <n v="10275"/>
    <n v="119"/>
    <x v="93"/>
    <x v="9"/>
    <x v="6"/>
    <x v="77"/>
    <n v="21"/>
    <n v="105.94"/>
    <n v="60.86"/>
    <n v="2224.7399999999998"/>
    <n v="1278.06"/>
    <n v="946.68"/>
    <n v="1"/>
  </r>
  <r>
    <x v="151"/>
    <n v="10275"/>
    <n v="119"/>
    <x v="93"/>
    <x v="9"/>
    <x v="5"/>
    <x v="58"/>
    <n v="25"/>
    <n v="97.38"/>
    <n v="66.739999999999995"/>
    <n v="2434.5"/>
    <n v="1668.5"/>
    <n v="766"/>
    <n v="1"/>
  </r>
  <r>
    <x v="151"/>
    <n v="10275"/>
    <n v="119"/>
    <x v="93"/>
    <x v="9"/>
    <x v="6"/>
    <x v="78"/>
    <n v="30"/>
    <n v="61.7"/>
    <n v="37.32"/>
    <n v="1851"/>
    <n v="1119.5999999999999"/>
    <n v="731.4"/>
    <n v="1"/>
  </r>
  <r>
    <x v="151"/>
    <n v="10275"/>
    <n v="119"/>
    <x v="93"/>
    <x v="9"/>
    <x v="5"/>
    <x v="61"/>
    <n v="41"/>
    <n v="58"/>
    <n v="29.34"/>
    <n v="2378"/>
    <n v="1202.94"/>
    <n v="1175.06"/>
    <n v="1"/>
  </r>
  <r>
    <x v="151"/>
    <n v="10275"/>
    <n v="119"/>
    <x v="93"/>
    <x v="9"/>
    <x v="5"/>
    <x v="62"/>
    <n v="27"/>
    <n v="67.38"/>
    <n v="36.229999999999997"/>
    <n v="1819.26"/>
    <n v="978.21"/>
    <n v="841.05"/>
    <n v="1"/>
  </r>
  <r>
    <x v="151"/>
    <n v="10275"/>
    <n v="119"/>
    <x v="93"/>
    <x v="9"/>
    <x v="6"/>
    <x v="79"/>
    <n v="23"/>
    <n v="89.9"/>
    <n v="66.92"/>
    <n v="2067.6999999999998"/>
    <n v="1539.16"/>
    <n v="528.54"/>
    <n v="1"/>
  </r>
  <r>
    <x v="151"/>
    <n v="10275"/>
    <n v="119"/>
    <x v="93"/>
    <x v="9"/>
    <x v="0"/>
    <x v="63"/>
    <n v="28"/>
    <n v="58.47"/>
    <n v="33.020000000000003"/>
    <n v="1637.16"/>
    <n v="924.56"/>
    <n v="712.6"/>
    <n v="1"/>
  </r>
  <r>
    <x v="151"/>
    <n v="10275"/>
    <n v="119"/>
    <x v="93"/>
    <x v="9"/>
    <x v="0"/>
    <x v="64"/>
    <n v="38"/>
    <n v="40.15"/>
    <n v="27.06"/>
    <n v="1525.7"/>
    <n v="1028.28"/>
    <n v="497.42"/>
    <n v="1"/>
  </r>
  <r>
    <x v="151"/>
    <n v="10275"/>
    <n v="119"/>
    <x v="93"/>
    <x v="9"/>
    <x v="5"/>
    <x v="65"/>
    <n v="32"/>
    <n v="85.86"/>
    <n v="51.15"/>
    <n v="2747.52"/>
    <n v="1636.8"/>
    <n v="1110.72"/>
    <n v="1"/>
  </r>
  <r>
    <x v="151"/>
    <n v="10275"/>
    <n v="119"/>
    <x v="93"/>
    <x v="9"/>
    <x v="5"/>
    <x v="67"/>
    <n v="39"/>
    <n v="82.77"/>
    <n v="68.8"/>
    <n v="3228.03"/>
    <n v="2683.2"/>
    <n v="544.83000000000004"/>
    <n v="1"/>
  </r>
  <r>
    <x v="151"/>
    <n v="10275"/>
    <n v="119"/>
    <x v="93"/>
    <x v="9"/>
    <x v="5"/>
    <x v="68"/>
    <n v="48"/>
    <n v="102.04"/>
    <n v="59.33"/>
    <n v="4897.92"/>
    <n v="2847.84"/>
    <n v="2050.08"/>
    <n v="1"/>
  </r>
  <r>
    <x v="151"/>
    <n v="10275"/>
    <n v="119"/>
    <x v="93"/>
    <x v="9"/>
    <x v="5"/>
    <x v="69"/>
    <n v="43"/>
    <n v="72"/>
    <n v="54.4"/>
    <n v="3096"/>
    <n v="2339.1999999999998"/>
    <n v="756.8"/>
    <n v="1"/>
  </r>
  <r>
    <x v="151"/>
    <n v="10275"/>
    <n v="119"/>
    <x v="93"/>
    <x v="9"/>
    <x v="5"/>
    <x v="70"/>
    <n v="31"/>
    <n v="59.96"/>
    <n v="36.270000000000003"/>
    <n v="1858.76"/>
    <n v="1124.3699999999999"/>
    <n v="734.39"/>
    <n v="1"/>
  </r>
  <r>
    <x v="152"/>
    <n v="10276"/>
    <n v="204"/>
    <x v="94"/>
    <x v="0"/>
    <x v="1"/>
    <x v="80"/>
    <n v="50"/>
    <n v="184.84"/>
    <n v="95.34"/>
    <n v="9242"/>
    <n v="4767"/>
    <n v="4475"/>
    <n v="1"/>
  </r>
  <r>
    <x v="152"/>
    <n v="10276"/>
    <n v="204"/>
    <x v="94"/>
    <x v="0"/>
    <x v="6"/>
    <x v="75"/>
    <n v="43"/>
    <n v="150.62"/>
    <n v="66.27"/>
    <n v="6476.66"/>
    <n v="2849.61"/>
    <n v="3627.05"/>
    <n v="1"/>
  </r>
  <r>
    <x v="152"/>
    <n v="10276"/>
    <n v="204"/>
    <x v="94"/>
    <x v="0"/>
    <x v="1"/>
    <x v="81"/>
    <n v="47"/>
    <n v="104.52"/>
    <n v="75.16"/>
    <n v="4912.4399999999996"/>
    <n v="3532.52"/>
    <n v="1379.92"/>
    <n v="1"/>
  </r>
  <r>
    <x v="152"/>
    <n v="10276"/>
    <n v="204"/>
    <x v="94"/>
    <x v="0"/>
    <x v="1"/>
    <x v="82"/>
    <n v="38"/>
    <n v="67.83"/>
    <n v="31.92"/>
    <n v="2577.54"/>
    <n v="1212.96"/>
    <n v="1364.58"/>
    <n v="1"/>
  </r>
  <r>
    <x v="152"/>
    <n v="10276"/>
    <n v="204"/>
    <x v="94"/>
    <x v="0"/>
    <x v="1"/>
    <x v="85"/>
    <n v="38"/>
    <n v="78"/>
    <n v="49.05"/>
    <n v="2964"/>
    <n v="1863.9"/>
    <n v="1100.0999999999999"/>
    <n v="1"/>
  </r>
  <r>
    <x v="152"/>
    <n v="10276"/>
    <n v="204"/>
    <x v="94"/>
    <x v="0"/>
    <x v="1"/>
    <x v="86"/>
    <n v="30"/>
    <n v="139.63999999999999"/>
    <n v="73.489999999999995"/>
    <n v="4189.2"/>
    <n v="2204.6999999999998"/>
    <n v="1984.5"/>
    <n v="1"/>
  </r>
  <r>
    <x v="152"/>
    <n v="10276"/>
    <n v="204"/>
    <x v="94"/>
    <x v="0"/>
    <x v="6"/>
    <x v="87"/>
    <n v="33"/>
    <n v="54.71"/>
    <n v="32.950000000000003"/>
    <n v="1805.43"/>
    <n v="1087.3499999999999"/>
    <n v="718.08"/>
    <n v="1"/>
  </r>
  <r>
    <x v="152"/>
    <n v="10276"/>
    <n v="204"/>
    <x v="94"/>
    <x v="0"/>
    <x v="1"/>
    <x v="88"/>
    <n v="48"/>
    <n v="120.53"/>
    <n v="69.930000000000007"/>
    <n v="5785.44"/>
    <n v="3356.64"/>
    <n v="2428.8000000000002"/>
    <n v="1"/>
  </r>
  <r>
    <x v="152"/>
    <n v="10276"/>
    <n v="204"/>
    <x v="94"/>
    <x v="0"/>
    <x v="6"/>
    <x v="89"/>
    <n v="46"/>
    <n v="61.64"/>
    <n v="47.1"/>
    <n v="2835.44"/>
    <n v="2166.6"/>
    <n v="668.84"/>
    <n v="1"/>
  </r>
  <r>
    <x v="152"/>
    <n v="10276"/>
    <n v="204"/>
    <x v="94"/>
    <x v="0"/>
    <x v="1"/>
    <x v="90"/>
    <n v="20"/>
    <n v="58.17"/>
    <n v="38.58"/>
    <n v="1163.4000000000001"/>
    <n v="771.6"/>
    <n v="391.8"/>
    <n v="1"/>
  </r>
  <r>
    <x v="152"/>
    <n v="10276"/>
    <n v="204"/>
    <x v="94"/>
    <x v="0"/>
    <x v="1"/>
    <x v="92"/>
    <n v="48"/>
    <n v="67.099999999999994"/>
    <n v="32.33"/>
    <n v="3220.8"/>
    <n v="1551.84"/>
    <n v="1668.96"/>
    <n v="1"/>
  </r>
  <r>
    <x v="152"/>
    <n v="10276"/>
    <n v="204"/>
    <x v="94"/>
    <x v="0"/>
    <x v="6"/>
    <x v="93"/>
    <n v="27"/>
    <n v="35.4"/>
    <n v="24.14"/>
    <n v="955.8"/>
    <n v="651.78"/>
    <n v="304.02"/>
    <n v="1"/>
  </r>
  <r>
    <x v="152"/>
    <n v="10276"/>
    <n v="204"/>
    <x v="94"/>
    <x v="0"/>
    <x v="6"/>
    <x v="94"/>
    <n v="38"/>
    <n v="94.91"/>
    <n v="56.13"/>
    <n v="3606.58"/>
    <n v="2132.94"/>
    <n v="1473.64"/>
    <n v="1"/>
  </r>
  <r>
    <x v="152"/>
    <n v="10276"/>
    <n v="204"/>
    <x v="94"/>
    <x v="0"/>
    <x v="6"/>
    <x v="95"/>
    <n v="21"/>
    <n v="67.53"/>
    <n v="34.17"/>
    <n v="1418.13"/>
    <n v="717.57"/>
    <n v="700.56"/>
    <n v="1"/>
  </r>
  <r>
    <x v="153"/>
    <n v="10277"/>
    <n v="148"/>
    <x v="17"/>
    <x v="11"/>
    <x v="1"/>
    <x v="83"/>
    <n v="28"/>
    <n v="93.28"/>
    <n v="58.73"/>
    <n v="2611.84"/>
    <n v="1644.44"/>
    <n v="967.4"/>
    <n v="4"/>
  </r>
  <r>
    <x v="154"/>
    <n v="10278"/>
    <n v="112"/>
    <x v="24"/>
    <x v="0"/>
    <x v="1"/>
    <x v="96"/>
    <n v="34"/>
    <n v="114.65"/>
    <n v="83.51"/>
    <n v="3898.1"/>
    <n v="2839.34"/>
    <n v="1058.76"/>
    <n v="2"/>
  </r>
  <r>
    <x v="154"/>
    <n v="10278"/>
    <n v="112"/>
    <x v="24"/>
    <x v="0"/>
    <x v="1"/>
    <x v="101"/>
    <n v="23"/>
    <n v="107.02"/>
    <n v="65.959999999999994"/>
    <n v="2461.46"/>
    <n v="1517.08"/>
    <n v="944.38"/>
    <n v="2"/>
  </r>
  <r>
    <x v="154"/>
    <n v="10278"/>
    <n v="112"/>
    <x v="24"/>
    <x v="0"/>
    <x v="1"/>
    <x v="84"/>
    <n v="29"/>
    <n v="73.150000000000006"/>
    <n v="53.9"/>
    <n v="2121.35"/>
    <n v="1563.1"/>
    <n v="558.25"/>
    <n v="2"/>
  </r>
  <r>
    <x v="154"/>
    <n v="10278"/>
    <n v="112"/>
    <x v="24"/>
    <x v="0"/>
    <x v="1"/>
    <x v="97"/>
    <n v="29"/>
    <n v="118.07"/>
    <n v="93.89"/>
    <n v="3424.03"/>
    <n v="2722.81"/>
    <n v="701.22"/>
    <n v="2"/>
  </r>
  <r>
    <x v="154"/>
    <n v="10278"/>
    <n v="112"/>
    <x v="24"/>
    <x v="0"/>
    <x v="1"/>
    <x v="98"/>
    <n v="39"/>
    <n v="117.48"/>
    <n v="56.76"/>
    <n v="4581.72"/>
    <n v="2213.64"/>
    <n v="2368.08"/>
    <n v="2"/>
  </r>
  <r>
    <x v="154"/>
    <n v="10278"/>
    <n v="112"/>
    <x v="24"/>
    <x v="0"/>
    <x v="1"/>
    <x v="30"/>
    <n v="42"/>
    <n v="167.65"/>
    <n v="77.900000000000006"/>
    <n v="7041.3"/>
    <n v="3271.8"/>
    <n v="3769.5"/>
    <n v="2"/>
  </r>
  <r>
    <x v="154"/>
    <n v="10278"/>
    <n v="112"/>
    <x v="24"/>
    <x v="0"/>
    <x v="1"/>
    <x v="99"/>
    <n v="31"/>
    <n v="114.44"/>
    <n v="62.16"/>
    <n v="3547.64"/>
    <n v="1926.96"/>
    <n v="1620.68"/>
    <n v="2"/>
  </r>
  <r>
    <x v="154"/>
    <n v="10278"/>
    <n v="112"/>
    <x v="24"/>
    <x v="0"/>
    <x v="1"/>
    <x v="104"/>
    <n v="35"/>
    <n v="48.8"/>
    <n v="29.18"/>
    <n v="1708"/>
    <n v="1021.3"/>
    <n v="686.7"/>
    <n v="2"/>
  </r>
  <r>
    <x v="154"/>
    <n v="10278"/>
    <n v="112"/>
    <x v="24"/>
    <x v="0"/>
    <x v="1"/>
    <x v="100"/>
    <n v="31"/>
    <n v="37.380000000000003"/>
    <n v="16.239999999999998"/>
    <n v="1158.78"/>
    <n v="503.44"/>
    <n v="655.34"/>
    <n v="2"/>
  </r>
  <r>
    <x v="154"/>
    <n v="10278"/>
    <n v="112"/>
    <x v="24"/>
    <x v="0"/>
    <x v="1"/>
    <x v="91"/>
    <n v="25"/>
    <n v="136.22"/>
    <n v="98.3"/>
    <n v="3405.5"/>
    <n v="2457.5"/>
    <n v="948"/>
    <n v="2"/>
  </r>
  <r>
    <x v="155"/>
    <n v="10279"/>
    <n v="141"/>
    <x v="4"/>
    <x v="3"/>
    <x v="1"/>
    <x v="102"/>
    <n v="26"/>
    <n v="68.42"/>
    <n v="34.21"/>
    <n v="1778.92"/>
    <n v="889.46"/>
    <n v="889.46"/>
    <n v="13"/>
  </r>
  <r>
    <x v="155"/>
    <n v="10279"/>
    <n v="141"/>
    <x v="4"/>
    <x v="3"/>
    <x v="1"/>
    <x v="103"/>
    <n v="32"/>
    <n v="68.349999999999994"/>
    <n v="49.24"/>
    <n v="2187.1999999999998"/>
    <n v="1575.68"/>
    <n v="611.52"/>
    <n v="13"/>
  </r>
  <r>
    <x v="155"/>
    <n v="10279"/>
    <n v="141"/>
    <x v="4"/>
    <x v="3"/>
    <x v="1"/>
    <x v="105"/>
    <n v="49"/>
    <n v="76.33"/>
    <n v="47.25"/>
    <n v="3740.17"/>
    <n v="2315.25"/>
    <n v="1424.92"/>
    <n v="13"/>
  </r>
  <r>
    <x v="155"/>
    <n v="10279"/>
    <n v="141"/>
    <x v="4"/>
    <x v="3"/>
    <x v="1"/>
    <x v="106"/>
    <n v="48"/>
    <n v="106.87"/>
    <n v="72.819999999999993"/>
    <n v="5129.76"/>
    <n v="3495.36"/>
    <n v="1634.4"/>
    <n v="13"/>
  </r>
  <r>
    <x v="155"/>
    <n v="10279"/>
    <n v="141"/>
    <x v="4"/>
    <x v="3"/>
    <x v="1"/>
    <x v="107"/>
    <n v="33"/>
    <n v="78.760000000000005"/>
    <n v="50.51"/>
    <n v="2599.08"/>
    <n v="1666.83"/>
    <n v="932.25"/>
    <n v="13"/>
  </r>
  <r>
    <x v="155"/>
    <n v="10279"/>
    <n v="141"/>
    <x v="4"/>
    <x v="3"/>
    <x v="1"/>
    <x v="108"/>
    <n v="48"/>
    <n v="95.3"/>
    <n v="62.11"/>
    <n v="4574.3999999999996"/>
    <n v="2981.28"/>
    <n v="1593.12"/>
    <n v="13"/>
  </r>
  <r>
    <x v="156"/>
    <n v="10280"/>
    <n v="249"/>
    <x v="95"/>
    <x v="5"/>
    <x v="1"/>
    <x v="10"/>
    <n v="34"/>
    <n v="205.73"/>
    <n v="98.58"/>
    <n v="6994.82"/>
    <n v="3351.72"/>
    <n v="3643.1"/>
    <n v="1"/>
  </r>
  <r>
    <x v="156"/>
    <n v="10280"/>
    <n v="249"/>
    <x v="95"/>
    <x v="5"/>
    <x v="2"/>
    <x v="13"/>
    <n v="24"/>
    <n v="98"/>
    <n v="58.33"/>
    <n v="2352"/>
    <n v="1399.92"/>
    <n v="952.08"/>
    <n v="1"/>
  </r>
  <r>
    <x v="156"/>
    <n v="10280"/>
    <n v="249"/>
    <x v="95"/>
    <x v="5"/>
    <x v="0"/>
    <x v="8"/>
    <n v="50"/>
    <n v="87.33"/>
    <n v="60.62"/>
    <n v="4366.5"/>
    <n v="3031"/>
    <n v="1335.5"/>
    <n v="1"/>
  </r>
  <r>
    <x v="156"/>
    <n v="10280"/>
    <n v="249"/>
    <x v="95"/>
    <x v="5"/>
    <x v="0"/>
    <x v="9"/>
    <n v="27"/>
    <n v="47.44"/>
    <n v="24.26"/>
    <n v="1280.8800000000001"/>
    <n v="655.02"/>
    <n v="625.86"/>
    <n v="1"/>
  </r>
  <r>
    <x v="156"/>
    <n v="10280"/>
    <n v="249"/>
    <x v="95"/>
    <x v="5"/>
    <x v="0"/>
    <x v="0"/>
    <n v="26"/>
    <n v="161.5"/>
    <n v="86.7"/>
    <n v="4199"/>
    <n v="2254.1999999999998"/>
    <n v="1944.8"/>
    <n v="1"/>
  </r>
  <r>
    <x v="156"/>
    <n v="10280"/>
    <n v="249"/>
    <x v="95"/>
    <x v="5"/>
    <x v="0"/>
    <x v="1"/>
    <n v="25"/>
    <n v="53.28"/>
    <n v="33.299999999999997"/>
    <n v="1332"/>
    <n v="832.5"/>
    <n v="499.5"/>
    <n v="1"/>
  </r>
  <r>
    <x v="156"/>
    <n v="10280"/>
    <n v="249"/>
    <x v="95"/>
    <x v="5"/>
    <x v="0"/>
    <x v="4"/>
    <n v="37"/>
    <n v="109.33"/>
    <n v="58.48"/>
    <n v="4045.21"/>
    <n v="2163.7600000000002"/>
    <n v="1881.45"/>
    <n v="1"/>
  </r>
  <r>
    <x v="156"/>
    <n v="10280"/>
    <n v="249"/>
    <x v="95"/>
    <x v="5"/>
    <x v="0"/>
    <x v="5"/>
    <n v="22"/>
    <n v="158.63"/>
    <n v="72.56"/>
    <n v="3489.86"/>
    <n v="1596.32"/>
    <n v="1893.54"/>
    <n v="1"/>
  </r>
  <r>
    <x v="156"/>
    <n v="10280"/>
    <n v="249"/>
    <x v="95"/>
    <x v="5"/>
    <x v="0"/>
    <x v="15"/>
    <n v="46"/>
    <n v="82.06"/>
    <n v="60.78"/>
    <n v="3774.76"/>
    <n v="2795.88"/>
    <n v="978.88"/>
    <n v="1"/>
  </r>
  <r>
    <x v="156"/>
    <n v="10280"/>
    <n v="249"/>
    <x v="95"/>
    <x v="5"/>
    <x v="0"/>
    <x v="16"/>
    <n v="43"/>
    <n v="54.34"/>
    <n v="34.35"/>
    <n v="2336.62"/>
    <n v="1477.05"/>
    <n v="859.57"/>
    <n v="1"/>
  </r>
  <r>
    <x v="156"/>
    <n v="10280"/>
    <n v="249"/>
    <x v="95"/>
    <x v="5"/>
    <x v="0"/>
    <x v="17"/>
    <n v="29"/>
    <n v="102.63"/>
    <n v="60.74"/>
    <n v="2976.27"/>
    <n v="1761.46"/>
    <n v="1214.81"/>
    <n v="1"/>
  </r>
  <r>
    <x v="156"/>
    <n v="10280"/>
    <n v="249"/>
    <x v="95"/>
    <x v="5"/>
    <x v="0"/>
    <x v="18"/>
    <n v="34"/>
    <n v="99.21"/>
    <n v="57.54"/>
    <n v="3373.14"/>
    <n v="1956.36"/>
    <n v="1416.78"/>
    <n v="1"/>
  </r>
  <r>
    <x v="156"/>
    <n v="10280"/>
    <n v="249"/>
    <x v="95"/>
    <x v="5"/>
    <x v="0"/>
    <x v="2"/>
    <n v="35"/>
    <n v="77.31"/>
    <n v="43.26"/>
    <n v="2705.85"/>
    <n v="1514.1"/>
    <n v="1191.75"/>
    <n v="1"/>
  </r>
  <r>
    <x v="156"/>
    <n v="10280"/>
    <n v="249"/>
    <x v="95"/>
    <x v="5"/>
    <x v="0"/>
    <x v="6"/>
    <n v="20"/>
    <n v="29.87"/>
    <n v="22.57"/>
    <n v="597.4"/>
    <n v="451.4"/>
    <n v="146"/>
    <n v="1"/>
  </r>
  <r>
    <x v="156"/>
    <n v="10280"/>
    <n v="249"/>
    <x v="95"/>
    <x v="5"/>
    <x v="0"/>
    <x v="7"/>
    <n v="45"/>
    <n v="36.29"/>
    <n v="20.61"/>
    <n v="1633.05"/>
    <n v="927.45"/>
    <n v="705.6"/>
    <n v="1"/>
  </r>
  <r>
    <x v="156"/>
    <n v="10280"/>
    <n v="249"/>
    <x v="95"/>
    <x v="5"/>
    <x v="0"/>
    <x v="3"/>
    <n v="33"/>
    <n v="35.29"/>
    <n v="21.75"/>
    <n v="1164.57"/>
    <n v="717.75"/>
    <n v="446.82"/>
    <n v="1"/>
  </r>
  <r>
    <x v="156"/>
    <n v="10280"/>
    <n v="249"/>
    <x v="95"/>
    <x v="5"/>
    <x v="0"/>
    <x v="22"/>
    <n v="21"/>
    <n v="79.86"/>
    <n v="57.46"/>
    <n v="1677.06"/>
    <n v="1206.6600000000001"/>
    <n v="470.4"/>
    <n v="1"/>
  </r>
  <r>
    <x v="157"/>
    <n v="10281"/>
    <n v="157"/>
    <x v="92"/>
    <x v="0"/>
    <x v="1"/>
    <x v="11"/>
    <n v="44"/>
    <n v="132.97"/>
    <n v="103.42"/>
    <n v="5850.68"/>
    <n v="4550.4799999999996"/>
    <n v="1300.2"/>
    <n v="2"/>
  </r>
  <r>
    <x v="157"/>
    <n v="10281"/>
    <n v="157"/>
    <x v="92"/>
    <x v="0"/>
    <x v="2"/>
    <x v="12"/>
    <n v="25"/>
    <n v="127.1"/>
    <n v="77.900000000000006"/>
    <n v="3177.5"/>
    <n v="1947.5"/>
    <n v="1230"/>
    <n v="2"/>
  </r>
  <r>
    <x v="157"/>
    <n v="10281"/>
    <n v="157"/>
    <x v="92"/>
    <x v="0"/>
    <x v="2"/>
    <x v="27"/>
    <n v="41"/>
    <n v="98.36"/>
    <n v="55.7"/>
    <n v="4032.76"/>
    <n v="2283.6999999999998"/>
    <n v="1749.06"/>
    <n v="2"/>
  </r>
  <r>
    <x v="157"/>
    <n v="10281"/>
    <n v="157"/>
    <x v="92"/>
    <x v="0"/>
    <x v="2"/>
    <x v="29"/>
    <n v="48"/>
    <n v="114.14"/>
    <n v="74.86"/>
    <n v="5478.72"/>
    <n v="3593.28"/>
    <n v="1885.44"/>
    <n v="2"/>
  </r>
  <r>
    <x v="157"/>
    <n v="10281"/>
    <n v="157"/>
    <x v="92"/>
    <x v="0"/>
    <x v="2"/>
    <x v="14"/>
    <n v="29"/>
    <n v="56.52"/>
    <n v="24.92"/>
    <n v="1639.08"/>
    <n v="722.68"/>
    <n v="916.4"/>
    <n v="2"/>
  </r>
  <r>
    <x v="157"/>
    <n v="10281"/>
    <n v="157"/>
    <x v="92"/>
    <x v="0"/>
    <x v="1"/>
    <x v="30"/>
    <n v="25"/>
    <n v="135.47"/>
    <n v="77.900000000000006"/>
    <n v="3386.75"/>
    <n v="1947.5"/>
    <n v="1439.25"/>
    <n v="2"/>
  </r>
  <r>
    <x v="157"/>
    <n v="10281"/>
    <n v="157"/>
    <x v="92"/>
    <x v="0"/>
    <x v="2"/>
    <x v="19"/>
    <n v="25"/>
    <n v="96.86"/>
    <n v="84.76"/>
    <n v="2421.5"/>
    <n v="2119"/>
    <n v="302.5"/>
    <n v="2"/>
  </r>
  <r>
    <x v="157"/>
    <n v="10281"/>
    <n v="157"/>
    <x v="92"/>
    <x v="0"/>
    <x v="0"/>
    <x v="20"/>
    <n v="44"/>
    <n v="42.76"/>
    <n v="23.14"/>
    <n v="1881.44"/>
    <n v="1018.16"/>
    <n v="863.28"/>
    <n v="2"/>
  </r>
  <r>
    <x v="157"/>
    <n v="10281"/>
    <n v="157"/>
    <x v="92"/>
    <x v="0"/>
    <x v="2"/>
    <x v="21"/>
    <n v="25"/>
    <n v="112.46"/>
    <n v="61.34"/>
    <n v="2811.5"/>
    <n v="1533.5"/>
    <n v="1278"/>
    <n v="2"/>
  </r>
  <r>
    <x v="157"/>
    <n v="10281"/>
    <n v="157"/>
    <x v="92"/>
    <x v="0"/>
    <x v="1"/>
    <x v="33"/>
    <n v="20"/>
    <n v="33.950000000000003"/>
    <n v="15.91"/>
    <n v="679"/>
    <n v="318.2"/>
    <n v="360.8"/>
    <n v="2"/>
  </r>
  <r>
    <x v="157"/>
    <n v="10281"/>
    <n v="157"/>
    <x v="92"/>
    <x v="0"/>
    <x v="2"/>
    <x v="23"/>
    <n v="29"/>
    <n v="80.900000000000006"/>
    <n v="53.93"/>
    <n v="2346.1"/>
    <n v="1563.97"/>
    <n v="782.13"/>
    <n v="2"/>
  </r>
  <r>
    <x v="157"/>
    <n v="10281"/>
    <n v="157"/>
    <x v="92"/>
    <x v="0"/>
    <x v="2"/>
    <x v="35"/>
    <n v="31"/>
    <n v="44.91"/>
    <n v="25.98"/>
    <n v="1392.21"/>
    <n v="805.38"/>
    <n v="586.83000000000004"/>
    <n v="2"/>
  </r>
  <r>
    <x v="157"/>
    <n v="10281"/>
    <n v="157"/>
    <x v="92"/>
    <x v="0"/>
    <x v="2"/>
    <x v="24"/>
    <n v="36"/>
    <n v="59.47"/>
    <n v="33.61"/>
    <n v="2140.92"/>
    <n v="1209.96"/>
    <n v="930.96"/>
    <n v="2"/>
  </r>
  <r>
    <x v="157"/>
    <n v="10281"/>
    <n v="157"/>
    <x v="92"/>
    <x v="0"/>
    <x v="1"/>
    <x v="25"/>
    <n v="27"/>
    <n v="89.01"/>
    <n v="46.53"/>
    <n v="2403.27"/>
    <n v="1256.31"/>
    <n v="1146.96"/>
    <n v="2"/>
  </r>
  <r>
    <x v="158"/>
    <n v="10282"/>
    <n v="124"/>
    <x v="13"/>
    <x v="0"/>
    <x v="1"/>
    <x v="40"/>
    <n v="41"/>
    <n v="176.63"/>
    <n v="95.59"/>
    <n v="7241.83"/>
    <n v="3919.19"/>
    <n v="3322.64"/>
    <n v="7"/>
  </r>
  <r>
    <x v="158"/>
    <n v="10282"/>
    <n v="124"/>
    <x v="13"/>
    <x v="0"/>
    <x v="1"/>
    <x v="26"/>
    <n v="27"/>
    <n v="142.02000000000001"/>
    <n v="89.14"/>
    <n v="3834.54"/>
    <n v="2406.7800000000002"/>
    <n v="1427.76"/>
    <n v="7"/>
  </r>
  <r>
    <x v="158"/>
    <n v="10282"/>
    <n v="124"/>
    <x v="13"/>
    <x v="0"/>
    <x v="1"/>
    <x v="41"/>
    <n v="24"/>
    <n v="169.56"/>
    <n v="83.05"/>
    <n v="4069.44"/>
    <n v="1993.2"/>
    <n v="2076.2399999999998"/>
    <n v="7"/>
  </r>
  <r>
    <x v="158"/>
    <n v="10282"/>
    <n v="124"/>
    <x v="13"/>
    <x v="0"/>
    <x v="1"/>
    <x v="28"/>
    <n v="23"/>
    <n v="147.36000000000001"/>
    <n v="101.51"/>
    <n v="3389.28"/>
    <n v="2334.73"/>
    <n v="1054.55"/>
    <n v="7"/>
  </r>
  <r>
    <x v="158"/>
    <n v="10282"/>
    <n v="124"/>
    <x v="13"/>
    <x v="0"/>
    <x v="0"/>
    <x v="42"/>
    <n v="43"/>
    <n v="122.93"/>
    <n v="68.3"/>
    <n v="5285.99"/>
    <n v="2936.9"/>
    <n v="2349.09"/>
    <n v="7"/>
  </r>
  <r>
    <x v="158"/>
    <n v="10282"/>
    <n v="124"/>
    <x v="13"/>
    <x v="0"/>
    <x v="3"/>
    <x v="43"/>
    <n v="36"/>
    <n v="88.74"/>
    <n v="67.56"/>
    <n v="3194.64"/>
    <n v="2432.16"/>
    <n v="762.48"/>
    <n v="7"/>
  </r>
  <r>
    <x v="158"/>
    <n v="10282"/>
    <n v="124"/>
    <x v="13"/>
    <x v="0"/>
    <x v="1"/>
    <x v="31"/>
    <n v="31"/>
    <n v="132.13"/>
    <n v="91.92"/>
    <n v="4096.03"/>
    <n v="2849.52"/>
    <n v="1246.51"/>
    <n v="7"/>
  </r>
  <r>
    <x v="158"/>
    <n v="10282"/>
    <n v="124"/>
    <x v="13"/>
    <x v="0"/>
    <x v="1"/>
    <x v="32"/>
    <n v="29"/>
    <n v="49.71"/>
    <n v="32.369999999999997"/>
    <n v="1441.59"/>
    <n v="938.73"/>
    <n v="502.86"/>
    <n v="7"/>
  </r>
  <r>
    <x v="158"/>
    <n v="10282"/>
    <n v="124"/>
    <x v="13"/>
    <x v="0"/>
    <x v="1"/>
    <x v="34"/>
    <n v="39"/>
    <n v="96.99"/>
    <n v="69.78"/>
    <n v="3782.61"/>
    <n v="2721.42"/>
    <n v="1061.19"/>
    <n v="7"/>
  </r>
  <r>
    <x v="158"/>
    <n v="10282"/>
    <n v="124"/>
    <x v="13"/>
    <x v="0"/>
    <x v="3"/>
    <x v="36"/>
    <n v="36"/>
    <n v="51.58"/>
    <n v="26.72"/>
    <n v="1856.88"/>
    <n v="961.92"/>
    <n v="894.96"/>
    <n v="7"/>
  </r>
  <r>
    <x v="158"/>
    <n v="10282"/>
    <n v="124"/>
    <x v="13"/>
    <x v="0"/>
    <x v="2"/>
    <x v="37"/>
    <n v="38"/>
    <n v="114.59"/>
    <n v="68.290000000000006"/>
    <n v="4354.42"/>
    <n v="2595.02"/>
    <n v="1759.4"/>
    <n v="7"/>
  </r>
  <r>
    <x v="158"/>
    <n v="10282"/>
    <n v="124"/>
    <x v="13"/>
    <x v="0"/>
    <x v="3"/>
    <x v="38"/>
    <n v="37"/>
    <n v="56.24"/>
    <n v="37.49"/>
    <n v="2080.88"/>
    <n v="1387.13"/>
    <n v="693.75"/>
    <n v="7"/>
  </r>
  <r>
    <x v="158"/>
    <n v="10282"/>
    <n v="124"/>
    <x v="13"/>
    <x v="0"/>
    <x v="4"/>
    <x v="49"/>
    <n v="43"/>
    <n v="77.95"/>
    <n v="43.3"/>
    <n v="3351.85"/>
    <n v="1861.9"/>
    <n v="1489.95"/>
    <n v="7"/>
  </r>
  <r>
    <x v="158"/>
    <n v="10283"/>
    <n v="260"/>
    <x v="86"/>
    <x v="16"/>
    <x v="1"/>
    <x v="39"/>
    <n v="25"/>
    <n v="130.56"/>
    <n v="85.68"/>
    <n v="3264"/>
    <n v="2142"/>
    <n v="1122"/>
    <n v="2"/>
  </r>
  <r>
    <x v="158"/>
    <n v="10283"/>
    <n v="260"/>
    <x v="86"/>
    <x v="16"/>
    <x v="4"/>
    <x v="56"/>
    <n v="21"/>
    <n v="78.28"/>
    <n v="51.61"/>
    <n v="1643.88"/>
    <n v="1083.81"/>
    <n v="560.07000000000005"/>
    <n v="2"/>
  </r>
  <r>
    <x v="158"/>
    <n v="10283"/>
    <n v="260"/>
    <x v="86"/>
    <x v="16"/>
    <x v="0"/>
    <x v="57"/>
    <n v="46"/>
    <n v="100.58"/>
    <n v="64.58"/>
    <n v="4626.68"/>
    <n v="2970.68"/>
    <n v="1656"/>
    <n v="2"/>
  </r>
  <r>
    <x v="158"/>
    <n v="10283"/>
    <n v="260"/>
    <x v="86"/>
    <x v="16"/>
    <x v="0"/>
    <x v="44"/>
    <n v="34"/>
    <n v="71.97"/>
    <n v="52.66"/>
    <n v="2446.98"/>
    <n v="1790.44"/>
    <n v="656.54"/>
    <n v="2"/>
  </r>
  <r>
    <x v="158"/>
    <n v="10283"/>
    <n v="260"/>
    <x v="86"/>
    <x v="16"/>
    <x v="4"/>
    <x v="45"/>
    <n v="42"/>
    <n v="99.54"/>
    <n v="82.34"/>
    <n v="4180.68"/>
    <n v="3458.28"/>
    <n v="722.4"/>
    <n v="2"/>
  </r>
  <r>
    <x v="158"/>
    <n v="10283"/>
    <n v="260"/>
    <x v="86"/>
    <x v="16"/>
    <x v="0"/>
    <x v="46"/>
    <n v="34"/>
    <n v="80.540000000000006"/>
    <n v="46.91"/>
    <n v="2738.36"/>
    <n v="1594.94"/>
    <n v="1143.42"/>
    <n v="2"/>
  </r>
  <r>
    <x v="158"/>
    <n v="10283"/>
    <n v="260"/>
    <x v="86"/>
    <x v="16"/>
    <x v="0"/>
    <x v="47"/>
    <n v="33"/>
    <n v="77.150000000000006"/>
    <n v="48.64"/>
    <n v="2545.9499999999998"/>
    <n v="1605.12"/>
    <n v="940.83"/>
    <n v="2"/>
  </r>
  <r>
    <x v="158"/>
    <n v="10283"/>
    <n v="260"/>
    <x v="86"/>
    <x v="16"/>
    <x v="4"/>
    <x v="48"/>
    <n v="45"/>
    <n v="62"/>
    <n v="34"/>
    <n v="2790"/>
    <n v="1530"/>
    <n v="1260"/>
    <n v="2"/>
  </r>
  <r>
    <x v="158"/>
    <n v="10283"/>
    <n v="260"/>
    <x v="86"/>
    <x v="16"/>
    <x v="4"/>
    <x v="66"/>
    <n v="20"/>
    <n v="74.23"/>
    <n v="39.83"/>
    <n v="1484.6"/>
    <n v="796.6"/>
    <n v="688"/>
    <n v="2"/>
  </r>
  <r>
    <x v="158"/>
    <n v="10283"/>
    <n v="260"/>
    <x v="86"/>
    <x v="16"/>
    <x v="4"/>
    <x v="50"/>
    <n v="47"/>
    <n v="68.67"/>
    <n v="33.97"/>
    <n v="3227.49"/>
    <n v="1596.59"/>
    <n v="1630.9"/>
    <n v="2"/>
  </r>
  <r>
    <x v="158"/>
    <n v="10283"/>
    <n v="260"/>
    <x v="86"/>
    <x v="16"/>
    <x v="4"/>
    <x v="51"/>
    <n v="22"/>
    <n v="88.15"/>
    <n v="51.09"/>
    <n v="1939.3"/>
    <n v="1123.98"/>
    <n v="815.32"/>
    <n v="2"/>
  </r>
  <r>
    <x v="158"/>
    <n v="10283"/>
    <n v="260"/>
    <x v="86"/>
    <x v="16"/>
    <x v="4"/>
    <x v="52"/>
    <n v="38"/>
    <n v="85.41"/>
    <n v="53.63"/>
    <n v="3245.58"/>
    <n v="2037.94"/>
    <n v="1207.6400000000001"/>
    <n v="2"/>
  </r>
  <r>
    <x v="158"/>
    <n v="10283"/>
    <n v="260"/>
    <x v="86"/>
    <x v="16"/>
    <x v="5"/>
    <x v="71"/>
    <n v="43"/>
    <n v="41.22"/>
    <n v="32.770000000000003"/>
    <n v="1772.46"/>
    <n v="1409.11"/>
    <n v="363.35"/>
    <n v="2"/>
  </r>
  <r>
    <x v="158"/>
    <n v="10283"/>
    <n v="260"/>
    <x v="86"/>
    <x v="16"/>
    <x v="4"/>
    <x v="53"/>
    <n v="33"/>
    <n v="49.14"/>
    <n v="33.299999999999997"/>
    <n v="1621.62"/>
    <n v="1098.9000000000001"/>
    <n v="522.72"/>
    <n v="2"/>
  </r>
  <r>
    <x v="159"/>
    <n v="10284"/>
    <n v="299"/>
    <x v="45"/>
    <x v="2"/>
    <x v="5"/>
    <x v="54"/>
    <n v="45"/>
    <n v="137.19"/>
    <n v="77.27"/>
    <n v="6173.55"/>
    <n v="3477.15"/>
    <n v="2696.4"/>
    <n v="2"/>
  </r>
  <r>
    <x v="159"/>
    <n v="10284"/>
    <n v="299"/>
    <x v="45"/>
    <x v="2"/>
    <x v="5"/>
    <x v="55"/>
    <n v="31"/>
    <n v="68.430000000000007"/>
    <n v="49"/>
    <n v="2121.33"/>
    <n v="1519"/>
    <n v="602.33000000000004"/>
    <n v="2"/>
  </r>
  <r>
    <x v="159"/>
    <n v="10284"/>
    <n v="299"/>
    <x v="45"/>
    <x v="2"/>
    <x v="5"/>
    <x v="58"/>
    <n v="22"/>
    <n v="101.76"/>
    <n v="66.739999999999995"/>
    <n v="2238.7199999999998"/>
    <n v="1468.28"/>
    <n v="770.44"/>
    <n v="2"/>
  </r>
  <r>
    <x v="159"/>
    <n v="10284"/>
    <n v="299"/>
    <x v="45"/>
    <x v="2"/>
    <x v="5"/>
    <x v="59"/>
    <n v="30"/>
    <n v="65.08"/>
    <n v="34.25"/>
    <n v="1952.4"/>
    <n v="1027.5"/>
    <n v="924.9"/>
    <n v="2"/>
  </r>
  <r>
    <x v="159"/>
    <n v="10284"/>
    <n v="299"/>
    <x v="45"/>
    <x v="2"/>
    <x v="0"/>
    <x v="60"/>
    <n v="39"/>
    <n v="59.83"/>
    <n v="26.3"/>
    <n v="2333.37"/>
    <n v="1025.7"/>
    <n v="1307.67"/>
    <n v="2"/>
  </r>
  <r>
    <x v="159"/>
    <n v="10284"/>
    <n v="299"/>
    <x v="45"/>
    <x v="2"/>
    <x v="5"/>
    <x v="61"/>
    <n v="21"/>
    <n v="65.510000000000005"/>
    <n v="29.34"/>
    <n v="1375.71"/>
    <n v="616.14"/>
    <n v="759.57"/>
    <n v="2"/>
  </r>
  <r>
    <x v="159"/>
    <n v="10284"/>
    <n v="299"/>
    <x v="45"/>
    <x v="2"/>
    <x v="5"/>
    <x v="62"/>
    <n v="21"/>
    <n v="66.650000000000006"/>
    <n v="36.229999999999997"/>
    <n v="1399.65"/>
    <n v="760.83"/>
    <n v="638.82000000000005"/>
    <n v="2"/>
  </r>
  <r>
    <x v="159"/>
    <n v="10284"/>
    <n v="299"/>
    <x v="45"/>
    <x v="2"/>
    <x v="0"/>
    <x v="63"/>
    <n v="50"/>
    <n v="60.54"/>
    <n v="33.020000000000003"/>
    <n v="3027"/>
    <n v="1651"/>
    <n v="1376"/>
    <n v="2"/>
  </r>
  <r>
    <x v="159"/>
    <n v="10284"/>
    <n v="299"/>
    <x v="45"/>
    <x v="2"/>
    <x v="0"/>
    <x v="64"/>
    <n v="33"/>
    <n v="35.78"/>
    <n v="27.06"/>
    <n v="1180.74"/>
    <n v="892.98"/>
    <n v="287.76"/>
    <n v="2"/>
  </r>
  <r>
    <x v="159"/>
    <n v="10284"/>
    <n v="299"/>
    <x v="45"/>
    <x v="2"/>
    <x v="5"/>
    <x v="65"/>
    <n v="24"/>
    <n v="87.69"/>
    <n v="51.15"/>
    <n v="2104.56"/>
    <n v="1227.5999999999999"/>
    <n v="876.96"/>
    <n v="2"/>
  </r>
  <r>
    <x v="159"/>
    <n v="10284"/>
    <n v="299"/>
    <x v="45"/>
    <x v="2"/>
    <x v="5"/>
    <x v="67"/>
    <n v="45"/>
    <n v="95.73"/>
    <n v="68.8"/>
    <n v="4307.8500000000004"/>
    <n v="3096"/>
    <n v="1211.8499999999999"/>
    <n v="2"/>
  </r>
  <r>
    <x v="159"/>
    <n v="10284"/>
    <n v="299"/>
    <x v="45"/>
    <x v="2"/>
    <x v="5"/>
    <x v="69"/>
    <n v="25"/>
    <n v="68"/>
    <n v="54.4"/>
    <n v="1700"/>
    <n v="1360"/>
    <n v="340"/>
    <n v="2"/>
  </r>
  <r>
    <x v="159"/>
    <n v="10284"/>
    <n v="299"/>
    <x v="45"/>
    <x v="2"/>
    <x v="5"/>
    <x v="70"/>
    <n v="32"/>
    <n v="73.290000000000006"/>
    <n v="36.270000000000003"/>
    <n v="2345.2800000000002"/>
    <n v="1160.6400000000001"/>
    <n v="1184.6400000000001"/>
    <n v="2"/>
  </r>
  <r>
    <x v="160"/>
    <n v="10285"/>
    <n v="286"/>
    <x v="96"/>
    <x v="0"/>
    <x v="6"/>
    <x v="72"/>
    <n v="36"/>
    <n v="95.7"/>
    <n v="48.81"/>
    <n v="3445.2"/>
    <n v="1757.16"/>
    <n v="1688.04"/>
    <n v="1"/>
  </r>
  <r>
    <x v="160"/>
    <n v="10285"/>
    <n v="286"/>
    <x v="96"/>
    <x v="0"/>
    <x v="6"/>
    <x v="73"/>
    <n v="47"/>
    <n v="110.61"/>
    <n v="68.989999999999995"/>
    <n v="5198.67"/>
    <n v="3242.53"/>
    <n v="1956.14"/>
    <n v="1"/>
  </r>
  <r>
    <x v="160"/>
    <n v="10285"/>
    <n v="286"/>
    <x v="96"/>
    <x v="0"/>
    <x v="6"/>
    <x v="74"/>
    <n v="27"/>
    <n v="166.55"/>
    <n v="91.02"/>
    <n v="4496.8500000000004"/>
    <n v="2457.54"/>
    <n v="2039.31"/>
    <n v="1"/>
  </r>
  <r>
    <x v="160"/>
    <n v="10285"/>
    <n v="286"/>
    <x v="96"/>
    <x v="0"/>
    <x v="6"/>
    <x v="75"/>
    <n v="49"/>
    <n v="131.04"/>
    <n v="66.27"/>
    <n v="6420.96"/>
    <n v="3247.23"/>
    <n v="3173.73"/>
    <n v="1"/>
  </r>
  <r>
    <x v="160"/>
    <n v="10285"/>
    <n v="286"/>
    <x v="96"/>
    <x v="0"/>
    <x v="6"/>
    <x v="76"/>
    <n v="20"/>
    <n v="50.88"/>
    <n v="24.23"/>
    <n v="1017.6"/>
    <n v="484.6"/>
    <n v="533"/>
    <n v="1"/>
  </r>
  <r>
    <x v="160"/>
    <n v="10285"/>
    <n v="286"/>
    <x v="96"/>
    <x v="0"/>
    <x v="6"/>
    <x v="77"/>
    <n v="34"/>
    <n v="91.29"/>
    <n v="60.86"/>
    <n v="3103.86"/>
    <n v="2069.2399999999998"/>
    <n v="1034.6199999999999"/>
    <n v="1"/>
  </r>
  <r>
    <x v="160"/>
    <n v="10285"/>
    <n v="286"/>
    <x v="96"/>
    <x v="0"/>
    <x v="6"/>
    <x v="78"/>
    <n v="39"/>
    <n v="61.7"/>
    <n v="37.32"/>
    <n v="2406.3000000000002"/>
    <n v="1455.48"/>
    <n v="950.82"/>
    <n v="1"/>
  </r>
  <r>
    <x v="160"/>
    <n v="10285"/>
    <n v="286"/>
    <x v="96"/>
    <x v="0"/>
    <x v="6"/>
    <x v="89"/>
    <n v="38"/>
    <n v="64.41"/>
    <n v="47.1"/>
    <n v="2447.58"/>
    <n v="1789.8"/>
    <n v="657.78"/>
    <n v="1"/>
  </r>
  <r>
    <x v="160"/>
    <n v="10285"/>
    <n v="286"/>
    <x v="96"/>
    <x v="0"/>
    <x v="6"/>
    <x v="79"/>
    <n v="37"/>
    <n v="82.91"/>
    <n v="66.92"/>
    <n v="3067.67"/>
    <n v="2476.04"/>
    <n v="591.63"/>
    <n v="1"/>
  </r>
  <r>
    <x v="160"/>
    <n v="10285"/>
    <n v="286"/>
    <x v="96"/>
    <x v="0"/>
    <x v="6"/>
    <x v="93"/>
    <n v="37"/>
    <n v="36.61"/>
    <n v="24.14"/>
    <n v="1354.57"/>
    <n v="893.18"/>
    <n v="461.39"/>
    <n v="1"/>
  </r>
  <r>
    <x v="160"/>
    <n v="10285"/>
    <n v="286"/>
    <x v="96"/>
    <x v="0"/>
    <x v="6"/>
    <x v="94"/>
    <n v="26"/>
    <n v="100.01"/>
    <n v="56.13"/>
    <n v="2600.2600000000002"/>
    <n v="1459.38"/>
    <n v="1140.8800000000001"/>
    <n v="1"/>
  </r>
  <r>
    <x v="160"/>
    <n v="10285"/>
    <n v="286"/>
    <x v="96"/>
    <x v="0"/>
    <x v="6"/>
    <x v="95"/>
    <n v="39"/>
    <n v="76.48"/>
    <n v="34.17"/>
    <n v="2982.72"/>
    <n v="1332.63"/>
    <n v="1650.09"/>
    <n v="1"/>
  </r>
  <r>
    <x v="160"/>
    <n v="10285"/>
    <n v="286"/>
    <x v="96"/>
    <x v="0"/>
    <x v="5"/>
    <x v="68"/>
    <n v="45"/>
    <n v="102.04"/>
    <n v="59.33"/>
    <n v="4591.8"/>
    <n v="2669.85"/>
    <n v="1921.95"/>
    <n v="1"/>
  </r>
  <r>
    <x v="161"/>
    <n v="10286"/>
    <n v="172"/>
    <x v="14"/>
    <x v="9"/>
    <x v="6"/>
    <x v="87"/>
    <n v="38"/>
    <n v="51.6"/>
    <n v="32.950000000000003"/>
    <n v="1960.8"/>
    <n v="1252.0999999999999"/>
    <n v="708.7"/>
    <n v="2"/>
  </r>
  <r>
    <x v="162"/>
    <n v="10287"/>
    <n v="298"/>
    <x v="81"/>
    <x v="20"/>
    <x v="1"/>
    <x v="80"/>
    <n v="21"/>
    <n v="190.68"/>
    <n v="95.34"/>
    <n v="4004.28"/>
    <n v="2002.14"/>
    <n v="2002.14"/>
    <n v="2"/>
  </r>
  <r>
    <x v="162"/>
    <n v="10287"/>
    <n v="298"/>
    <x v="81"/>
    <x v="20"/>
    <x v="1"/>
    <x v="81"/>
    <n v="45"/>
    <n v="117.44"/>
    <n v="75.16"/>
    <n v="5284.8"/>
    <n v="3382.2"/>
    <n v="1902.6"/>
    <n v="2"/>
  </r>
  <r>
    <x v="162"/>
    <n v="10287"/>
    <n v="298"/>
    <x v="81"/>
    <x v="20"/>
    <x v="1"/>
    <x v="82"/>
    <n v="41"/>
    <n v="74.209999999999994"/>
    <n v="31.92"/>
    <n v="3042.61"/>
    <n v="1308.72"/>
    <n v="1733.89"/>
    <n v="2"/>
  </r>
  <r>
    <x v="162"/>
    <n v="10287"/>
    <n v="298"/>
    <x v="81"/>
    <x v="20"/>
    <x v="1"/>
    <x v="83"/>
    <n v="23"/>
    <n v="107.1"/>
    <n v="58.73"/>
    <n v="2463.3000000000002"/>
    <n v="1350.79"/>
    <n v="1112.51"/>
    <n v="2"/>
  </r>
  <r>
    <x v="162"/>
    <n v="10287"/>
    <n v="298"/>
    <x v="81"/>
    <x v="20"/>
    <x v="1"/>
    <x v="96"/>
    <n v="41"/>
    <n v="113.23"/>
    <n v="83.51"/>
    <n v="4642.43"/>
    <n v="3423.91"/>
    <n v="1218.52"/>
    <n v="2"/>
  </r>
  <r>
    <x v="162"/>
    <n v="10287"/>
    <n v="298"/>
    <x v="81"/>
    <x v="20"/>
    <x v="1"/>
    <x v="84"/>
    <n v="44"/>
    <n v="61.6"/>
    <n v="53.9"/>
    <n v="2710.4"/>
    <n v="2371.6"/>
    <n v="338.8"/>
    <n v="2"/>
  </r>
  <r>
    <x v="162"/>
    <n v="10287"/>
    <n v="298"/>
    <x v="81"/>
    <x v="20"/>
    <x v="1"/>
    <x v="97"/>
    <n v="24"/>
    <n v="123.76"/>
    <n v="93.89"/>
    <n v="2970.24"/>
    <n v="2253.36"/>
    <n v="716.88"/>
    <n v="2"/>
  </r>
  <r>
    <x v="162"/>
    <n v="10287"/>
    <n v="298"/>
    <x v="81"/>
    <x v="20"/>
    <x v="1"/>
    <x v="98"/>
    <n v="44"/>
    <n v="114.84"/>
    <n v="56.76"/>
    <n v="5052.96"/>
    <n v="2497.44"/>
    <n v="2555.52"/>
    <n v="2"/>
  </r>
  <r>
    <x v="162"/>
    <n v="10287"/>
    <n v="298"/>
    <x v="81"/>
    <x v="20"/>
    <x v="1"/>
    <x v="30"/>
    <n v="36"/>
    <n v="137.16999999999999"/>
    <n v="77.900000000000006"/>
    <n v="4938.12"/>
    <n v="2804.4"/>
    <n v="2133.7199999999998"/>
    <n v="2"/>
  </r>
  <r>
    <x v="162"/>
    <n v="10287"/>
    <n v="298"/>
    <x v="81"/>
    <x v="20"/>
    <x v="1"/>
    <x v="85"/>
    <n v="43"/>
    <n v="68.349999999999994"/>
    <n v="49.05"/>
    <n v="2939.05"/>
    <n v="2109.15"/>
    <n v="829.9"/>
    <n v="2"/>
  </r>
  <r>
    <x v="162"/>
    <n v="10287"/>
    <n v="298"/>
    <x v="81"/>
    <x v="20"/>
    <x v="1"/>
    <x v="86"/>
    <n v="40"/>
    <n v="127.88"/>
    <n v="73.489999999999995"/>
    <n v="5115.2"/>
    <n v="2939.6"/>
    <n v="2175.6"/>
    <n v="2"/>
  </r>
  <r>
    <x v="162"/>
    <n v="10287"/>
    <n v="298"/>
    <x v="81"/>
    <x v="20"/>
    <x v="1"/>
    <x v="99"/>
    <n v="27"/>
    <n v="139.87"/>
    <n v="62.16"/>
    <n v="3776.49"/>
    <n v="1678.32"/>
    <n v="2098.17"/>
    <n v="2"/>
  </r>
  <r>
    <x v="162"/>
    <n v="10287"/>
    <n v="298"/>
    <x v="81"/>
    <x v="20"/>
    <x v="1"/>
    <x v="88"/>
    <n v="34"/>
    <n v="119.04"/>
    <n v="69.930000000000007"/>
    <n v="4047.36"/>
    <n v="2377.62"/>
    <n v="1669.74"/>
    <n v="2"/>
  </r>
  <r>
    <x v="162"/>
    <n v="10287"/>
    <n v="298"/>
    <x v="81"/>
    <x v="20"/>
    <x v="1"/>
    <x v="100"/>
    <n v="36"/>
    <n v="31.34"/>
    <n v="16.239999999999998"/>
    <n v="1128.24"/>
    <n v="584.64"/>
    <n v="543.6"/>
    <n v="2"/>
  </r>
  <r>
    <x v="162"/>
    <n v="10287"/>
    <n v="298"/>
    <x v="81"/>
    <x v="20"/>
    <x v="1"/>
    <x v="90"/>
    <n v="20"/>
    <n v="58.17"/>
    <n v="38.58"/>
    <n v="1163.4000000000001"/>
    <n v="771.6"/>
    <n v="391.8"/>
    <n v="2"/>
  </r>
  <r>
    <x v="162"/>
    <n v="10287"/>
    <n v="298"/>
    <x v="81"/>
    <x v="20"/>
    <x v="1"/>
    <x v="91"/>
    <n v="36"/>
    <n v="137.62"/>
    <n v="98.3"/>
    <n v="4954.32"/>
    <n v="3538.8"/>
    <n v="1415.52"/>
    <n v="2"/>
  </r>
  <r>
    <x v="162"/>
    <n v="10287"/>
    <n v="298"/>
    <x v="81"/>
    <x v="20"/>
    <x v="1"/>
    <x v="92"/>
    <n v="40"/>
    <n v="79.22"/>
    <n v="32.33"/>
    <n v="3168.8"/>
    <n v="1293.2"/>
    <n v="1875.6"/>
    <n v="2"/>
  </r>
  <r>
    <x v="163"/>
    <n v="10288"/>
    <n v="166"/>
    <x v="77"/>
    <x v="11"/>
    <x v="1"/>
    <x v="101"/>
    <n v="20"/>
    <n v="120.71"/>
    <n v="65.959999999999994"/>
    <n v="2414.1999999999998"/>
    <n v="1319.2"/>
    <n v="1095"/>
    <n v="3"/>
  </r>
  <r>
    <x v="163"/>
    <n v="10288"/>
    <n v="166"/>
    <x v="77"/>
    <x v="11"/>
    <x v="0"/>
    <x v="0"/>
    <n v="32"/>
    <n v="168.3"/>
    <n v="86.7"/>
    <n v="5385.6"/>
    <n v="2774.4"/>
    <n v="2611.1999999999998"/>
    <n v="3"/>
  </r>
  <r>
    <x v="163"/>
    <n v="10288"/>
    <n v="166"/>
    <x v="77"/>
    <x v="11"/>
    <x v="0"/>
    <x v="1"/>
    <n v="28"/>
    <n v="50.25"/>
    <n v="33.299999999999997"/>
    <n v="1407"/>
    <n v="932.4"/>
    <n v="474.6"/>
    <n v="3"/>
  </r>
  <r>
    <x v="163"/>
    <n v="10288"/>
    <n v="166"/>
    <x v="77"/>
    <x v="11"/>
    <x v="0"/>
    <x v="4"/>
    <n v="31"/>
    <n v="102.98"/>
    <n v="58.48"/>
    <n v="3192.38"/>
    <n v="1812.88"/>
    <n v="1379.5"/>
    <n v="3"/>
  </r>
  <r>
    <x v="163"/>
    <n v="10288"/>
    <n v="166"/>
    <x v="77"/>
    <x v="11"/>
    <x v="0"/>
    <x v="2"/>
    <n v="35"/>
    <n v="90.19"/>
    <n v="43.26"/>
    <n v="3156.65"/>
    <n v="1514.1"/>
    <n v="1642.55"/>
    <n v="3"/>
  </r>
  <r>
    <x v="163"/>
    <n v="10288"/>
    <n v="166"/>
    <x v="77"/>
    <x v="11"/>
    <x v="1"/>
    <x v="102"/>
    <n v="23"/>
    <n v="57.02"/>
    <n v="34.21"/>
    <n v="1311.46"/>
    <n v="786.83"/>
    <n v="524.63"/>
    <n v="3"/>
  </r>
  <r>
    <x v="163"/>
    <n v="10288"/>
    <n v="166"/>
    <x v="77"/>
    <x v="11"/>
    <x v="1"/>
    <x v="103"/>
    <n v="36"/>
    <n v="66.88"/>
    <n v="49.24"/>
    <n v="2407.6799999999998"/>
    <n v="1772.64"/>
    <n v="635.04"/>
    <n v="3"/>
  </r>
  <r>
    <x v="163"/>
    <n v="10288"/>
    <n v="166"/>
    <x v="77"/>
    <x v="11"/>
    <x v="1"/>
    <x v="104"/>
    <n v="50"/>
    <n v="49.3"/>
    <n v="29.18"/>
    <n v="2465"/>
    <n v="1459"/>
    <n v="1006"/>
    <n v="3"/>
  </r>
  <r>
    <x v="163"/>
    <n v="10288"/>
    <n v="166"/>
    <x v="77"/>
    <x v="11"/>
    <x v="0"/>
    <x v="6"/>
    <n v="29"/>
    <n v="32.19"/>
    <n v="22.57"/>
    <n v="933.51"/>
    <n v="654.53"/>
    <n v="278.98"/>
    <n v="3"/>
  </r>
  <r>
    <x v="163"/>
    <n v="10288"/>
    <n v="166"/>
    <x v="77"/>
    <x v="11"/>
    <x v="1"/>
    <x v="105"/>
    <n v="35"/>
    <n v="81.78"/>
    <n v="47.25"/>
    <n v="2862.3"/>
    <n v="1653.75"/>
    <n v="1208.55"/>
    <n v="3"/>
  </r>
  <r>
    <x v="163"/>
    <n v="10288"/>
    <n v="166"/>
    <x v="77"/>
    <x v="11"/>
    <x v="1"/>
    <x v="106"/>
    <n v="48"/>
    <n v="109.22"/>
    <n v="72.819999999999993"/>
    <n v="5242.5600000000004"/>
    <n v="3495.36"/>
    <n v="1747.2"/>
    <n v="3"/>
  </r>
  <r>
    <x v="163"/>
    <n v="10288"/>
    <n v="166"/>
    <x v="77"/>
    <x v="11"/>
    <x v="1"/>
    <x v="107"/>
    <n v="34"/>
    <n v="76.19"/>
    <n v="50.51"/>
    <n v="2590.46"/>
    <n v="1717.34"/>
    <n v="873.12"/>
    <n v="3"/>
  </r>
  <r>
    <x v="163"/>
    <n v="10288"/>
    <n v="166"/>
    <x v="77"/>
    <x v="11"/>
    <x v="1"/>
    <x v="108"/>
    <n v="41"/>
    <n v="101.73"/>
    <n v="62.11"/>
    <n v="4170.93"/>
    <n v="2546.5100000000002"/>
    <n v="1624.42"/>
    <n v="3"/>
  </r>
  <r>
    <x v="163"/>
    <n v="10288"/>
    <n v="166"/>
    <x v="77"/>
    <x v="11"/>
    <x v="0"/>
    <x v="3"/>
    <n v="33"/>
    <n v="37.75"/>
    <n v="21.75"/>
    <n v="1245.75"/>
    <n v="717.75"/>
    <n v="528"/>
    <n v="3"/>
  </r>
  <r>
    <x v="164"/>
    <n v="10289"/>
    <n v="167"/>
    <x v="60"/>
    <x v="2"/>
    <x v="0"/>
    <x v="8"/>
    <n v="38"/>
    <n v="92.47"/>
    <n v="60.62"/>
    <n v="3513.86"/>
    <n v="2303.56"/>
    <n v="1210.3"/>
    <n v="3"/>
  </r>
  <r>
    <x v="164"/>
    <n v="10289"/>
    <n v="167"/>
    <x v="60"/>
    <x v="2"/>
    <x v="0"/>
    <x v="9"/>
    <n v="24"/>
    <n v="44.75"/>
    <n v="24.26"/>
    <n v="1074"/>
    <n v="582.24"/>
    <n v="491.76"/>
    <n v="3"/>
  </r>
  <r>
    <x v="164"/>
    <n v="10289"/>
    <n v="167"/>
    <x v="60"/>
    <x v="2"/>
    <x v="0"/>
    <x v="5"/>
    <n v="43"/>
    <n v="141.75"/>
    <n v="72.56"/>
    <n v="6095.25"/>
    <n v="3120.08"/>
    <n v="2975.17"/>
    <n v="3"/>
  </r>
  <r>
    <x v="164"/>
    <n v="10289"/>
    <n v="167"/>
    <x v="60"/>
    <x v="2"/>
    <x v="0"/>
    <x v="7"/>
    <n v="45"/>
    <n v="41.22"/>
    <n v="20.61"/>
    <n v="1854.9"/>
    <n v="927.45"/>
    <n v="927.45"/>
    <n v="3"/>
  </r>
  <r>
    <x v="165"/>
    <n v="10290"/>
    <n v="198"/>
    <x v="29"/>
    <x v="0"/>
    <x v="0"/>
    <x v="18"/>
    <n v="26"/>
    <n v="80.36"/>
    <n v="57.54"/>
    <n v="2089.36"/>
    <n v="1496.04"/>
    <n v="593.32000000000005"/>
    <n v="2"/>
  </r>
  <r>
    <x v="165"/>
    <n v="10290"/>
    <n v="198"/>
    <x v="29"/>
    <x v="0"/>
    <x v="0"/>
    <x v="22"/>
    <n v="45"/>
    <n v="83.76"/>
    <n v="57.46"/>
    <n v="3769.2"/>
    <n v="2585.6999999999998"/>
    <n v="1183.5"/>
    <n v="2"/>
  </r>
  <r>
    <x v="166"/>
    <n v="10292"/>
    <n v="131"/>
    <x v="7"/>
    <x v="0"/>
    <x v="2"/>
    <x v="27"/>
    <n v="21"/>
    <n v="94.8"/>
    <n v="55.7"/>
    <n v="1990.8"/>
    <n v="1169.7"/>
    <n v="821.1"/>
    <n v="3"/>
  </r>
  <r>
    <x v="166"/>
    <n v="10292"/>
    <n v="131"/>
    <x v="7"/>
    <x v="0"/>
    <x v="1"/>
    <x v="28"/>
    <n v="26"/>
    <n v="140.81"/>
    <n v="101.51"/>
    <n v="3661.06"/>
    <n v="2639.26"/>
    <n v="1021.8"/>
    <n v="3"/>
  </r>
  <r>
    <x v="166"/>
    <n v="10292"/>
    <n v="131"/>
    <x v="7"/>
    <x v="0"/>
    <x v="2"/>
    <x v="29"/>
    <n v="41"/>
    <n v="103.09"/>
    <n v="74.86"/>
    <n v="4226.6899999999996"/>
    <n v="3069.26"/>
    <n v="1157.43"/>
    <n v="3"/>
  </r>
  <r>
    <x v="166"/>
    <n v="10292"/>
    <n v="131"/>
    <x v="7"/>
    <x v="0"/>
    <x v="1"/>
    <x v="30"/>
    <n v="21"/>
    <n v="147.33000000000001"/>
    <n v="77.900000000000006"/>
    <n v="3093.93"/>
    <n v="1635.9"/>
    <n v="1458.03"/>
    <n v="3"/>
  </r>
  <r>
    <x v="166"/>
    <n v="10292"/>
    <n v="131"/>
    <x v="7"/>
    <x v="0"/>
    <x v="1"/>
    <x v="31"/>
    <n v="44"/>
    <n v="114.9"/>
    <n v="91.92"/>
    <n v="5055.6000000000004"/>
    <n v="4044.48"/>
    <n v="1011.12"/>
    <n v="3"/>
  </r>
  <r>
    <x v="166"/>
    <n v="10292"/>
    <n v="131"/>
    <x v="7"/>
    <x v="0"/>
    <x v="1"/>
    <x v="32"/>
    <n v="40"/>
    <n v="48.55"/>
    <n v="32.369999999999997"/>
    <n v="1942"/>
    <n v="1294.8"/>
    <n v="647.20000000000005"/>
    <n v="3"/>
  </r>
  <r>
    <x v="166"/>
    <n v="10292"/>
    <n v="131"/>
    <x v="7"/>
    <x v="0"/>
    <x v="1"/>
    <x v="33"/>
    <n v="39"/>
    <n v="34.299999999999997"/>
    <n v="15.91"/>
    <n v="1337.7"/>
    <n v="620.49"/>
    <n v="717.21"/>
    <n v="3"/>
  </r>
  <r>
    <x v="166"/>
    <n v="10292"/>
    <n v="131"/>
    <x v="7"/>
    <x v="0"/>
    <x v="1"/>
    <x v="34"/>
    <n v="27"/>
    <n v="113.55"/>
    <n v="69.78"/>
    <n v="3065.85"/>
    <n v="1884.06"/>
    <n v="1181.79"/>
    <n v="3"/>
  </r>
  <r>
    <x v="166"/>
    <n v="10292"/>
    <n v="131"/>
    <x v="7"/>
    <x v="0"/>
    <x v="2"/>
    <x v="35"/>
    <n v="50"/>
    <n v="54.11"/>
    <n v="25.98"/>
    <n v="2705.5"/>
    <n v="1299"/>
    <n v="1406.5"/>
    <n v="3"/>
  </r>
  <r>
    <x v="166"/>
    <n v="10292"/>
    <n v="131"/>
    <x v="7"/>
    <x v="0"/>
    <x v="3"/>
    <x v="36"/>
    <n v="31"/>
    <n v="59.65"/>
    <n v="26.72"/>
    <n v="1849.15"/>
    <n v="828.32"/>
    <n v="1020.83"/>
    <n v="3"/>
  </r>
  <r>
    <x v="166"/>
    <n v="10292"/>
    <n v="131"/>
    <x v="7"/>
    <x v="0"/>
    <x v="2"/>
    <x v="37"/>
    <n v="41"/>
    <n v="113.44"/>
    <n v="68.290000000000006"/>
    <n v="4651.04"/>
    <n v="2799.89"/>
    <n v="1851.15"/>
    <n v="3"/>
  </r>
  <r>
    <x v="166"/>
    <n v="10292"/>
    <n v="131"/>
    <x v="7"/>
    <x v="0"/>
    <x v="3"/>
    <x v="38"/>
    <n v="35"/>
    <n v="49.79"/>
    <n v="37.49"/>
    <n v="1742.65"/>
    <n v="1312.15"/>
    <n v="430.5"/>
    <n v="3"/>
  </r>
  <r>
    <x v="166"/>
    <n v="10291"/>
    <n v="448"/>
    <x v="54"/>
    <x v="8"/>
    <x v="1"/>
    <x v="10"/>
    <n v="37"/>
    <n v="210.01"/>
    <n v="98.58"/>
    <n v="7770.37"/>
    <n v="3647.46"/>
    <n v="4122.91"/>
    <n v="2"/>
  </r>
  <r>
    <x v="166"/>
    <n v="10291"/>
    <n v="448"/>
    <x v="54"/>
    <x v="8"/>
    <x v="1"/>
    <x v="11"/>
    <n v="30"/>
    <n v="141.83000000000001"/>
    <n v="103.42"/>
    <n v="4254.8999999999996"/>
    <n v="3102.6"/>
    <n v="1152.3"/>
    <n v="2"/>
  </r>
  <r>
    <x v="166"/>
    <n v="10291"/>
    <n v="448"/>
    <x v="54"/>
    <x v="8"/>
    <x v="2"/>
    <x v="12"/>
    <n v="41"/>
    <n v="123"/>
    <n v="77.900000000000006"/>
    <n v="5043"/>
    <n v="3193.9"/>
    <n v="1849.1"/>
    <n v="2"/>
  </r>
  <r>
    <x v="166"/>
    <n v="10291"/>
    <n v="448"/>
    <x v="54"/>
    <x v="8"/>
    <x v="2"/>
    <x v="13"/>
    <n v="41"/>
    <n v="96.84"/>
    <n v="58.33"/>
    <n v="3970.44"/>
    <n v="2391.5300000000002"/>
    <n v="1578.91"/>
    <n v="2"/>
  </r>
  <r>
    <x v="166"/>
    <n v="10291"/>
    <n v="448"/>
    <x v="54"/>
    <x v="8"/>
    <x v="2"/>
    <x v="14"/>
    <n v="26"/>
    <n v="52.26"/>
    <n v="24.92"/>
    <n v="1358.76"/>
    <n v="647.91999999999996"/>
    <n v="710.84"/>
    <n v="2"/>
  </r>
  <r>
    <x v="166"/>
    <n v="10291"/>
    <n v="448"/>
    <x v="54"/>
    <x v="8"/>
    <x v="0"/>
    <x v="15"/>
    <n v="47"/>
    <n v="99.28"/>
    <n v="60.78"/>
    <n v="4666.16"/>
    <n v="2856.66"/>
    <n v="1809.5"/>
    <n v="2"/>
  </r>
  <r>
    <x v="166"/>
    <n v="10291"/>
    <n v="448"/>
    <x v="54"/>
    <x v="8"/>
    <x v="0"/>
    <x v="16"/>
    <n v="37"/>
    <n v="56.21"/>
    <n v="34.35"/>
    <n v="2079.77"/>
    <n v="1270.95"/>
    <n v="808.82"/>
    <n v="2"/>
  </r>
  <r>
    <x v="166"/>
    <n v="10291"/>
    <n v="448"/>
    <x v="54"/>
    <x v="8"/>
    <x v="0"/>
    <x v="17"/>
    <n v="23"/>
    <n v="93.2"/>
    <n v="60.74"/>
    <n v="2143.6"/>
    <n v="1397.02"/>
    <n v="746.58"/>
    <n v="2"/>
  </r>
  <r>
    <x v="166"/>
    <n v="10291"/>
    <n v="448"/>
    <x v="54"/>
    <x v="8"/>
    <x v="2"/>
    <x v="19"/>
    <n v="48"/>
    <n v="96.86"/>
    <n v="84.76"/>
    <n v="4649.28"/>
    <n v="4068.48"/>
    <n v="580.79999999999995"/>
    <n v="2"/>
  </r>
  <r>
    <x v="166"/>
    <n v="10291"/>
    <n v="448"/>
    <x v="54"/>
    <x v="8"/>
    <x v="0"/>
    <x v="20"/>
    <n v="29"/>
    <n v="45.28"/>
    <n v="23.14"/>
    <n v="1313.12"/>
    <n v="671.06"/>
    <n v="642.05999999999995"/>
    <n v="2"/>
  </r>
  <r>
    <x v="166"/>
    <n v="10291"/>
    <n v="448"/>
    <x v="54"/>
    <x v="8"/>
    <x v="2"/>
    <x v="21"/>
    <n v="48"/>
    <n v="109.9"/>
    <n v="61.34"/>
    <n v="5275.2"/>
    <n v="2944.32"/>
    <n v="2330.88"/>
    <n v="2"/>
  </r>
  <r>
    <x v="166"/>
    <n v="10291"/>
    <n v="448"/>
    <x v="54"/>
    <x v="8"/>
    <x v="2"/>
    <x v="23"/>
    <n v="26"/>
    <n v="82.83"/>
    <n v="53.93"/>
    <n v="2153.58"/>
    <n v="1402.18"/>
    <n v="751.4"/>
    <n v="2"/>
  </r>
  <r>
    <x v="166"/>
    <n v="10291"/>
    <n v="448"/>
    <x v="54"/>
    <x v="8"/>
    <x v="2"/>
    <x v="24"/>
    <n v="32"/>
    <n v="53"/>
    <n v="33.61"/>
    <n v="1696"/>
    <n v="1075.52"/>
    <n v="620.48"/>
    <n v="2"/>
  </r>
  <r>
    <x v="166"/>
    <n v="10291"/>
    <n v="448"/>
    <x v="54"/>
    <x v="8"/>
    <x v="1"/>
    <x v="25"/>
    <n v="28"/>
    <n v="86.99"/>
    <n v="46.53"/>
    <n v="2435.7199999999998"/>
    <n v="1302.8399999999999"/>
    <n v="1132.8800000000001"/>
    <n v="2"/>
  </r>
  <r>
    <x v="167"/>
    <n v="10293"/>
    <n v="249"/>
    <x v="95"/>
    <x v="5"/>
    <x v="1"/>
    <x v="40"/>
    <n v="46"/>
    <n v="187.02"/>
    <n v="95.59"/>
    <n v="8602.92"/>
    <n v="4397.1400000000003"/>
    <n v="4205.78"/>
    <n v="2"/>
  </r>
  <r>
    <x v="167"/>
    <n v="10293"/>
    <n v="249"/>
    <x v="95"/>
    <x v="5"/>
    <x v="1"/>
    <x v="26"/>
    <n v="24"/>
    <n v="129.93"/>
    <n v="89.14"/>
    <n v="3118.32"/>
    <n v="2139.36"/>
    <n v="978.96"/>
    <n v="2"/>
  </r>
  <r>
    <x v="167"/>
    <n v="10293"/>
    <n v="249"/>
    <x v="95"/>
    <x v="5"/>
    <x v="1"/>
    <x v="41"/>
    <n v="45"/>
    <n v="171.29"/>
    <n v="83.05"/>
    <n v="7708.05"/>
    <n v="3737.25"/>
    <n v="3970.8"/>
    <n v="2"/>
  </r>
  <r>
    <x v="167"/>
    <n v="10293"/>
    <n v="249"/>
    <x v="95"/>
    <x v="5"/>
    <x v="0"/>
    <x v="42"/>
    <n v="24"/>
    <n v="110.64"/>
    <n v="68.3"/>
    <n v="2655.36"/>
    <n v="1639.2"/>
    <n v="1016.16"/>
    <n v="2"/>
  </r>
  <r>
    <x v="167"/>
    <n v="10293"/>
    <n v="249"/>
    <x v="95"/>
    <x v="5"/>
    <x v="3"/>
    <x v="43"/>
    <n v="22"/>
    <n v="91.76"/>
    <n v="67.56"/>
    <n v="2018.72"/>
    <n v="1486.32"/>
    <n v="532.4"/>
    <n v="2"/>
  </r>
  <r>
    <x v="167"/>
    <n v="10293"/>
    <n v="249"/>
    <x v="95"/>
    <x v="5"/>
    <x v="0"/>
    <x v="44"/>
    <n v="49"/>
    <n v="72.849999999999994"/>
    <n v="52.66"/>
    <n v="3569.65"/>
    <n v="2580.34"/>
    <n v="989.31"/>
    <n v="2"/>
  </r>
  <r>
    <x v="167"/>
    <n v="10293"/>
    <n v="249"/>
    <x v="95"/>
    <x v="5"/>
    <x v="4"/>
    <x v="45"/>
    <n v="21"/>
    <n v="111.83"/>
    <n v="82.34"/>
    <n v="2348.4299999999998"/>
    <n v="1729.14"/>
    <n v="619.29"/>
    <n v="2"/>
  </r>
  <r>
    <x v="167"/>
    <n v="10293"/>
    <n v="249"/>
    <x v="95"/>
    <x v="5"/>
    <x v="4"/>
    <x v="49"/>
    <n v="29"/>
    <n v="77.95"/>
    <n v="43.3"/>
    <n v="2260.5500000000002"/>
    <n v="1255.7"/>
    <n v="1004.85"/>
    <n v="2"/>
  </r>
  <r>
    <x v="167"/>
    <n v="10293"/>
    <n v="249"/>
    <x v="95"/>
    <x v="5"/>
    <x v="4"/>
    <x v="53"/>
    <n v="32"/>
    <n v="51.32"/>
    <n v="33.299999999999997"/>
    <n v="1642.24"/>
    <n v="1065.5999999999999"/>
    <n v="576.64"/>
    <n v="2"/>
  </r>
  <r>
    <x v="168"/>
    <n v="10294"/>
    <n v="204"/>
    <x v="94"/>
    <x v="0"/>
    <x v="4"/>
    <x v="52"/>
    <n v="45"/>
    <n v="98.32"/>
    <n v="53.63"/>
    <n v="4424.3999999999996"/>
    <n v="2413.35"/>
    <n v="2011.05"/>
    <n v="2"/>
  </r>
  <r>
    <x v="168"/>
    <n v="10295"/>
    <n v="362"/>
    <x v="91"/>
    <x v="0"/>
    <x v="1"/>
    <x v="39"/>
    <n v="24"/>
    <n v="136"/>
    <n v="85.68"/>
    <n v="3264"/>
    <n v="2056.3200000000002"/>
    <n v="1207.68"/>
    <n v="2"/>
  </r>
  <r>
    <x v="168"/>
    <n v="10295"/>
    <n v="362"/>
    <x v="91"/>
    <x v="0"/>
    <x v="0"/>
    <x v="46"/>
    <n v="46"/>
    <n v="84.08"/>
    <n v="46.91"/>
    <n v="3867.68"/>
    <n v="2157.86"/>
    <n v="1709.82"/>
    <n v="2"/>
  </r>
  <r>
    <x v="168"/>
    <n v="10295"/>
    <n v="362"/>
    <x v="91"/>
    <x v="0"/>
    <x v="4"/>
    <x v="48"/>
    <n v="26"/>
    <n v="62"/>
    <n v="34"/>
    <n v="1612"/>
    <n v="884"/>
    <n v="728"/>
    <n v="2"/>
  </r>
  <r>
    <x v="168"/>
    <n v="10295"/>
    <n v="362"/>
    <x v="91"/>
    <x v="0"/>
    <x v="4"/>
    <x v="50"/>
    <n v="44"/>
    <n v="71.56"/>
    <n v="33.97"/>
    <n v="3148.64"/>
    <n v="1494.68"/>
    <n v="1653.96"/>
    <n v="2"/>
  </r>
  <r>
    <x v="168"/>
    <n v="10295"/>
    <n v="362"/>
    <x v="91"/>
    <x v="0"/>
    <x v="4"/>
    <x v="51"/>
    <n v="34"/>
    <n v="93.16"/>
    <n v="51.09"/>
    <n v="3167.44"/>
    <n v="1737.06"/>
    <n v="1430.38"/>
    <n v="2"/>
  </r>
  <r>
    <x v="169"/>
    <n v="10296"/>
    <n v="415"/>
    <x v="97"/>
    <x v="1"/>
    <x v="5"/>
    <x v="54"/>
    <n v="36"/>
    <n v="146.65"/>
    <n v="77.27"/>
    <n v="5279.4"/>
    <n v="2781.72"/>
    <n v="2497.6799999999998"/>
    <n v="1"/>
  </r>
  <r>
    <x v="169"/>
    <n v="10296"/>
    <n v="415"/>
    <x v="97"/>
    <x v="1"/>
    <x v="4"/>
    <x v="56"/>
    <n v="21"/>
    <n v="69.680000000000007"/>
    <n v="51.61"/>
    <n v="1463.28"/>
    <n v="1083.81"/>
    <n v="379.47"/>
    <n v="1"/>
  </r>
  <r>
    <x v="169"/>
    <n v="10296"/>
    <n v="415"/>
    <x v="97"/>
    <x v="1"/>
    <x v="0"/>
    <x v="57"/>
    <n v="22"/>
    <n v="105.87"/>
    <n v="64.58"/>
    <n v="2329.14"/>
    <n v="1420.76"/>
    <n v="908.38"/>
    <n v="1"/>
  </r>
  <r>
    <x v="169"/>
    <n v="10296"/>
    <n v="415"/>
    <x v="97"/>
    <x v="1"/>
    <x v="5"/>
    <x v="59"/>
    <n v="21"/>
    <n v="60.97"/>
    <n v="34.25"/>
    <n v="1280.3699999999999"/>
    <n v="719.25"/>
    <n v="561.12"/>
    <n v="1"/>
  </r>
  <r>
    <x v="169"/>
    <n v="10296"/>
    <n v="415"/>
    <x v="97"/>
    <x v="1"/>
    <x v="0"/>
    <x v="60"/>
    <n v="31"/>
    <n v="63.78"/>
    <n v="26.3"/>
    <n v="1977.18"/>
    <n v="815.3"/>
    <n v="1161.8800000000001"/>
    <n v="1"/>
  </r>
  <r>
    <x v="169"/>
    <n v="10296"/>
    <n v="415"/>
    <x v="97"/>
    <x v="1"/>
    <x v="0"/>
    <x v="47"/>
    <n v="22"/>
    <n v="83.02"/>
    <n v="48.64"/>
    <n v="1826.44"/>
    <n v="1070.08"/>
    <n v="756.36"/>
    <n v="1"/>
  </r>
  <r>
    <x v="169"/>
    <n v="10296"/>
    <n v="415"/>
    <x v="97"/>
    <x v="1"/>
    <x v="5"/>
    <x v="61"/>
    <n v="32"/>
    <n v="63.46"/>
    <n v="29.34"/>
    <n v="2030.72"/>
    <n v="938.88"/>
    <n v="1091.8399999999999"/>
    <n v="1"/>
  </r>
  <r>
    <x v="169"/>
    <n v="10296"/>
    <n v="415"/>
    <x v="97"/>
    <x v="1"/>
    <x v="0"/>
    <x v="64"/>
    <n v="26"/>
    <n v="41.02"/>
    <n v="27.06"/>
    <n v="1066.52"/>
    <n v="703.56"/>
    <n v="362.96"/>
    <n v="1"/>
  </r>
  <r>
    <x v="169"/>
    <n v="10296"/>
    <n v="415"/>
    <x v="97"/>
    <x v="1"/>
    <x v="5"/>
    <x v="65"/>
    <n v="42"/>
    <n v="75.81"/>
    <n v="51.15"/>
    <n v="3184.02"/>
    <n v="2148.3000000000002"/>
    <n v="1035.72"/>
    <n v="1"/>
  </r>
  <r>
    <x v="169"/>
    <n v="10296"/>
    <n v="415"/>
    <x v="97"/>
    <x v="1"/>
    <x v="4"/>
    <x v="66"/>
    <n v="34"/>
    <n v="89.61"/>
    <n v="39.83"/>
    <n v="3046.74"/>
    <n v="1354.22"/>
    <n v="1692.52"/>
    <n v="1"/>
  </r>
  <r>
    <x v="169"/>
    <n v="10296"/>
    <n v="415"/>
    <x v="97"/>
    <x v="1"/>
    <x v="5"/>
    <x v="67"/>
    <n v="24"/>
    <n v="96.73"/>
    <n v="68.8"/>
    <n v="2321.52"/>
    <n v="1651.2"/>
    <n v="670.32"/>
    <n v="1"/>
  </r>
  <r>
    <x v="169"/>
    <n v="10296"/>
    <n v="415"/>
    <x v="97"/>
    <x v="1"/>
    <x v="5"/>
    <x v="69"/>
    <n v="22"/>
    <n v="74.400000000000006"/>
    <n v="54.4"/>
    <n v="1636.8"/>
    <n v="1196.8"/>
    <n v="440"/>
    <n v="1"/>
  </r>
  <r>
    <x v="169"/>
    <n v="10296"/>
    <n v="415"/>
    <x v="97"/>
    <x v="1"/>
    <x v="5"/>
    <x v="70"/>
    <n v="47"/>
    <n v="61.44"/>
    <n v="36.270000000000003"/>
    <n v="2887.68"/>
    <n v="1704.69"/>
    <n v="1182.99"/>
    <n v="1"/>
  </r>
  <r>
    <x v="169"/>
    <n v="10296"/>
    <n v="415"/>
    <x v="97"/>
    <x v="1"/>
    <x v="5"/>
    <x v="71"/>
    <n v="21"/>
    <n v="46.68"/>
    <n v="32.770000000000003"/>
    <n v="980.28"/>
    <n v="688.17"/>
    <n v="292.11"/>
    <n v="1"/>
  </r>
  <r>
    <x v="170"/>
    <n v="10297"/>
    <n v="189"/>
    <x v="78"/>
    <x v="19"/>
    <x v="5"/>
    <x v="55"/>
    <n v="25"/>
    <n v="81.95"/>
    <n v="49"/>
    <n v="2048.75"/>
    <n v="1225"/>
    <n v="823.75"/>
    <n v="2"/>
  </r>
  <r>
    <x v="170"/>
    <n v="10297"/>
    <n v="189"/>
    <x v="78"/>
    <x v="19"/>
    <x v="5"/>
    <x v="58"/>
    <n v="32"/>
    <n v="107.23"/>
    <n v="66.739999999999995"/>
    <n v="3431.36"/>
    <n v="2135.6799999999998"/>
    <n v="1295.68"/>
    <n v="2"/>
  </r>
  <r>
    <x v="170"/>
    <n v="10297"/>
    <n v="189"/>
    <x v="78"/>
    <x v="19"/>
    <x v="6"/>
    <x v="78"/>
    <n v="32"/>
    <n v="70.08"/>
    <n v="37.32"/>
    <n v="2242.56"/>
    <n v="1194.24"/>
    <n v="1048.32"/>
    <n v="2"/>
  </r>
  <r>
    <x v="170"/>
    <n v="10297"/>
    <n v="189"/>
    <x v="78"/>
    <x v="19"/>
    <x v="5"/>
    <x v="62"/>
    <n v="23"/>
    <n v="71.73"/>
    <n v="36.229999999999997"/>
    <n v="1649.79"/>
    <n v="833.29"/>
    <n v="816.5"/>
    <n v="2"/>
  </r>
  <r>
    <x v="170"/>
    <n v="10297"/>
    <n v="189"/>
    <x v="78"/>
    <x v="19"/>
    <x v="6"/>
    <x v="79"/>
    <n v="26"/>
    <n v="88.9"/>
    <n v="66.92"/>
    <n v="2311.4"/>
    <n v="1739.92"/>
    <n v="571.48"/>
    <n v="2"/>
  </r>
  <r>
    <x v="170"/>
    <n v="10297"/>
    <n v="189"/>
    <x v="78"/>
    <x v="19"/>
    <x v="0"/>
    <x v="63"/>
    <n v="28"/>
    <n v="63.29"/>
    <n v="33.020000000000003"/>
    <n v="1772.12"/>
    <n v="924.56"/>
    <n v="847.56"/>
    <n v="2"/>
  </r>
  <r>
    <x v="170"/>
    <n v="10297"/>
    <n v="189"/>
    <x v="78"/>
    <x v="19"/>
    <x v="5"/>
    <x v="68"/>
    <n v="35"/>
    <n v="111.53"/>
    <n v="59.33"/>
    <n v="3903.55"/>
    <n v="2076.5500000000002"/>
    <n v="1827"/>
    <n v="2"/>
  </r>
  <r>
    <x v="171"/>
    <n v="10298"/>
    <n v="103"/>
    <x v="23"/>
    <x v="9"/>
    <x v="6"/>
    <x v="73"/>
    <n v="39"/>
    <n v="105.86"/>
    <n v="68.989999999999995"/>
    <n v="4128.54"/>
    <n v="2690.61"/>
    <n v="1437.93"/>
    <n v="2"/>
  </r>
  <r>
    <x v="171"/>
    <n v="10298"/>
    <n v="103"/>
    <x v="23"/>
    <x v="9"/>
    <x v="6"/>
    <x v="76"/>
    <n v="32"/>
    <n v="60.57"/>
    <n v="24.23"/>
    <n v="1938.24"/>
    <n v="775.36"/>
    <n v="1162.8800000000001"/>
    <n v="2"/>
  </r>
  <r>
    <x v="172"/>
    <n v="10299"/>
    <n v="186"/>
    <x v="46"/>
    <x v="15"/>
    <x v="6"/>
    <x v="72"/>
    <n v="23"/>
    <n v="76.56"/>
    <n v="48.81"/>
    <n v="1760.88"/>
    <n v="1122.6300000000001"/>
    <n v="638.25"/>
    <n v="2"/>
  </r>
  <r>
    <x v="172"/>
    <n v="10299"/>
    <n v="186"/>
    <x v="46"/>
    <x v="15"/>
    <x v="6"/>
    <x v="74"/>
    <n v="29"/>
    <n v="164.61"/>
    <n v="91.02"/>
    <n v="4773.6899999999996"/>
    <n v="2639.58"/>
    <n v="2134.11"/>
    <n v="2"/>
  </r>
  <r>
    <x v="172"/>
    <n v="10299"/>
    <n v="186"/>
    <x v="46"/>
    <x v="15"/>
    <x v="6"/>
    <x v="75"/>
    <n v="24"/>
    <n v="123.51"/>
    <n v="66.27"/>
    <n v="2964.24"/>
    <n v="1590.48"/>
    <n v="1373.76"/>
    <n v="2"/>
  </r>
  <r>
    <x v="172"/>
    <n v="10299"/>
    <n v="186"/>
    <x v="46"/>
    <x v="15"/>
    <x v="6"/>
    <x v="87"/>
    <n v="39"/>
    <n v="62.17"/>
    <n v="32.950000000000003"/>
    <n v="2424.63"/>
    <n v="1285.05"/>
    <n v="1139.58"/>
    <n v="2"/>
  </r>
  <r>
    <x v="172"/>
    <n v="10299"/>
    <n v="186"/>
    <x v="46"/>
    <x v="15"/>
    <x v="1"/>
    <x v="88"/>
    <n v="49"/>
    <n v="119.04"/>
    <n v="69.930000000000007"/>
    <n v="5832.96"/>
    <n v="3426.57"/>
    <n v="2406.39"/>
    <n v="2"/>
  </r>
  <r>
    <x v="172"/>
    <n v="10299"/>
    <n v="186"/>
    <x v="46"/>
    <x v="15"/>
    <x v="6"/>
    <x v="77"/>
    <n v="47"/>
    <n v="107.07"/>
    <n v="60.86"/>
    <n v="5032.29"/>
    <n v="2860.42"/>
    <n v="2171.87"/>
    <n v="2"/>
  </r>
  <r>
    <x v="172"/>
    <n v="10299"/>
    <n v="186"/>
    <x v="46"/>
    <x v="15"/>
    <x v="6"/>
    <x v="89"/>
    <n v="33"/>
    <n v="58.87"/>
    <n v="47.1"/>
    <n v="1942.71"/>
    <n v="1554.3"/>
    <n v="388.41"/>
    <n v="2"/>
  </r>
  <r>
    <x v="172"/>
    <n v="10299"/>
    <n v="186"/>
    <x v="46"/>
    <x v="15"/>
    <x v="1"/>
    <x v="92"/>
    <n v="32"/>
    <n v="66.290000000000006"/>
    <n v="32.33"/>
    <n v="2121.2800000000002"/>
    <n v="1034.56"/>
    <n v="1086.72"/>
    <n v="2"/>
  </r>
  <r>
    <x v="172"/>
    <n v="10299"/>
    <n v="186"/>
    <x v="46"/>
    <x v="15"/>
    <x v="6"/>
    <x v="93"/>
    <n v="24"/>
    <n v="36.21"/>
    <n v="24.14"/>
    <n v="869.04"/>
    <n v="579.36"/>
    <n v="289.68"/>
    <n v="2"/>
  </r>
  <r>
    <x v="172"/>
    <n v="10299"/>
    <n v="186"/>
    <x v="46"/>
    <x v="15"/>
    <x v="6"/>
    <x v="94"/>
    <n v="38"/>
    <n v="84.7"/>
    <n v="56.13"/>
    <n v="3218.6"/>
    <n v="2132.94"/>
    <n v="1085.6600000000001"/>
    <n v="2"/>
  </r>
  <r>
    <x v="172"/>
    <n v="10299"/>
    <n v="186"/>
    <x v="46"/>
    <x v="15"/>
    <x v="6"/>
    <x v="95"/>
    <n v="44"/>
    <n v="77.290000000000006"/>
    <n v="34.17"/>
    <n v="3400.76"/>
    <n v="1503.48"/>
    <n v="1897.28"/>
    <n v="2"/>
  </r>
  <r>
    <x v="173"/>
    <n v="10303"/>
    <n v="484"/>
    <x v="62"/>
    <x v="3"/>
    <x v="0"/>
    <x v="1"/>
    <n v="46"/>
    <n v="56.91"/>
    <n v="33.299999999999997"/>
    <n v="2617.86"/>
    <n v="1531.8"/>
    <n v="1086.06"/>
    <n v="2"/>
  </r>
  <r>
    <x v="173"/>
    <n v="10303"/>
    <n v="484"/>
    <x v="62"/>
    <x v="3"/>
    <x v="0"/>
    <x v="3"/>
    <n v="24"/>
    <n v="35.700000000000003"/>
    <n v="21.75"/>
    <n v="856.8"/>
    <n v="522"/>
    <n v="334.8"/>
    <n v="2"/>
  </r>
  <r>
    <x v="174"/>
    <n v="10304"/>
    <n v="256"/>
    <x v="76"/>
    <x v="9"/>
    <x v="1"/>
    <x v="10"/>
    <n v="47"/>
    <n v="201.44"/>
    <n v="98.58"/>
    <n v="9467.68"/>
    <n v="4633.26"/>
    <n v="4834.42"/>
    <n v="2"/>
  </r>
  <r>
    <x v="174"/>
    <n v="10304"/>
    <n v="256"/>
    <x v="76"/>
    <x v="9"/>
    <x v="2"/>
    <x v="12"/>
    <n v="39"/>
    <n v="117.54"/>
    <n v="77.900000000000006"/>
    <n v="4584.0600000000004"/>
    <n v="3038.1"/>
    <n v="1545.96"/>
    <n v="2"/>
  </r>
  <r>
    <x v="174"/>
    <n v="10304"/>
    <n v="256"/>
    <x v="76"/>
    <x v="9"/>
    <x v="2"/>
    <x v="13"/>
    <n v="46"/>
    <n v="106.17"/>
    <n v="58.33"/>
    <n v="4883.82"/>
    <n v="2683.18"/>
    <n v="2200.64"/>
    <n v="2"/>
  </r>
  <r>
    <x v="174"/>
    <n v="10304"/>
    <n v="256"/>
    <x v="76"/>
    <x v="9"/>
    <x v="0"/>
    <x v="8"/>
    <n v="37"/>
    <n v="95.55"/>
    <n v="60.62"/>
    <n v="3535.35"/>
    <n v="2242.94"/>
    <n v="1292.4100000000001"/>
    <n v="2"/>
  </r>
  <r>
    <x v="174"/>
    <n v="10304"/>
    <n v="256"/>
    <x v="76"/>
    <x v="9"/>
    <x v="0"/>
    <x v="9"/>
    <n v="37"/>
    <n v="46.9"/>
    <n v="24.26"/>
    <n v="1735.3"/>
    <n v="897.62"/>
    <n v="837.68"/>
    <n v="2"/>
  </r>
  <r>
    <x v="174"/>
    <n v="10304"/>
    <n v="256"/>
    <x v="76"/>
    <x v="9"/>
    <x v="0"/>
    <x v="4"/>
    <n v="24"/>
    <n v="102.98"/>
    <n v="58.48"/>
    <n v="2471.52"/>
    <n v="1403.52"/>
    <n v="1068"/>
    <n v="2"/>
  </r>
  <r>
    <x v="174"/>
    <n v="10304"/>
    <n v="256"/>
    <x v="76"/>
    <x v="9"/>
    <x v="0"/>
    <x v="5"/>
    <n v="20"/>
    <n v="141.75"/>
    <n v="72.56"/>
    <n v="2835"/>
    <n v="1451.2"/>
    <n v="1383.8"/>
    <n v="2"/>
  </r>
  <r>
    <x v="174"/>
    <n v="10304"/>
    <n v="256"/>
    <x v="76"/>
    <x v="9"/>
    <x v="0"/>
    <x v="15"/>
    <n v="46"/>
    <n v="98.27"/>
    <n v="60.78"/>
    <n v="4520.42"/>
    <n v="2795.88"/>
    <n v="1724.54"/>
    <n v="2"/>
  </r>
  <r>
    <x v="174"/>
    <n v="10304"/>
    <n v="256"/>
    <x v="76"/>
    <x v="9"/>
    <x v="0"/>
    <x v="16"/>
    <n v="24"/>
    <n v="54.34"/>
    <n v="34.35"/>
    <n v="1304.1600000000001"/>
    <n v="824.4"/>
    <n v="479.76"/>
    <n v="2"/>
  </r>
  <r>
    <x v="174"/>
    <n v="10304"/>
    <n v="256"/>
    <x v="76"/>
    <x v="9"/>
    <x v="0"/>
    <x v="17"/>
    <n v="26"/>
    <n v="90.06"/>
    <n v="60.74"/>
    <n v="2341.56"/>
    <n v="1579.24"/>
    <n v="762.32"/>
    <n v="2"/>
  </r>
  <r>
    <x v="174"/>
    <n v="10304"/>
    <n v="256"/>
    <x v="76"/>
    <x v="9"/>
    <x v="0"/>
    <x v="18"/>
    <n v="38"/>
    <n v="95.24"/>
    <n v="57.54"/>
    <n v="3619.12"/>
    <n v="2186.52"/>
    <n v="1432.6"/>
    <n v="2"/>
  </r>
  <r>
    <x v="174"/>
    <n v="10304"/>
    <n v="256"/>
    <x v="76"/>
    <x v="9"/>
    <x v="0"/>
    <x v="20"/>
    <n v="34"/>
    <n v="44.27"/>
    <n v="23.14"/>
    <n v="1505.18"/>
    <n v="786.76"/>
    <n v="718.42"/>
    <n v="2"/>
  </r>
  <r>
    <x v="174"/>
    <n v="10304"/>
    <n v="256"/>
    <x v="76"/>
    <x v="9"/>
    <x v="0"/>
    <x v="6"/>
    <n v="23"/>
    <n v="29.21"/>
    <n v="22.57"/>
    <n v="671.83"/>
    <n v="519.11"/>
    <n v="152.72"/>
    <n v="2"/>
  </r>
  <r>
    <x v="174"/>
    <n v="10304"/>
    <n v="256"/>
    <x v="76"/>
    <x v="9"/>
    <x v="0"/>
    <x v="7"/>
    <n v="44"/>
    <n v="42.11"/>
    <n v="20.61"/>
    <n v="1852.84"/>
    <n v="906.84"/>
    <n v="946"/>
    <n v="2"/>
  </r>
  <r>
    <x v="174"/>
    <n v="10304"/>
    <n v="256"/>
    <x v="76"/>
    <x v="9"/>
    <x v="0"/>
    <x v="22"/>
    <n v="33"/>
    <n v="80.83"/>
    <n v="57.46"/>
    <n v="2667.39"/>
    <n v="1896.18"/>
    <n v="771.21"/>
    <n v="2"/>
  </r>
  <r>
    <x v="174"/>
    <n v="10304"/>
    <n v="256"/>
    <x v="76"/>
    <x v="9"/>
    <x v="2"/>
    <x v="24"/>
    <n v="36"/>
    <n v="52.36"/>
    <n v="33.61"/>
    <n v="1884.96"/>
    <n v="1209.96"/>
    <n v="675"/>
    <n v="2"/>
  </r>
  <r>
    <x v="174"/>
    <n v="10304"/>
    <n v="256"/>
    <x v="76"/>
    <x v="9"/>
    <x v="1"/>
    <x v="25"/>
    <n v="40"/>
    <n v="80.92"/>
    <n v="46.53"/>
    <n v="3236.8"/>
    <n v="1861.2"/>
    <n v="1375.6"/>
    <n v="2"/>
  </r>
  <r>
    <x v="175"/>
    <n v="10305"/>
    <n v="286"/>
    <x v="96"/>
    <x v="0"/>
    <x v="1"/>
    <x v="11"/>
    <n v="38"/>
    <n v="130.01"/>
    <n v="103.42"/>
    <n v="4940.38"/>
    <n v="3929.96"/>
    <n v="1010.42"/>
    <n v="2"/>
  </r>
  <r>
    <x v="175"/>
    <n v="10305"/>
    <n v="286"/>
    <x v="96"/>
    <x v="0"/>
    <x v="2"/>
    <x v="27"/>
    <n v="38"/>
    <n v="107.84"/>
    <n v="55.7"/>
    <n v="4097.92"/>
    <n v="2116.6"/>
    <n v="1981.32"/>
    <n v="2"/>
  </r>
  <r>
    <x v="175"/>
    <n v="10305"/>
    <n v="286"/>
    <x v="96"/>
    <x v="0"/>
    <x v="1"/>
    <x v="28"/>
    <n v="27"/>
    <n v="132.62"/>
    <n v="101.51"/>
    <n v="3580.74"/>
    <n v="2740.77"/>
    <n v="839.97"/>
    <n v="2"/>
  </r>
  <r>
    <x v="175"/>
    <n v="10305"/>
    <n v="286"/>
    <x v="96"/>
    <x v="0"/>
    <x v="2"/>
    <x v="29"/>
    <n v="36"/>
    <n v="117.82"/>
    <n v="74.86"/>
    <n v="4241.5200000000004"/>
    <n v="2694.96"/>
    <n v="1546.56"/>
    <n v="2"/>
  </r>
  <r>
    <x v="175"/>
    <n v="10305"/>
    <n v="286"/>
    <x v="96"/>
    <x v="0"/>
    <x v="2"/>
    <x v="14"/>
    <n v="41"/>
    <n v="58.95"/>
    <n v="24.92"/>
    <n v="2416.9499999999998"/>
    <n v="1021.72"/>
    <n v="1395.23"/>
    <n v="2"/>
  </r>
  <r>
    <x v="175"/>
    <n v="10305"/>
    <n v="286"/>
    <x v="96"/>
    <x v="0"/>
    <x v="1"/>
    <x v="30"/>
    <n v="37"/>
    <n v="160.87"/>
    <n v="77.900000000000006"/>
    <n v="5952.19"/>
    <n v="2882.3"/>
    <n v="3069.89"/>
    <n v="2"/>
  </r>
  <r>
    <x v="175"/>
    <n v="10305"/>
    <n v="286"/>
    <x v="96"/>
    <x v="0"/>
    <x v="2"/>
    <x v="19"/>
    <n v="22"/>
    <n v="112.6"/>
    <n v="84.76"/>
    <n v="2477.1999999999998"/>
    <n v="1864.72"/>
    <n v="612.48"/>
    <n v="2"/>
  </r>
  <r>
    <x v="175"/>
    <n v="10305"/>
    <n v="286"/>
    <x v="96"/>
    <x v="0"/>
    <x v="1"/>
    <x v="32"/>
    <n v="45"/>
    <n v="48.55"/>
    <n v="32.369999999999997"/>
    <n v="2184.75"/>
    <n v="1456.65"/>
    <n v="728.1"/>
    <n v="2"/>
  </r>
  <r>
    <x v="175"/>
    <n v="10305"/>
    <n v="286"/>
    <x v="96"/>
    <x v="0"/>
    <x v="2"/>
    <x v="21"/>
    <n v="24"/>
    <n v="107.34"/>
    <n v="61.34"/>
    <n v="2576.16"/>
    <n v="1472.16"/>
    <n v="1104"/>
    <n v="2"/>
  </r>
  <r>
    <x v="175"/>
    <n v="10305"/>
    <n v="286"/>
    <x v="96"/>
    <x v="0"/>
    <x v="1"/>
    <x v="33"/>
    <n v="48"/>
    <n v="30.76"/>
    <n v="15.91"/>
    <n v="1476.48"/>
    <n v="763.68"/>
    <n v="712.8"/>
    <n v="2"/>
  </r>
  <r>
    <x v="175"/>
    <n v="10305"/>
    <n v="286"/>
    <x v="96"/>
    <x v="0"/>
    <x v="1"/>
    <x v="34"/>
    <n v="36"/>
    <n v="118.28"/>
    <n v="69.78"/>
    <n v="4258.08"/>
    <n v="2512.08"/>
    <n v="1746"/>
    <n v="2"/>
  </r>
  <r>
    <x v="175"/>
    <n v="10305"/>
    <n v="286"/>
    <x v="96"/>
    <x v="0"/>
    <x v="2"/>
    <x v="23"/>
    <n v="28"/>
    <n v="94.38"/>
    <n v="53.93"/>
    <n v="2642.64"/>
    <n v="1510.04"/>
    <n v="1132.5999999999999"/>
    <n v="2"/>
  </r>
  <r>
    <x v="175"/>
    <n v="10305"/>
    <n v="286"/>
    <x v="96"/>
    <x v="0"/>
    <x v="2"/>
    <x v="35"/>
    <n v="40"/>
    <n v="48.7"/>
    <n v="25.98"/>
    <n v="1948"/>
    <n v="1039.2"/>
    <n v="908.8"/>
    <n v="2"/>
  </r>
  <r>
    <x v="175"/>
    <n v="10305"/>
    <n v="286"/>
    <x v="96"/>
    <x v="0"/>
    <x v="2"/>
    <x v="37"/>
    <n v="42"/>
    <n v="109.96"/>
    <n v="68.290000000000006"/>
    <n v="4618.32"/>
    <n v="2868.18"/>
    <n v="1750.14"/>
    <n v="2"/>
  </r>
  <r>
    <x v="176"/>
    <n v="10307"/>
    <n v="339"/>
    <x v="61"/>
    <x v="0"/>
    <x v="1"/>
    <x v="39"/>
    <n v="22"/>
    <n v="118.32"/>
    <n v="85.68"/>
    <n v="2603.04"/>
    <n v="1884.96"/>
    <n v="718.08"/>
    <n v="2"/>
  </r>
  <r>
    <x v="176"/>
    <n v="10307"/>
    <n v="339"/>
    <x v="61"/>
    <x v="0"/>
    <x v="5"/>
    <x v="54"/>
    <n v="39"/>
    <n v="135.61000000000001"/>
    <n v="77.27"/>
    <n v="5288.79"/>
    <n v="3013.53"/>
    <n v="2275.2600000000002"/>
    <n v="2"/>
  </r>
  <r>
    <x v="176"/>
    <n v="10307"/>
    <n v="339"/>
    <x v="61"/>
    <x v="0"/>
    <x v="4"/>
    <x v="56"/>
    <n v="31"/>
    <n v="71.400000000000006"/>
    <n v="51.61"/>
    <n v="2213.4"/>
    <n v="1599.91"/>
    <n v="613.49"/>
    <n v="2"/>
  </r>
  <r>
    <x v="176"/>
    <n v="10307"/>
    <n v="339"/>
    <x v="61"/>
    <x v="0"/>
    <x v="0"/>
    <x v="57"/>
    <n v="48"/>
    <n v="92.11"/>
    <n v="64.58"/>
    <n v="4421.28"/>
    <n v="3099.84"/>
    <n v="1321.44"/>
    <n v="2"/>
  </r>
  <r>
    <x v="176"/>
    <n v="10307"/>
    <n v="339"/>
    <x v="61"/>
    <x v="0"/>
    <x v="5"/>
    <x v="59"/>
    <n v="25"/>
    <n v="58.23"/>
    <n v="34.25"/>
    <n v="1455.75"/>
    <n v="856.25"/>
    <n v="599.5"/>
    <n v="2"/>
  </r>
  <r>
    <x v="176"/>
    <n v="10307"/>
    <n v="339"/>
    <x v="61"/>
    <x v="0"/>
    <x v="0"/>
    <x v="60"/>
    <n v="22"/>
    <n v="64.44"/>
    <n v="26.3"/>
    <n v="1417.68"/>
    <n v="578.6"/>
    <n v="839.08"/>
    <n v="2"/>
  </r>
  <r>
    <x v="176"/>
    <n v="10307"/>
    <n v="339"/>
    <x v="61"/>
    <x v="0"/>
    <x v="0"/>
    <x v="47"/>
    <n v="22"/>
    <n v="75.47"/>
    <n v="48.64"/>
    <n v="1660.34"/>
    <n v="1070.08"/>
    <n v="590.26"/>
    <n v="2"/>
  </r>
  <r>
    <x v="176"/>
    <n v="10307"/>
    <n v="339"/>
    <x v="61"/>
    <x v="0"/>
    <x v="4"/>
    <x v="66"/>
    <n v="34"/>
    <n v="81.47"/>
    <n v="39.83"/>
    <n v="2769.98"/>
    <n v="1354.22"/>
    <n v="1415.76"/>
    <n v="2"/>
  </r>
  <r>
    <x v="176"/>
    <n v="10307"/>
    <n v="339"/>
    <x v="61"/>
    <x v="0"/>
    <x v="5"/>
    <x v="71"/>
    <n v="34"/>
    <n v="44.2"/>
    <n v="32.770000000000003"/>
    <n v="1502.8"/>
    <n v="1114.18"/>
    <n v="388.62"/>
    <n v="2"/>
  </r>
  <r>
    <x v="176"/>
    <n v="10306"/>
    <n v="187"/>
    <x v="10"/>
    <x v="7"/>
    <x v="1"/>
    <x v="40"/>
    <n v="31"/>
    <n v="182.86"/>
    <n v="95.59"/>
    <n v="5668.66"/>
    <n v="2963.29"/>
    <n v="2705.37"/>
    <n v="2"/>
  </r>
  <r>
    <x v="176"/>
    <n v="10306"/>
    <n v="187"/>
    <x v="10"/>
    <x v="7"/>
    <x v="1"/>
    <x v="26"/>
    <n v="34"/>
    <n v="145.04"/>
    <n v="89.14"/>
    <n v="4931.3599999999997"/>
    <n v="3030.76"/>
    <n v="1900.6"/>
    <n v="2"/>
  </r>
  <r>
    <x v="176"/>
    <n v="10306"/>
    <n v="187"/>
    <x v="10"/>
    <x v="7"/>
    <x v="1"/>
    <x v="41"/>
    <n v="20"/>
    <n v="145.34"/>
    <n v="83.05"/>
    <n v="2906.8"/>
    <n v="1661"/>
    <n v="1245.8"/>
    <n v="2"/>
  </r>
  <r>
    <x v="176"/>
    <n v="10306"/>
    <n v="187"/>
    <x v="10"/>
    <x v="7"/>
    <x v="0"/>
    <x v="42"/>
    <n v="32"/>
    <n v="114.74"/>
    <n v="68.3"/>
    <n v="3671.68"/>
    <n v="2185.6"/>
    <n v="1486.08"/>
    <n v="2"/>
  </r>
  <r>
    <x v="176"/>
    <n v="10306"/>
    <n v="187"/>
    <x v="10"/>
    <x v="7"/>
    <x v="3"/>
    <x v="43"/>
    <n v="40"/>
    <n v="83.7"/>
    <n v="67.56"/>
    <n v="3348"/>
    <n v="2702.4"/>
    <n v="645.6"/>
    <n v="2"/>
  </r>
  <r>
    <x v="176"/>
    <n v="10306"/>
    <n v="187"/>
    <x v="10"/>
    <x v="7"/>
    <x v="1"/>
    <x v="31"/>
    <n v="23"/>
    <n v="126.39"/>
    <n v="91.92"/>
    <n v="2906.97"/>
    <n v="2114.16"/>
    <n v="792.81"/>
    <n v="2"/>
  </r>
  <r>
    <x v="176"/>
    <n v="10306"/>
    <n v="187"/>
    <x v="10"/>
    <x v="7"/>
    <x v="0"/>
    <x v="44"/>
    <n v="39"/>
    <n v="85.14"/>
    <n v="52.66"/>
    <n v="3320.46"/>
    <n v="2053.7399999999998"/>
    <n v="1266.72"/>
    <n v="2"/>
  </r>
  <r>
    <x v="176"/>
    <n v="10306"/>
    <n v="187"/>
    <x v="10"/>
    <x v="7"/>
    <x v="4"/>
    <x v="45"/>
    <n v="29"/>
    <n v="109.37"/>
    <n v="82.34"/>
    <n v="3171.73"/>
    <n v="2387.86"/>
    <n v="783.87"/>
    <n v="2"/>
  </r>
  <r>
    <x v="176"/>
    <n v="10306"/>
    <n v="187"/>
    <x v="10"/>
    <x v="7"/>
    <x v="0"/>
    <x v="46"/>
    <n v="31"/>
    <n v="76.12"/>
    <n v="46.91"/>
    <n v="2359.7199999999998"/>
    <n v="1454.21"/>
    <n v="905.51"/>
    <n v="2"/>
  </r>
  <r>
    <x v="176"/>
    <n v="10306"/>
    <n v="187"/>
    <x v="10"/>
    <x v="7"/>
    <x v="3"/>
    <x v="36"/>
    <n v="46"/>
    <n v="60.28"/>
    <n v="26.72"/>
    <n v="2772.88"/>
    <n v="1229.1199999999999"/>
    <n v="1543.76"/>
    <n v="2"/>
  </r>
  <r>
    <x v="176"/>
    <n v="10306"/>
    <n v="187"/>
    <x v="10"/>
    <x v="7"/>
    <x v="3"/>
    <x v="38"/>
    <n v="34"/>
    <n v="51.55"/>
    <n v="37.49"/>
    <n v="1752.7"/>
    <n v="1274.6600000000001"/>
    <n v="478.04"/>
    <n v="2"/>
  </r>
  <r>
    <x v="176"/>
    <n v="10306"/>
    <n v="187"/>
    <x v="10"/>
    <x v="7"/>
    <x v="4"/>
    <x v="48"/>
    <n v="50"/>
    <n v="61.34"/>
    <n v="34"/>
    <n v="3067"/>
    <n v="1700"/>
    <n v="1367"/>
    <n v="2"/>
  </r>
  <r>
    <x v="176"/>
    <n v="10306"/>
    <n v="187"/>
    <x v="10"/>
    <x v="7"/>
    <x v="4"/>
    <x v="49"/>
    <n v="38"/>
    <n v="73.62"/>
    <n v="43.3"/>
    <n v="2797.56"/>
    <n v="1645.4"/>
    <n v="1152.1600000000001"/>
    <n v="2"/>
  </r>
  <r>
    <x v="176"/>
    <n v="10306"/>
    <n v="187"/>
    <x v="10"/>
    <x v="7"/>
    <x v="4"/>
    <x v="50"/>
    <n v="43"/>
    <n v="62.16"/>
    <n v="33.97"/>
    <n v="2672.88"/>
    <n v="1460.71"/>
    <n v="1212.17"/>
    <n v="2"/>
  </r>
  <r>
    <x v="176"/>
    <n v="10306"/>
    <n v="187"/>
    <x v="10"/>
    <x v="7"/>
    <x v="4"/>
    <x v="51"/>
    <n v="32"/>
    <n v="99.17"/>
    <n v="51.09"/>
    <n v="3173.44"/>
    <n v="1634.88"/>
    <n v="1538.56"/>
    <n v="2"/>
  </r>
  <r>
    <x v="176"/>
    <n v="10306"/>
    <n v="187"/>
    <x v="10"/>
    <x v="7"/>
    <x v="4"/>
    <x v="52"/>
    <n v="30"/>
    <n v="87.39"/>
    <n v="53.63"/>
    <n v="2621.7"/>
    <n v="1608.9"/>
    <n v="1012.8"/>
    <n v="2"/>
  </r>
  <r>
    <x v="176"/>
    <n v="10306"/>
    <n v="187"/>
    <x v="10"/>
    <x v="7"/>
    <x v="4"/>
    <x v="53"/>
    <n v="35"/>
    <n v="48.05"/>
    <n v="33.299999999999997"/>
    <n v="1681.75"/>
    <n v="1165.5"/>
    <n v="516.25"/>
    <n v="2"/>
  </r>
  <r>
    <x v="177"/>
    <n v="10309"/>
    <n v="121"/>
    <x v="3"/>
    <x v="2"/>
    <x v="6"/>
    <x v="72"/>
    <n v="41"/>
    <n v="94.74"/>
    <n v="48.81"/>
    <n v="3884.34"/>
    <n v="2001.21"/>
    <n v="1883.13"/>
    <n v="3"/>
  </r>
  <r>
    <x v="177"/>
    <n v="10309"/>
    <n v="121"/>
    <x v="3"/>
    <x v="2"/>
    <x v="6"/>
    <x v="75"/>
    <n v="26"/>
    <n v="144.6"/>
    <n v="66.27"/>
    <n v="3759.6"/>
    <n v="1723.02"/>
    <n v="2036.58"/>
    <n v="3"/>
  </r>
  <r>
    <x v="177"/>
    <n v="10309"/>
    <n v="121"/>
    <x v="3"/>
    <x v="2"/>
    <x v="6"/>
    <x v="77"/>
    <n v="21"/>
    <n v="96.92"/>
    <n v="60.86"/>
    <n v="2035.32"/>
    <n v="1278.06"/>
    <n v="757.26"/>
    <n v="3"/>
  </r>
  <r>
    <x v="177"/>
    <n v="10309"/>
    <n v="121"/>
    <x v="3"/>
    <x v="2"/>
    <x v="6"/>
    <x v="89"/>
    <n v="24"/>
    <n v="59.56"/>
    <n v="47.1"/>
    <n v="1429.44"/>
    <n v="1130.4000000000001"/>
    <n v="299.04000000000002"/>
    <n v="3"/>
  </r>
  <r>
    <x v="177"/>
    <n v="10309"/>
    <n v="121"/>
    <x v="3"/>
    <x v="2"/>
    <x v="6"/>
    <x v="94"/>
    <n v="50"/>
    <n v="93.89"/>
    <n v="56.13"/>
    <n v="4694.5"/>
    <n v="2806.5"/>
    <n v="1888"/>
    <n v="3"/>
  </r>
  <r>
    <x v="177"/>
    <n v="10309"/>
    <n v="121"/>
    <x v="3"/>
    <x v="2"/>
    <x v="6"/>
    <x v="95"/>
    <n v="28"/>
    <n v="74.040000000000006"/>
    <n v="34.17"/>
    <n v="2073.12"/>
    <n v="956.76"/>
    <n v="1116.3599999999999"/>
    <n v="3"/>
  </r>
  <r>
    <x v="177"/>
    <n v="10308"/>
    <n v="319"/>
    <x v="67"/>
    <x v="0"/>
    <x v="6"/>
    <x v="73"/>
    <n v="34"/>
    <n v="115.37"/>
    <n v="68.989999999999995"/>
    <n v="3922.58"/>
    <n v="2345.66"/>
    <n v="1576.92"/>
    <n v="2"/>
  </r>
  <r>
    <x v="177"/>
    <n v="10308"/>
    <n v="319"/>
    <x v="67"/>
    <x v="0"/>
    <x v="6"/>
    <x v="74"/>
    <n v="20"/>
    <n v="187.85"/>
    <n v="91.02"/>
    <n v="3757"/>
    <n v="1820.4"/>
    <n v="1936.6"/>
    <n v="2"/>
  </r>
  <r>
    <x v="177"/>
    <n v="10308"/>
    <n v="319"/>
    <x v="67"/>
    <x v="0"/>
    <x v="5"/>
    <x v="55"/>
    <n v="27"/>
    <n v="81.95"/>
    <n v="49"/>
    <n v="2212.65"/>
    <n v="1323"/>
    <n v="889.65"/>
    <n v="2"/>
  </r>
  <r>
    <x v="177"/>
    <n v="10308"/>
    <n v="319"/>
    <x v="67"/>
    <x v="0"/>
    <x v="6"/>
    <x v="76"/>
    <n v="34"/>
    <n v="48.46"/>
    <n v="24.23"/>
    <n v="1647.64"/>
    <n v="823.82"/>
    <n v="823.82"/>
    <n v="2"/>
  </r>
  <r>
    <x v="177"/>
    <n v="10308"/>
    <n v="319"/>
    <x v="67"/>
    <x v="0"/>
    <x v="5"/>
    <x v="58"/>
    <n v="31"/>
    <n v="99.57"/>
    <n v="66.739999999999995"/>
    <n v="3086.67"/>
    <n v="2068.94"/>
    <n v="1017.73"/>
    <n v="2"/>
  </r>
  <r>
    <x v="177"/>
    <n v="10308"/>
    <n v="319"/>
    <x v="67"/>
    <x v="0"/>
    <x v="6"/>
    <x v="78"/>
    <n v="47"/>
    <n v="68.55"/>
    <n v="37.32"/>
    <n v="3221.85"/>
    <n v="1754.04"/>
    <n v="1467.81"/>
    <n v="2"/>
  </r>
  <r>
    <x v="177"/>
    <n v="10308"/>
    <n v="319"/>
    <x v="67"/>
    <x v="0"/>
    <x v="5"/>
    <x v="61"/>
    <n v="43"/>
    <n v="58"/>
    <n v="29.34"/>
    <n v="2494"/>
    <n v="1261.6199999999999"/>
    <n v="1232.3800000000001"/>
    <n v="2"/>
  </r>
  <r>
    <x v="177"/>
    <n v="10308"/>
    <n v="319"/>
    <x v="67"/>
    <x v="0"/>
    <x v="5"/>
    <x v="62"/>
    <n v="44"/>
    <n v="71.73"/>
    <n v="36.229999999999997"/>
    <n v="3156.12"/>
    <n v="1594.12"/>
    <n v="1562"/>
    <n v="2"/>
  </r>
  <r>
    <x v="177"/>
    <n v="10308"/>
    <n v="319"/>
    <x v="67"/>
    <x v="0"/>
    <x v="6"/>
    <x v="79"/>
    <n v="24"/>
    <n v="99.89"/>
    <n v="66.92"/>
    <n v="2397.36"/>
    <n v="1606.08"/>
    <n v="791.28"/>
    <n v="2"/>
  </r>
  <r>
    <x v="177"/>
    <n v="10308"/>
    <n v="319"/>
    <x v="67"/>
    <x v="0"/>
    <x v="0"/>
    <x v="63"/>
    <n v="46"/>
    <n v="61.22"/>
    <n v="33.020000000000003"/>
    <n v="2816.12"/>
    <n v="1518.92"/>
    <n v="1297.2"/>
    <n v="2"/>
  </r>
  <r>
    <x v="177"/>
    <n v="10308"/>
    <n v="319"/>
    <x v="67"/>
    <x v="0"/>
    <x v="0"/>
    <x v="64"/>
    <n v="47"/>
    <n v="37.090000000000003"/>
    <n v="27.06"/>
    <n v="1743.23"/>
    <n v="1271.82"/>
    <n v="471.41"/>
    <n v="2"/>
  </r>
  <r>
    <x v="177"/>
    <n v="10308"/>
    <n v="319"/>
    <x v="67"/>
    <x v="0"/>
    <x v="5"/>
    <x v="65"/>
    <n v="21"/>
    <n v="73.069999999999993"/>
    <n v="51.15"/>
    <n v="1534.47"/>
    <n v="1074.1500000000001"/>
    <n v="460.32"/>
    <n v="2"/>
  </r>
  <r>
    <x v="177"/>
    <n v="10308"/>
    <n v="319"/>
    <x v="67"/>
    <x v="0"/>
    <x v="5"/>
    <x v="67"/>
    <n v="35"/>
    <n v="88.75"/>
    <n v="68.8"/>
    <n v="3106.25"/>
    <n v="2408"/>
    <n v="698.25"/>
    <n v="2"/>
  </r>
  <r>
    <x v="177"/>
    <n v="10308"/>
    <n v="319"/>
    <x v="67"/>
    <x v="0"/>
    <x v="5"/>
    <x v="68"/>
    <n v="31"/>
    <n v="100.85"/>
    <n v="59.33"/>
    <n v="3126.35"/>
    <n v="1839.23"/>
    <n v="1287.1199999999999"/>
    <n v="2"/>
  </r>
  <r>
    <x v="177"/>
    <n v="10308"/>
    <n v="319"/>
    <x v="67"/>
    <x v="0"/>
    <x v="5"/>
    <x v="69"/>
    <n v="21"/>
    <n v="79.2"/>
    <n v="54.4"/>
    <n v="1663.2"/>
    <n v="1142.4000000000001"/>
    <n v="520.79999999999995"/>
    <n v="2"/>
  </r>
  <r>
    <x v="177"/>
    <n v="10308"/>
    <n v="319"/>
    <x v="67"/>
    <x v="0"/>
    <x v="5"/>
    <x v="70"/>
    <n v="39"/>
    <n v="62.93"/>
    <n v="36.270000000000003"/>
    <n v="2454.27"/>
    <n v="1414.53"/>
    <n v="1039.74"/>
    <n v="2"/>
  </r>
  <r>
    <x v="178"/>
    <n v="10311"/>
    <n v="141"/>
    <x v="4"/>
    <x v="3"/>
    <x v="1"/>
    <x v="101"/>
    <n v="29"/>
    <n v="124.44"/>
    <n v="65.959999999999994"/>
    <n v="3608.76"/>
    <n v="1912.84"/>
    <n v="1695.92"/>
    <n v="14"/>
  </r>
  <r>
    <x v="178"/>
    <n v="10311"/>
    <n v="141"/>
    <x v="4"/>
    <x v="3"/>
    <x v="1"/>
    <x v="98"/>
    <n v="43"/>
    <n v="114.84"/>
    <n v="56.76"/>
    <n v="4938.12"/>
    <n v="2440.6799999999998"/>
    <n v="2497.44"/>
    <n v="14"/>
  </r>
  <r>
    <x v="178"/>
    <n v="10311"/>
    <n v="141"/>
    <x v="4"/>
    <x v="3"/>
    <x v="1"/>
    <x v="99"/>
    <n v="32"/>
    <n v="134.22"/>
    <n v="62.16"/>
    <n v="4295.04"/>
    <n v="1989.12"/>
    <n v="2305.92"/>
    <n v="14"/>
  </r>
  <r>
    <x v="178"/>
    <n v="10311"/>
    <n v="141"/>
    <x v="4"/>
    <x v="3"/>
    <x v="0"/>
    <x v="2"/>
    <n v="41"/>
    <n v="92.03"/>
    <n v="43.26"/>
    <n v="3773.23"/>
    <n v="1773.66"/>
    <n v="1999.57"/>
    <n v="14"/>
  </r>
  <r>
    <x v="178"/>
    <n v="10311"/>
    <n v="141"/>
    <x v="4"/>
    <x v="3"/>
    <x v="1"/>
    <x v="102"/>
    <n v="25"/>
    <n v="66.989999999999995"/>
    <n v="34.21"/>
    <n v="1674.75"/>
    <n v="855.25"/>
    <n v="819.5"/>
    <n v="14"/>
  </r>
  <r>
    <x v="178"/>
    <n v="10311"/>
    <n v="141"/>
    <x v="4"/>
    <x v="3"/>
    <x v="1"/>
    <x v="103"/>
    <n v="26"/>
    <n v="70.55"/>
    <n v="49.24"/>
    <n v="1834.3"/>
    <n v="1280.24"/>
    <n v="554.05999999999995"/>
    <n v="14"/>
  </r>
  <r>
    <x v="178"/>
    <n v="10311"/>
    <n v="141"/>
    <x v="4"/>
    <x v="3"/>
    <x v="1"/>
    <x v="104"/>
    <n v="45"/>
    <n v="48.8"/>
    <n v="29.18"/>
    <n v="2196"/>
    <n v="1313.1"/>
    <n v="882.9"/>
    <n v="14"/>
  </r>
  <r>
    <x v="178"/>
    <n v="10311"/>
    <n v="141"/>
    <x v="4"/>
    <x v="3"/>
    <x v="1"/>
    <x v="105"/>
    <n v="28"/>
    <n v="89.05"/>
    <n v="47.25"/>
    <n v="2493.4"/>
    <n v="1323"/>
    <n v="1170.4000000000001"/>
    <n v="14"/>
  </r>
  <r>
    <x v="178"/>
    <n v="10311"/>
    <n v="141"/>
    <x v="4"/>
    <x v="3"/>
    <x v="1"/>
    <x v="106"/>
    <n v="43"/>
    <n v="116.27"/>
    <n v="72.819999999999993"/>
    <n v="4999.6099999999997"/>
    <n v="3131.26"/>
    <n v="1868.35"/>
    <n v="14"/>
  </r>
  <r>
    <x v="178"/>
    <n v="10311"/>
    <n v="141"/>
    <x v="4"/>
    <x v="3"/>
    <x v="1"/>
    <x v="107"/>
    <n v="25"/>
    <n v="85.61"/>
    <n v="50.51"/>
    <n v="2140.25"/>
    <n v="1262.75"/>
    <n v="877.5"/>
    <n v="14"/>
  </r>
  <r>
    <x v="178"/>
    <n v="10311"/>
    <n v="141"/>
    <x v="4"/>
    <x v="3"/>
    <x v="1"/>
    <x v="108"/>
    <n v="46"/>
    <n v="91.02"/>
    <n v="62.11"/>
    <n v="4186.92"/>
    <n v="2857.06"/>
    <n v="1329.86"/>
    <n v="14"/>
  </r>
  <r>
    <x v="178"/>
    <n v="10310"/>
    <n v="259"/>
    <x v="65"/>
    <x v="1"/>
    <x v="1"/>
    <x v="80"/>
    <n v="33"/>
    <n v="165.38"/>
    <n v="95.34"/>
    <n v="5457.54"/>
    <n v="3146.22"/>
    <n v="2311.3200000000002"/>
    <n v="2"/>
  </r>
  <r>
    <x v="178"/>
    <n v="10310"/>
    <n v="259"/>
    <x v="65"/>
    <x v="1"/>
    <x v="1"/>
    <x v="81"/>
    <n v="24"/>
    <n v="105.7"/>
    <n v="75.16"/>
    <n v="2536.8000000000002"/>
    <n v="1803.84"/>
    <n v="732.96"/>
    <n v="2"/>
  </r>
  <r>
    <x v="178"/>
    <n v="10310"/>
    <n v="259"/>
    <x v="65"/>
    <x v="1"/>
    <x v="1"/>
    <x v="82"/>
    <n v="49"/>
    <n v="77.41"/>
    <n v="31.92"/>
    <n v="3793.09"/>
    <n v="1564.08"/>
    <n v="2229.0100000000002"/>
    <n v="2"/>
  </r>
  <r>
    <x v="178"/>
    <n v="10310"/>
    <n v="259"/>
    <x v="65"/>
    <x v="1"/>
    <x v="1"/>
    <x v="83"/>
    <n v="25"/>
    <n v="101.34"/>
    <n v="58.73"/>
    <n v="2533.5"/>
    <n v="1468.25"/>
    <n v="1065.25"/>
    <n v="2"/>
  </r>
  <r>
    <x v="178"/>
    <n v="10310"/>
    <n v="259"/>
    <x v="65"/>
    <x v="1"/>
    <x v="1"/>
    <x v="96"/>
    <n v="37"/>
    <n v="128.80000000000001"/>
    <n v="83.51"/>
    <n v="4765.6000000000004"/>
    <n v="3089.87"/>
    <n v="1675.73"/>
    <n v="2"/>
  </r>
  <r>
    <x v="178"/>
    <n v="10310"/>
    <n v="259"/>
    <x v="65"/>
    <x v="1"/>
    <x v="1"/>
    <x v="84"/>
    <n v="20"/>
    <n v="66.989999999999995"/>
    <n v="53.9"/>
    <n v="1339.8"/>
    <n v="1078"/>
    <n v="261.8"/>
    <n v="2"/>
  </r>
  <r>
    <x v="178"/>
    <n v="10310"/>
    <n v="259"/>
    <x v="65"/>
    <x v="1"/>
    <x v="1"/>
    <x v="97"/>
    <n v="24"/>
    <n v="129.44999999999999"/>
    <n v="93.89"/>
    <n v="3106.8"/>
    <n v="2253.36"/>
    <n v="853.44"/>
    <n v="2"/>
  </r>
  <r>
    <x v="178"/>
    <n v="10310"/>
    <n v="259"/>
    <x v="65"/>
    <x v="1"/>
    <x v="1"/>
    <x v="30"/>
    <n v="48"/>
    <n v="159.18"/>
    <n v="77.900000000000006"/>
    <n v="7640.64"/>
    <n v="3739.2"/>
    <n v="3901.44"/>
    <n v="2"/>
  </r>
  <r>
    <x v="178"/>
    <n v="10310"/>
    <n v="259"/>
    <x v="65"/>
    <x v="1"/>
    <x v="1"/>
    <x v="85"/>
    <n v="27"/>
    <n v="70.760000000000005"/>
    <n v="49.05"/>
    <n v="1910.52"/>
    <n v="1324.35"/>
    <n v="586.16999999999996"/>
    <n v="2"/>
  </r>
  <r>
    <x v="178"/>
    <n v="10310"/>
    <n v="259"/>
    <x v="65"/>
    <x v="1"/>
    <x v="1"/>
    <x v="86"/>
    <n v="49"/>
    <n v="122"/>
    <n v="73.489999999999995"/>
    <n v="5978"/>
    <n v="3601.01"/>
    <n v="2376.9899999999998"/>
    <n v="2"/>
  </r>
  <r>
    <x v="178"/>
    <n v="10310"/>
    <n v="259"/>
    <x v="65"/>
    <x v="1"/>
    <x v="6"/>
    <x v="87"/>
    <n v="42"/>
    <n v="59.06"/>
    <n v="32.950000000000003"/>
    <n v="2480.52"/>
    <n v="1383.9"/>
    <n v="1096.6199999999999"/>
    <n v="2"/>
  </r>
  <r>
    <x v="178"/>
    <n v="10310"/>
    <n v="259"/>
    <x v="65"/>
    <x v="1"/>
    <x v="1"/>
    <x v="88"/>
    <n v="40"/>
    <n v="133.91999999999999"/>
    <n v="69.930000000000007"/>
    <n v="5356.8"/>
    <n v="2797.2"/>
    <n v="2559.6"/>
    <n v="2"/>
  </r>
  <r>
    <x v="178"/>
    <n v="10310"/>
    <n v="259"/>
    <x v="65"/>
    <x v="1"/>
    <x v="1"/>
    <x v="100"/>
    <n v="33"/>
    <n v="33.229999999999997"/>
    <n v="16.239999999999998"/>
    <n v="1096.5899999999999"/>
    <n v="535.91999999999996"/>
    <n v="560.66999999999996"/>
    <n v="2"/>
  </r>
  <r>
    <x v="178"/>
    <n v="10310"/>
    <n v="259"/>
    <x v="65"/>
    <x v="1"/>
    <x v="1"/>
    <x v="90"/>
    <n v="38"/>
    <n v="50.21"/>
    <n v="38.58"/>
    <n v="1907.98"/>
    <n v="1466.04"/>
    <n v="441.94"/>
    <n v="2"/>
  </r>
  <r>
    <x v="178"/>
    <n v="10310"/>
    <n v="259"/>
    <x v="65"/>
    <x v="1"/>
    <x v="1"/>
    <x v="91"/>
    <n v="45"/>
    <n v="139.03"/>
    <n v="98.3"/>
    <n v="6256.35"/>
    <n v="4423.5"/>
    <n v="1832.85"/>
    <n v="2"/>
  </r>
  <r>
    <x v="178"/>
    <n v="10310"/>
    <n v="259"/>
    <x v="65"/>
    <x v="1"/>
    <x v="1"/>
    <x v="92"/>
    <n v="49"/>
    <n v="75.180000000000007"/>
    <n v="32.33"/>
    <n v="3683.82"/>
    <n v="1584.17"/>
    <n v="2099.65"/>
    <n v="2"/>
  </r>
  <r>
    <x v="178"/>
    <n v="10310"/>
    <n v="259"/>
    <x v="65"/>
    <x v="1"/>
    <x v="6"/>
    <x v="93"/>
    <n v="36"/>
    <n v="38.619999999999997"/>
    <n v="24.14"/>
    <n v="1390.32"/>
    <n v="869.04"/>
    <n v="521.28"/>
    <n v="2"/>
  </r>
  <r>
    <x v="179"/>
    <n v="10312"/>
    <n v="124"/>
    <x v="13"/>
    <x v="0"/>
    <x v="1"/>
    <x v="10"/>
    <n v="48"/>
    <n v="214.3"/>
    <n v="98.58"/>
    <n v="10286.4"/>
    <n v="4731.84"/>
    <n v="5554.56"/>
    <n v="8"/>
  </r>
  <r>
    <x v="179"/>
    <n v="10312"/>
    <n v="124"/>
    <x v="13"/>
    <x v="0"/>
    <x v="2"/>
    <x v="13"/>
    <n v="32"/>
    <n v="101.5"/>
    <n v="58.33"/>
    <n v="3248"/>
    <n v="1866.56"/>
    <n v="1381.44"/>
    <n v="8"/>
  </r>
  <r>
    <x v="179"/>
    <n v="10312"/>
    <n v="124"/>
    <x v="13"/>
    <x v="0"/>
    <x v="0"/>
    <x v="8"/>
    <n v="43"/>
    <n v="102.74"/>
    <n v="60.62"/>
    <n v="4417.82"/>
    <n v="2606.66"/>
    <n v="1811.16"/>
    <n v="8"/>
  </r>
  <r>
    <x v="179"/>
    <n v="10312"/>
    <n v="124"/>
    <x v="13"/>
    <x v="0"/>
    <x v="0"/>
    <x v="9"/>
    <n v="25"/>
    <n v="43.67"/>
    <n v="24.26"/>
    <n v="1091.75"/>
    <n v="606.5"/>
    <n v="485.25"/>
    <n v="8"/>
  </r>
  <r>
    <x v="179"/>
    <n v="10312"/>
    <n v="124"/>
    <x v="13"/>
    <x v="0"/>
    <x v="0"/>
    <x v="0"/>
    <n v="48"/>
    <n v="146.19999999999999"/>
    <n v="86.7"/>
    <n v="7017.6"/>
    <n v="4161.6000000000004"/>
    <n v="2856"/>
    <n v="8"/>
  </r>
  <r>
    <x v="179"/>
    <n v="10312"/>
    <n v="124"/>
    <x v="13"/>
    <x v="0"/>
    <x v="0"/>
    <x v="1"/>
    <n v="30"/>
    <n v="48.43"/>
    <n v="33.299999999999997"/>
    <n v="1452.9"/>
    <n v="999"/>
    <n v="453.9"/>
    <n v="8"/>
  </r>
  <r>
    <x v="179"/>
    <n v="10312"/>
    <n v="124"/>
    <x v="13"/>
    <x v="0"/>
    <x v="0"/>
    <x v="4"/>
    <n v="31"/>
    <n v="111.87"/>
    <n v="58.48"/>
    <n v="3467.97"/>
    <n v="1812.88"/>
    <n v="1655.09"/>
    <n v="8"/>
  </r>
  <r>
    <x v="179"/>
    <n v="10312"/>
    <n v="124"/>
    <x v="13"/>
    <x v="0"/>
    <x v="0"/>
    <x v="5"/>
    <n v="25"/>
    <n v="150.19"/>
    <n v="72.56"/>
    <n v="3754.75"/>
    <n v="1814"/>
    <n v="1940.75"/>
    <n v="8"/>
  </r>
  <r>
    <x v="179"/>
    <n v="10312"/>
    <n v="124"/>
    <x v="13"/>
    <x v="0"/>
    <x v="0"/>
    <x v="15"/>
    <n v="37"/>
    <n v="91.18"/>
    <n v="60.78"/>
    <n v="3373.66"/>
    <n v="2248.86"/>
    <n v="1124.8"/>
    <n v="8"/>
  </r>
  <r>
    <x v="179"/>
    <n v="10312"/>
    <n v="124"/>
    <x v="13"/>
    <x v="0"/>
    <x v="0"/>
    <x v="16"/>
    <n v="35"/>
    <n v="54.34"/>
    <n v="34.35"/>
    <n v="1901.9"/>
    <n v="1202.25"/>
    <n v="699.65"/>
    <n v="8"/>
  </r>
  <r>
    <x v="179"/>
    <n v="10312"/>
    <n v="124"/>
    <x v="13"/>
    <x v="0"/>
    <x v="0"/>
    <x v="17"/>
    <n v="38"/>
    <n v="93.2"/>
    <n v="60.74"/>
    <n v="3541.6"/>
    <n v="2308.12"/>
    <n v="1233.48"/>
    <n v="8"/>
  </r>
  <r>
    <x v="179"/>
    <n v="10312"/>
    <n v="124"/>
    <x v="13"/>
    <x v="0"/>
    <x v="0"/>
    <x v="18"/>
    <n v="33"/>
    <n v="84.33"/>
    <n v="57.54"/>
    <n v="2782.89"/>
    <n v="1898.82"/>
    <n v="884.07"/>
    <n v="8"/>
  </r>
  <r>
    <x v="179"/>
    <n v="10312"/>
    <n v="124"/>
    <x v="13"/>
    <x v="0"/>
    <x v="0"/>
    <x v="20"/>
    <n v="39"/>
    <n v="44.27"/>
    <n v="23.14"/>
    <n v="1726.53"/>
    <n v="902.46"/>
    <n v="824.07"/>
    <n v="8"/>
  </r>
  <r>
    <x v="179"/>
    <n v="10312"/>
    <n v="124"/>
    <x v="13"/>
    <x v="0"/>
    <x v="0"/>
    <x v="6"/>
    <n v="39"/>
    <n v="27.88"/>
    <n v="22.57"/>
    <n v="1087.32"/>
    <n v="880.23"/>
    <n v="207.09"/>
    <n v="8"/>
  </r>
  <r>
    <x v="179"/>
    <n v="10312"/>
    <n v="124"/>
    <x v="13"/>
    <x v="0"/>
    <x v="0"/>
    <x v="7"/>
    <n v="23"/>
    <n v="43.46"/>
    <n v="20.61"/>
    <n v="999.58"/>
    <n v="474.03"/>
    <n v="525.54999999999995"/>
    <n v="8"/>
  </r>
  <r>
    <x v="179"/>
    <n v="10312"/>
    <n v="124"/>
    <x v="13"/>
    <x v="0"/>
    <x v="0"/>
    <x v="3"/>
    <n v="31"/>
    <n v="40.21"/>
    <n v="21.75"/>
    <n v="1246.51"/>
    <n v="674.25"/>
    <n v="572.26"/>
    <n v="8"/>
  </r>
  <r>
    <x v="179"/>
    <n v="10312"/>
    <n v="124"/>
    <x v="13"/>
    <x v="0"/>
    <x v="0"/>
    <x v="22"/>
    <n v="44"/>
    <n v="96.42"/>
    <n v="57.46"/>
    <n v="4242.4799999999996"/>
    <n v="2528.2399999999998"/>
    <n v="1714.24"/>
    <n v="8"/>
  </r>
  <r>
    <x v="180"/>
    <n v="10313"/>
    <n v="202"/>
    <x v="72"/>
    <x v="16"/>
    <x v="1"/>
    <x v="11"/>
    <n v="40"/>
    <n v="141.83000000000001"/>
    <n v="103.42"/>
    <n v="5673.2"/>
    <n v="4136.8"/>
    <n v="1536.4"/>
    <n v="2"/>
  </r>
  <r>
    <x v="180"/>
    <n v="10313"/>
    <n v="202"/>
    <x v="72"/>
    <x v="16"/>
    <x v="2"/>
    <x v="12"/>
    <n v="21"/>
    <n v="131.19999999999999"/>
    <n v="77.900000000000006"/>
    <n v="2755.2"/>
    <n v="1635.9"/>
    <n v="1119.3"/>
    <n v="2"/>
  </r>
  <r>
    <x v="180"/>
    <n v="10313"/>
    <n v="202"/>
    <x v="72"/>
    <x v="16"/>
    <x v="2"/>
    <x v="29"/>
    <n v="29"/>
    <n v="109.23"/>
    <n v="74.86"/>
    <n v="3167.67"/>
    <n v="2170.94"/>
    <n v="996.73"/>
    <n v="2"/>
  </r>
  <r>
    <x v="180"/>
    <n v="10313"/>
    <n v="202"/>
    <x v="72"/>
    <x v="16"/>
    <x v="2"/>
    <x v="14"/>
    <n v="34"/>
    <n v="52.87"/>
    <n v="24.92"/>
    <n v="1797.58"/>
    <n v="847.28"/>
    <n v="950.3"/>
    <n v="2"/>
  </r>
  <r>
    <x v="180"/>
    <n v="10313"/>
    <n v="202"/>
    <x v="72"/>
    <x v="16"/>
    <x v="1"/>
    <x v="30"/>
    <n v="25"/>
    <n v="143.94"/>
    <n v="77.900000000000006"/>
    <n v="3598.5"/>
    <n v="1947.5"/>
    <n v="1651"/>
    <n v="2"/>
  </r>
  <r>
    <x v="180"/>
    <n v="10313"/>
    <n v="202"/>
    <x v="72"/>
    <x v="16"/>
    <x v="2"/>
    <x v="19"/>
    <n v="28"/>
    <n v="110.18"/>
    <n v="84.76"/>
    <n v="3085.04"/>
    <n v="2373.2800000000002"/>
    <n v="711.76"/>
    <n v="2"/>
  </r>
  <r>
    <x v="180"/>
    <n v="10313"/>
    <n v="202"/>
    <x v="72"/>
    <x v="16"/>
    <x v="2"/>
    <x v="21"/>
    <n v="42"/>
    <n v="102.23"/>
    <n v="61.34"/>
    <n v="4293.66"/>
    <n v="2576.2800000000002"/>
    <n v="1717.38"/>
    <n v="2"/>
  </r>
  <r>
    <x v="180"/>
    <n v="10313"/>
    <n v="202"/>
    <x v="72"/>
    <x v="16"/>
    <x v="2"/>
    <x v="23"/>
    <n v="27"/>
    <n v="96.31"/>
    <n v="53.93"/>
    <n v="2600.37"/>
    <n v="1456.11"/>
    <n v="1144.26"/>
    <n v="2"/>
  </r>
  <r>
    <x v="180"/>
    <n v="10313"/>
    <n v="202"/>
    <x v="72"/>
    <x v="16"/>
    <x v="2"/>
    <x v="35"/>
    <n v="38"/>
    <n v="48.7"/>
    <n v="25.98"/>
    <n v="1850.6"/>
    <n v="987.24"/>
    <n v="863.36"/>
    <n v="2"/>
  </r>
  <r>
    <x v="180"/>
    <n v="10313"/>
    <n v="202"/>
    <x v="72"/>
    <x v="16"/>
    <x v="2"/>
    <x v="24"/>
    <n v="34"/>
    <n v="55.59"/>
    <n v="33.61"/>
    <n v="1890.06"/>
    <n v="1142.74"/>
    <n v="747.32"/>
    <n v="2"/>
  </r>
  <r>
    <x v="180"/>
    <n v="10313"/>
    <n v="202"/>
    <x v="72"/>
    <x v="16"/>
    <x v="1"/>
    <x v="25"/>
    <n v="30"/>
    <n v="96.09"/>
    <n v="46.53"/>
    <n v="2882.7"/>
    <n v="1395.9"/>
    <n v="1486.8"/>
    <n v="2"/>
  </r>
  <r>
    <x v="180"/>
    <n v="10314"/>
    <n v="227"/>
    <x v="51"/>
    <x v="4"/>
    <x v="1"/>
    <x v="40"/>
    <n v="38"/>
    <n v="176.63"/>
    <n v="95.59"/>
    <n v="6711.94"/>
    <n v="3632.42"/>
    <n v="3079.52"/>
    <n v="2"/>
  </r>
  <r>
    <x v="180"/>
    <n v="10314"/>
    <n v="227"/>
    <x v="51"/>
    <x v="4"/>
    <x v="1"/>
    <x v="26"/>
    <n v="46"/>
    <n v="125.4"/>
    <n v="89.14"/>
    <n v="5768.4"/>
    <n v="4100.4399999999996"/>
    <n v="1667.96"/>
    <n v="2"/>
  </r>
  <r>
    <x v="180"/>
    <n v="10314"/>
    <n v="227"/>
    <x v="51"/>
    <x v="4"/>
    <x v="1"/>
    <x v="41"/>
    <n v="36"/>
    <n v="169.56"/>
    <n v="83.05"/>
    <n v="6104.16"/>
    <n v="2989.8"/>
    <n v="3114.36"/>
    <n v="2"/>
  </r>
  <r>
    <x v="180"/>
    <n v="10314"/>
    <n v="227"/>
    <x v="51"/>
    <x v="4"/>
    <x v="2"/>
    <x v="27"/>
    <n v="45"/>
    <n v="95.99"/>
    <n v="55.7"/>
    <n v="4319.55"/>
    <n v="2506.5"/>
    <n v="1813.05"/>
    <n v="2"/>
  </r>
  <r>
    <x v="180"/>
    <n v="10314"/>
    <n v="227"/>
    <x v="51"/>
    <x v="4"/>
    <x v="1"/>
    <x v="28"/>
    <n v="42"/>
    <n v="135.9"/>
    <n v="101.51"/>
    <n v="5707.8"/>
    <n v="4263.42"/>
    <n v="1444.38"/>
    <n v="2"/>
  </r>
  <r>
    <x v="180"/>
    <n v="10314"/>
    <n v="227"/>
    <x v="51"/>
    <x v="4"/>
    <x v="0"/>
    <x v="42"/>
    <n v="20"/>
    <n v="129.76"/>
    <n v="68.3"/>
    <n v="2595.1999999999998"/>
    <n v="1366"/>
    <n v="1229.2"/>
    <n v="2"/>
  </r>
  <r>
    <x v="180"/>
    <n v="10314"/>
    <n v="227"/>
    <x v="51"/>
    <x v="4"/>
    <x v="3"/>
    <x v="43"/>
    <n v="23"/>
    <n v="84.71"/>
    <n v="67.56"/>
    <n v="1948.33"/>
    <n v="1553.88"/>
    <n v="394.45"/>
    <n v="2"/>
  </r>
  <r>
    <x v="180"/>
    <n v="10314"/>
    <n v="227"/>
    <x v="51"/>
    <x v="4"/>
    <x v="1"/>
    <x v="31"/>
    <n v="29"/>
    <n v="129.26"/>
    <n v="91.92"/>
    <n v="3748.54"/>
    <n v="2665.68"/>
    <n v="1082.8599999999999"/>
    <n v="2"/>
  </r>
  <r>
    <x v="180"/>
    <n v="10314"/>
    <n v="227"/>
    <x v="51"/>
    <x v="4"/>
    <x v="1"/>
    <x v="32"/>
    <n v="44"/>
    <n v="51.44"/>
    <n v="32.369999999999997"/>
    <n v="2263.36"/>
    <n v="1424.28"/>
    <n v="839.08"/>
    <n v="2"/>
  </r>
  <r>
    <x v="180"/>
    <n v="10314"/>
    <n v="227"/>
    <x v="51"/>
    <x v="4"/>
    <x v="1"/>
    <x v="33"/>
    <n v="39"/>
    <n v="31.82"/>
    <n v="15.91"/>
    <n v="1240.98"/>
    <n v="620.49"/>
    <n v="620.49"/>
    <n v="2"/>
  </r>
  <r>
    <x v="180"/>
    <n v="10314"/>
    <n v="227"/>
    <x v="51"/>
    <x v="4"/>
    <x v="1"/>
    <x v="34"/>
    <n v="38"/>
    <n v="111.18"/>
    <n v="69.78"/>
    <n v="4224.84"/>
    <n v="2651.64"/>
    <n v="1573.2"/>
    <n v="2"/>
  </r>
  <r>
    <x v="180"/>
    <n v="10314"/>
    <n v="227"/>
    <x v="51"/>
    <x v="4"/>
    <x v="3"/>
    <x v="36"/>
    <n v="35"/>
    <n v="58.41"/>
    <n v="26.72"/>
    <n v="2044.35"/>
    <n v="935.2"/>
    <n v="1109.1500000000001"/>
    <n v="2"/>
  </r>
  <r>
    <x v="180"/>
    <n v="10314"/>
    <n v="227"/>
    <x v="51"/>
    <x v="4"/>
    <x v="2"/>
    <x v="37"/>
    <n v="28"/>
    <n v="115.75"/>
    <n v="68.290000000000006"/>
    <n v="3241"/>
    <n v="1912.12"/>
    <n v="1328.88"/>
    <n v="2"/>
  </r>
  <r>
    <x v="180"/>
    <n v="10314"/>
    <n v="227"/>
    <x v="51"/>
    <x v="4"/>
    <x v="3"/>
    <x v="38"/>
    <n v="38"/>
    <n v="50.38"/>
    <n v="37.49"/>
    <n v="1914.44"/>
    <n v="1424.62"/>
    <n v="489.82"/>
    <n v="2"/>
  </r>
  <r>
    <x v="180"/>
    <n v="10314"/>
    <n v="227"/>
    <x v="51"/>
    <x v="4"/>
    <x v="4"/>
    <x v="49"/>
    <n v="23"/>
    <n v="83.15"/>
    <n v="43.3"/>
    <n v="1912.45"/>
    <n v="995.9"/>
    <n v="916.55"/>
    <n v="2"/>
  </r>
  <r>
    <x v="181"/>
    <n v="10315"/>
    <n v="119"/>
    <x v="93"/>
    <x v="9"/>
    <x v="0"/>
    <x v="44"/>
    <n v="36"/>
    <n v="78.12"/>
    <n v="52.66"/>
    <n v="2812.32"/>
    <n v="1895.76"/>
    <n v="916.56"/>
    <n v="2"/>
  </r>
  <r>
    <x v="181"/>
    <n v="10315"/>
    <n v="119"/>
    <x v="93"/>
    <x v="9"/>
    <x v="4"/>
    <x v="45"/>
    <n v="35"/>
    <n v="111.83"/>
    <n v="82.34"/>
    <n v="3914.05"/>
    <n v="2881.9"/>
    <n v="1032.1500000000001"/>
    <n v="2"/>
  </r>
  <r>
    <x v="181"/>
    <n v="10315"/>
    <n v="119"/>
    <x v="93"/>
    <x v="9"/>
    <x v="0"/>
    <x v="46"/>
    <n v="24"/>
    <n v="78.77"/>
    <n v="46.91"/>
    <n v="1890.48"/>
    <n v="1125.8399999999999"/>
    <n v="764.64"/>
    <n v="2"/>
  </r>
  <r>
    <x v="181"/>
    <n v="10315"/>
    <n v="119"/>
    <x v="93"/>
    <x v="9"/>
    <x v="4"/>
    <x v="48"/>
    <n v="41"/>
    <n v="60.67"/>
    <n v="34"/>
    <n v="2487.4699999999998"/>
    <n v="1394"/>
    <n v="1093.47"/>
    <n v="2"/>
  </r>
  <r>
    <x v="181"/>
    <n v="10315"/>
    <n v="119"/>
    <x v="93"/>
    <x v="9"/>
    <x v="4"/>
    <x v="51"/>
    <n v="31"/>
    <n v="99.17"/>
    <n v="51.09"/>
    <n v="3074.27"/>
    <n v="1583.79"/>
    <n v="1490.48"/>
    <n v="2"/>
  </r>
  <r>
    <x v="181"/>
    <n v="10315"/>
    <n v="119"/>
    <x v="93"/>
    <x v="9"/>
    <x v="4"/>
    <x v="52"/>
    <n v="37"/>
    <n v="88.39"/>
    <n v="53.63"/>
    <n v="3270.43"/>
    <n v="1984.31"/>
    <n v="1286.1199999999999"/>
    <n v="2"/>
  </r>
  <r>
    <x v="181"/>
    <n v="10315"/>
    <n v="119"/>
    <x v="93"/>
    <x v="9"/>
    <x v="4"/>
    <x v="53"/>
    <n v="40"/>
    <n v="51.32"/>
    <n v="33.299999999999997"/>
    <n v="2052.8000000000002"/>
    <n v="1332"/>
    <n v="720.8"/>
    <n v="2"/>
  </r>
  <r>
    <x v="182"/>
    <n v="10316"/>
    <n v="240"/>
    <x v="83"/>
    <x v="7"/>
    <x v="1"/>
    <x v="39"/>
    <n v="33"/>
    <n v="126.48"/>
    <n v="85.68"/>
    <n v="4173.84"/>
    <n v="2827.44"/>
    <n v="1346.4"/>
    <n v="2"/>
  </r>
  <r>
    <x v="182"/>
    <n v="10316"/>
    <n v="240"/>
    <x v="83"/>
    <x v="7"/>
    <x v="5"/>
    <x v="54"/>
    <n v="27"/>
    <n v="140.34"/>
    <n v="77.27"/>
    <n v="3789.18"/>
    <n v="2086.29"/>
    <n v="1702.89"/>
    <n v="2"/>
  </r>
  <r>
    <x v="182"/>
    <n v="10316"/>
    <n v="240"/>
    <x v="83"/>
    <x v="7"/>
    <x v="4"/>
    <x v="56"/>
    <n v="21"/>
    <n v="72.260000000000005"/>
    <n v="51.61"/>
    <n v="1517.46"/>
    <n v="1083.81"/>
    <n v="433.65"/>
    <n v="2"/>
  </r>
  <r>
    <x v="182"/>
    <n v="10316"/>
    <n v="240"/>
    <x v="83"/>
    <x v="7"/>
    <x v="0"/>
    <x v="57"/>
    <n v="47"/>
    <n v="89.99"/>
    <n v="64.58"/>
    <n v="4229.53"/>
    <n v="3035.26"/>
    <n v="1194.27"/>
    <n v="2"/>
  </r>
  <r>
    <x v="182"/>
    <n v="10316"/>
    <n v="240"/>
    <x v="83"/>
    <x v="7"/>
    <x v="5"/>
    <x v="58"/>
    <n v="25"/>
    <n v="93.01"/>
    <n v="66.739999999999995"/>
    <n v="2325.25"/>
    <n v="1668.5"/>
    <n v="656.75"/>
    <n v="2"/>
  </r>
  <r>
    <x v="182"/>
    <n v="10316"/>
    <n v="240"/>
    <x v="83"/>
    <x v="7"/>
    <x v="5"/>
    <x v="59"/>
    <n v="34"/>
    <n v="67.14"/>
    <n v="34.25"/>
    <n v="2282.7600000000002"/>
    <n v="1164.5"/>
    <n v="1118.26"/>
    <n v="2"/>
  </r>
  <r>
    <x v="182"/>
    <n v="10316"/>
    <n v="240"/>
    <x v="83"/>
    <x v="7"/>
    <x v="0"/>
    <x v="60"/>
    <n v="47"/>
    <n v="55.23"/>
    <n v="26.3"/>
    <n v="2595.81"/>
    <n v="1236.0999999999999"/>
    <n v="1359.71"/>
    <n v="2"/>
  </r>
  <r>
    <x v="182"/>
    <n v="10316"/>
    <n v="240"/>
    <x v="83"/>
    <x v="7"/>
    <x v="0"/>
    <x v="47"/>
    <n v="25"/>
    <n v="77.150000000000006"/>
    <n v="48.64"/>
    <n v="1928.75"/>
    <n v="1216"/>
    <n v="712.75"/>
    <n v="2"/>
  </r>
  <r>
    <x v="182"/>
    <n v="10316"/>
    <n v="240"/>
    <x v="83"/>
    <x v="7"/>
    <x v="5"/>
    <x v="61"/>
    <n v="30"/>
    <n v="67.56"/>
    <n v="29.34"/>
    <n v="2026.8"/>
    <n v="880.2"/>
    <n v="1146.5999999999999"/>
    <n v="2"/>
  </r>
  <r>
    <x v="182"/>
    <n v="10316"/>
    <n v="240"/>
    <x v="83"/>
    <x v="7"/>
    <x v="0"/>
    <x v="63"/>
    <n v="24"/>
    <n v="59.16"/>
    <n v="33.020000000000003"/>
    <n v="1419.84"/>
    <n v="792.48"/>
    <n v="627.36"/>
    <n v="2"/>
  </r>
  <r>
    <x v="182"/>
    <n v="10316"/>
    <n v="240"/>
    <x v="83"/>
    <x v="7"/>
    <x v="0"/>
    <x v="64"/>
    <n v="34"/>
    <n v="36.659999999999997"/>
    <n v="27.06"/>
    <n v="1246.44"/>
    <n v="920.04"/>
    <n v="326.39999999999998"/>
    <n v="2"/>
  </r>
  <r>
    <x v="182"/>
    <n v="10316"/>
    <n v="240"/>
    <x v="83"/>
    <x v="7"/>
    <x v="5"/>
    <x v="65"/>
    <n v="34"/>
    <n v="74.900000000000006"/>
    <n v="51.15"/>
    <n v="2546.6"/>
    <n v="1739.1"/>
    <n v="807.5"/>
    <n v="2"/>
  </r>
  <r>
    <x v="182"/>
    <n v="10316"/>
    <n v="240"/>
    <x v="83"/>
    <x v="7"/>
    <x v="4"/>
    <x v="66"/>
    <n v="45"/>
    <n v="73.319999999999993"/>
    <n v="39.83"/>
    <n v="3299.4"/>
    <n v="1792.35"/>
    <n v="1507.05"/>
    <n v="2"/>
  </r>
  <r>
    <x v="182"/>
    <n v="10316"/>
    <n v="240"/>
    <x v="83"/>
    <x v="7"/>
    <x v="5"/>
    <x v="67"/>
    <n v="23"/>
    <n v="85.76"/>
    <n v="68.8"/>
    <n v="1972.48"/>
    <n v="1582.4"/>
    <n v="390.08"/>
    <n v="2"/>
  </r>
  <r>
    <x v="182"/>
    <n v="10316"/>
    <n v="240"/>
    <x v="83"/>
    <x v="7"/>
    <x v="4"/>
    <x v="50"/>
    <n v="48"/>
    <n v="67.22"/>
    <n v="33.97"/>
    <n v="3226.56"/>
    <n v="1630.56"/>
    <n v="1596"/>
    <n v="2"/>
  </r>
  <r>
    <x v="182"/>
    <n v="10316"/>
    <n v="240"/>
    <x v="83"/>
    <x v="7"/>
    <x v="5"/>
    <x v="69"/>
    <n v="48"/>
    <n v="77.599999999999994"/>
    <n v="54.4"/>
    <n v="3724.8"/>
    <n v="2611.1999999999998"/>
    <n v="1113.5999999999999"/>
    <n v="2"/>
  </r>
  <r>
    <x v="182"/>
    <n v="10316"/>
    <n v="240"/>
    <x v="83"/>
    <x v="7"/>
    <x v="5"/>
    <x v="70"/>
    <n v="44"/>
    <n v="68.11"/>
    <n v="36.270000000000003"/>
    <n v="2996.84"/>
    <n v="1595.88"/>
    <n v="1400.96"/>
    <n v="2"/>
  </r>
  <r>
    <x v="182"/>
    <n v="10316"/>
    <n v="240"/>
    <x v="83"/>
    <x v="7"/>
    <x v="5"/>
    <x v="71"/>
    <n v="34"/>
    <n v="43.7"/>
    <n v="32.770000000000003"/>
    <n v="1485.8"/>
    <n v="1114.18"/>
    <n v="371.62"/>
    <n v="2"/>
  </r>
  <r>
    <x v="182"/>
    <n v="10348"/>
    <n v="458"/>
    <x v="25"/>
    <x v="3"/>
    <x v="1"/>
    <x v="40"/>
    <n v="48"/>
    <n v="207.8"/>
    <n v="95.59"/>
    <n v="9974.4"/>
    <n v="4588.32"/>
    <n v="5386.08"/>
    <n v="3"/>
  </r>
  <r>
    <x v="182"/>
    <n v="10348"/>
    <n v="458"/>
    <x v="25"/>
    <x v="3"/>
    <x v="1"/>
    <x v="26"/>
    <n v="47"/>
    <n v="122.37"/>
    <n v="89.14"/>
    <n v="5751.39"/>
    <n v="4189.58"/>
    <n v="1561.81"/>
    <n v="3"/>
  </r>
  <r>
    <x v="182"/>
    <n v="10348"/>
    <n v="458"/>
    <x v="25"/>
    <x v="3"/>
    <x v="0"/>
    <x v="20"/>
    <n v="29"/>
    <n v="43.77"/>
    <n v="23.14"/>
    <n v="1269.33"/>
    <n v="671.06"/>
    <n v="598.27"/>
    <n v="3"/>
  </r>
  <r>
    <x v="182"/>
    <n v="10348"/>
    <n v="458"/>
    <x v="25"/>
    <x v="3"/>
    <x v="2"/>
    <x v="21"/>
    <n v="37"/>
    <n v="107.34"/>
    <n v="61.34"/>
    <n v="3971.58"/>
    <n v="2269.58"/>
    <n v="1702"/>
    <n v="3"/>
  </r>
  <r>
    <x v="182"/>
    <n v="10348"/>
    <n v="458"/>
    <x v="25"/>
    <x v="3"/>
    <x v="0"/>
    <x v="22"/>
    <n v="39"/>
    <n v="82.78"/>
    <n v="57.46"/>
    <n v="3228.42"/>
    <n v="2240.94"/>
    <n v="987.48"/>
    <n v="3"/>
  </r>
  <r>
    <x v="182"/>
    <n v="10348"/>
    <n v="458"/>
    <x v="25"/>
    <x v="3"/>
    <x v="2"/>
    <x v="23"/>
    <n v="42"/>
    <n v="90.53"/>
    <n v="53.93"/>
    <n v="3802.26"/>
    <n v="2265.06"/>
    <n v="1537.2"/>
    <n v="3"/>
  </r>
  <r>
    <x v="182"/>
    <n v="10348"/>
    <n v="458"/>
    <x v="25"/>
    <x v="3"/>
    <x v="2"/>
    <x v="24"/>
    <n v="31"/>
    <n v="62.7"/>
    <n v="33.61"/>
    <n v="1943.7"/>
    <n v="1041.9100000000001"/>
    <n v="901.79"/>
    <n v="3"/>
  </r>
  <r>
    <x v="182"/>
    <n v="10348"/>
    <n v="458"/>
    <x v="25"/>
    <x v="3"/>
    <x v="1"/>
    <x v="25"/>
    <n v="32"/>
    <n v="100.14"/>
    <n v="46.53"/>
    <n v="3204.48"/>
    <n v="1488.96"/>
    <n v="1715.52"/>
    <n v="3"/>
  </r>
  <r>
    <x v="183"/>
    <n v="10318"/>
    <n v="157"/>
    <x v="92"/>
    <x v="0"/>
    <x v="6"/>
    <x v="72"/>
    <n v="46"/>
    <n v="84.22"/>
    <n v="48.81"/>
    <n v="3874.12"/>
    <n v="2245.2600000000002"/>
    <n v="1628.86"/>
    <n v="3"/>
  </r>
  <r>
    <x v="183"/>
    <n v="10318"/>
    <n v="157"/>
    <x v="92"/>
    <x v="0"/>
    <x v="6"/>
    <x v="73"/>
    <n v="45"/>
    <n v="102.29"/>
    <n v="68.989999999999995"/>
    <n v="4603.05"/>
    <n v="3104.55"/>
    <n v="1498.5"/>
    <n v="3"/>
  </r>
  <r>
    <x v="183"/>
    <n v="10318"/>
    <n v="157"/>
    <x v="92"/>
    <x v="0"/>
    <x v="6"/>
    <x v="74"/>
    <n v="37"/>
    <n v="189.79"/>
    <n v="91.02"/>
    <n v="7022.23"/>
    <n v="3367.74"/>
    <n v="3654.49"/>
    <n v="3"/>
  </r>
  <r>
    <x v="183"/>
    <n v="10318"/>
    <n v="157"/>
    <x v="92"/>
    <x v="0"/>
    <x v="5"/>
    <x v="55"/>
    <n v="31"/>
    <n v="81.95"/>
    <n v="49"/>
    <n v="2540.4499999999998"/>
    <n v="1519"/>
    <n v="1021.45"/>
    <n v="3"/>
  </r>
  <r>
    <x v="183"/>
    <n v="10318"/>
    <n v="157"/>
    <x v="92"/>
    <x v="0"/>
    <x v="6"/>
    <x v="76"/>
    <n v="42"/>
    <n v="49.67"/>
    <n v="24.23"/>
    <n v="2086.14"/>
    <n v="1017.66"/>
    <n v="1068.48"/>
    <n v="3"/>
  </r>
  <r>
    <x v="183"/>
    <n v="10318"/>
    <n v="157"/>
    <x v="92"/>
    <x v="0"/>
    <x v="6"/>
    <x v="77"/>
    <n v="48"/>
    <n v="93.54"/>
    <n v="60.86"/>
    <n v="4489.92"/>
    <n v="2921.28"/>
    <n v="1568.64"/>
    <n v="3"/>
  </r>
  <r>
    <x v="183"/>
    <n v="10318"/>
    <n v="157"/>
    <x v="92"/>
    <x v="0"/>
    <x v="6"/>
    <x v="78"/>
    <n v="26"/>
    <n v="60.94"/>
    <n v="37.32"/>
    <n v="1584.44"/>
    <n v="970.32"/>
    <n v="614.12"/>
    <n v="3"/>
  </r>
  <r>
    <x v="183"/>
    <n v="10318"/>
    <n v="157"/>
    <x v="92"/>
    <x v="0"/>
    <x v="6"/>
    <x v="79"/>
    <n v="47"/>
    <n v="81.91"/>
    <n v="66.92"/>
    <n v="3849.77"/>
    <n v="3145.24"/>
    <n v="704.53"/>
    <n v="3"/>
  </r>
  <r>
    <x v="183"/>
    <n v="10318"/>
    <n v="157"/>
    <x v="92"/>
    <x v="0"/>
    <x v="5"/>
    <x v="68"/>
    <n v="50"/>
    <n v="102.04"/>
    <n v="59.33"/>
    <n v="5102"/>
    <n v="2966.5"/>
    <n v="2135.5"/>
    <n v="3"/>
  </r>
  <r>
    <x v="183"/>
    <n v="10317"/>
    <n v="161"/>
    <x v="35"/>
    <x v="0"/>
    <x v="5"/>
    <x v="62"/>
    <n v="35"/>
    <n v="69.55"/>
    <n v="36.229999999999997"/>
    <n v="2434.25"/>
    <n v="1268.05"/>
    <n v="1166.2"/>
    <n v="3"/>
  </r>
  <r>
    <x v="184"/>
    <n v="10320"/>
    <n v="144"/>
    <x v="11"/>
    <x v="8"/>
    <x v="1"/>
    <x v="80"/>
    <n v="31"/>
    <n v="184.84"/>
    <n v="95.34"/>
    <n v="5730.04"/>
    <n v="2955.54"/>
    <n v="2774.5"/>
    <n v="2"/>
  </r>
  <r>
    <x v="184"/>
    <n v="10320"/>
    <n v="144"/>
    <x v="11"/>
    <x v="8"/>
    <x v="1"/>
    <x v="81"/>
    <n v="35"/>
    <n v="102.17"/>
    <n v="75.16"/>
    <n v="3575.95"/>
    <n v="2630.6"/>
    <n v="945.35"/>
    <n v="2"/>
  </r>
  <r>
    <x v="184"/>
    <n v="10320"/>
    <n v="144"/>
    <x v="11"/>
    <x v="8"/>
    <x v="1"/>
    <x v="82"/>
    <n v="38"/>
    <n v="63.84"/>
    <n v="31.92"/>
    <n v="2425.92"/>
    <n v="1212.96"/>
    <n v="1212.96"/>
    <n v="2"/>
  </r>
  <r>
    <x v="184"/>
    <n v="10320"/>
    <n v="144"/>
    <x v="11"/>
    <x v="8"/>
    <x v="1"/>
    <x v="86"/>
    <n v="25"/>
    <n v="139.63999999999999"/>
    <n v="73.489999999999995"/>
    <n v="3491"/>
    <n v="1837.25"/>
    <n v="1653.75"/>
    <n v="2"/>
  </r>
  <r>
    <x v="184"/>
    <n v="10320"/>
    <n v="144"/>
    <x v="11"/>
    <x v="8"/>
    <x v="1"/>
    <x v="90"/>
    <n v="26"/>
    <n v="60.62"/>
    <n v="38.58"/>
    <n v="1576.12"/>
    <n v="1003.08"/>
    <n v="573.04"/>
    <n v="2"/>
  </r>
  <r>
    <x v="184"/>
    <n v="10319"/>
    <n v="456"/>
    <x v="88"/>
    <x v="0"/>
    <x v="6"/>
    <x v="75"/>
    <n v="30"/>
    <n v="134.05000000000001"/>
    <n v="66.27"/>
    <n v="4021.5"/>
    <n v="1988.1"/>
    <n v="2033.4"/>
    <n v="2"/>
  </r>
  <r>
    <x v="184"/>
    <n v="10319"/>
    <n v="456"/>
    <x v="88"/>
    <x v="0"/>
    <x v="1"/>
    <x v="85"/>
    <n v="46"/>
    <n v="77.19"/>
    <n v="49.05"/>
    <n v="3550.74"/>
    <n v="2256.3000000000002"/>
    <n v="1294.44"/>
    <n v="2"/>
  </r>
  <r>
    <x v="184"/>
    <n v="10319"/>
    <n v="456"/>
    <x v="88"/>
    <x v="0"/>
    <x v="6"/>
    <x v="87"/>
    <n v="44"/>
    <n v="54.71"/>
    <n v="32.950000000000003"/>
    <n v="2407.2399999999998"/>
    <n v="1449.8"/>
    <n v="957.44"/>
    <n v="2"/>
  </r>
  <r>
    <x v="184"/>
    <n v="10319"/>
    <n v="456"/>
    <x v="88"/>
    <x v="0"/>
    <x v="1"/>
    <x v="88"/>
    <n v="45"/>
    <n v="120.53"/>
    <n v="69.930000000000007"/>
    <n v="5423.85"/>
    <n v="3146.85"/>
    <n v="2277"/>
    <n v="2"/>
  </r>
  <r>
    <x v="184"/>
    <n v="10319"/>
    <n v="456"/>
    <x v="88"/>
    <x v="0"/>
    <x v="6"/>
    <x v="89"/>
    <n v="31"/>
    <n v="65.8"/>
    <n v="47.1"/>
    <n v="2039.8"/>
    <n v="1460.1"/>
    <n v="579.70000000000005"/>
    <n v="2"/>
  </r>
  <r>
    <x v="184"/>
    <n v="10319"/>
    <n v="456"/>
    <x v="88"/>
    <x v="0"/>
    <x v="1"/>
    <x v="92"/>
    <n v="43"/>
    <n v="78.41"/>
    <n v="32.33"/>
    <n v="3371.63"/>
    <n v="1390.19"/>
    <n v="1981.44"/>
    <n v="2"/>
  </r>
  <r>
    <x v="184"/>
    <n v="10319"/>
    <n v="456"/>
    <x v="88"/>
    <x v="0"/>
    <x v="6"/>
    <x v="93"/>
    <n v="29"/>
    <n v="35"/>
    <n v="24.14"/>
    <n v="1015"/>
    <n v="700.06"/>
    <n v="314.94"/>
    <n v="2"/>
  </r>
  <r>
    <x v="184"/>
    <n v="10319"/>
    <n v="456"/>
    <x v="88"/>
    <x v="0"/>
    <x v="6"/>
    <x v="94"/>
    <n v="22"/>
    <n v="96.95"/>
    <n v="56.13"/>
    <n v="2132.9"/>
    <n v="1234.8599999999999"/>
    <n v="898.04"/>
    <n v="2"/>
  </r>
  <r>
    <x v="184"/>
    <n v="10319"/>
    <n v="456"/>
    <x v="88"/>
    <x v="0"/>
    <x v="6"/>
    <x v="95"/>
    <n v="45"/>
    <n v="79.73"/>
    <n v="34.17"/>
    <n v="3587.85"/>
    <n v="1537.65"/>
    <n v="2050.1999999999998"/>
    <n v="2"/>
  </r>
  <r>
    <x v="185"/>
    <n v="10322"/>
    <n v="363"/>
    <x v="0"/>
    <x v="0"/>
    <x v="1"/>
    <x v="10"/>
    <n v="40"/>
    <n v="180.01"/>
    <n v="98.58"/>
    <n v="7200.4"/>
    <n v="3943.2"/>
    <n v="3257.2"/>
    <n v="3"/>
  </r>
  <r>
    <x v="185"/>
    <n v="10322"/>
    <n v="363"/>
    <x v="0"/>
    <x v="0"/>
    <x v="1"/>
    <x v="11"/>
    <n v="46"/>
    <n v="141.83000000000001"/>
    <n v="103.42"/>
    <n v="6524.18"/>
    <n v="4757.32"/>
    <n v="1766.86"/>
    <n v="3"/>
  </r>
  <r>
    <x v="185"/>
    <n v="10322"/>
    <n v="363"/>
    <x v="0"/>
    <x v="0"/>
    <x v="2"/>
    <x v="12"/>
    <n v="27"/>
    <n v="136.66999999999999"/>
    <n v="77.900000000000006"/>
    <n v="3690.09"/>
    <n v="2103.3000000000002"/>
    <n v="1586.79"/>
    <n v="3"/>
  </r>
  <r>
    <x v="185"/>
    <n v="10322"/>
    <n v="363"/>
    <x v="0"/>
    <x v="0"/>
    <x v="2"/>
    <x v="13"/>
    <n v="22"/>
    <n v="101.5"/>
    <n v="58.33"/>
    <n v="2233"/>
    <n v="1283.26"/>
    <n v="949.74"/>
    <n v="3"/>
  </r>
  <r>
    <x v="185"/>
    <n v="10322"/>
    <n v="363"/>
    <x v="0"/>
    <x v="0"/>
    <x v="0"/>
    <x v="8"/>
    <n v="43"/>
    <n v="92.47"/>
    <n v="60.62"/>
    <n v="3976.21"/>
    <n v="2606.66"/>
    <n v="1369.55"/>
    <n v="3"/>
  </r>
  <r>
    <x v="185"/>
    <n v="10322"/>
    <n v="363"/>
    <x v="0"/>
    <x v="0"/>
    <x v="0"/>
    <x v="9"/>
    <n v="41"/>
    <n v="44.21"/>
    <n v="24.26"/>
    <n v="1812.61"/>
    <n v="994.66"/>
    <n v="817.95"/>
    <n v="3"/>
  </r>
  <r>
    <x v="185"/>
    <n v="10322"/>
    <n v="363"/>
    <x v="0"/>
    <x v="0"/>
    <x v="0"/>
    <x v="4"/>
    <n v="50"/>
    <n v="120.77"/>
    <n v="58.48"/>
    <n v="6038.5"/>
    <n v="2924"/>
    <n v="3114.5"/>
    <n v="3"/>
  </r>
  <r>
    <x v="185"/>
    <n v="10322"/>
    <n v="363"/>
    <x v="0"/>
    <x v="0"/>
    <x v="2"/>
    <x v="14"/>
    <n v="35"/>
    <n v="57.12"/>
    <n v="24.92"/>
    <n v="1999.2"/>
    <n v="872.2"/>
    <n v="1127"/>
    <n v="3"/>
  </r>
  <r>
    <x v="185"/>
    <n v="10322"/>
    <n v="363"/>
    <x v="0"/>
    <x v="0"/>
    <x v="0"/>
    <x v="5"/>
    <n v="36"/>
    <n v="158.63"/>
    <n v="72.56"/>
    <n v="5710.68"/>
    <n v="2612.16"/>
    <n v="3098.52"/>
    <n v="3"/>
  </r>
  <r>
    <x v="185"/>
    <n v="10322"/>
    <n v="363"/>
    <x v="0"/>
    <x v="0"/>
    <x v="0"/>
    <x v="15"/>
    <n v="33"/>
    <n v="100.3"/>
    <n v="60.78"/>
    <n v="3309.9"/>
    <n v="2005.74"/>
    <n v="1304.1600000000001"/>
    <n v="3"/>
  </r>
  <r>
    <x v="185"/>
    <n v="10322"/>
    <n v="363"/>
    <x v="0"/>
    <x v="0"/>
    <x v="0"/>
    <x v="16"/>
    <n v="41"/>
    <n v="54.34"/>
    <n v="34.35"/>
    <n v="2227.94"/>
    <n v="1408.35"/>
    <n v="819.59"/>
    <n v="3"/>
  </r>
  <r>
    <x v="185"/>
    <n v="10322"/>
    <n v="363"/>
    <x v="0"/>
    <x v="0"/>
    <x v="0"/>
    <x v="17"/>
    <n v="48"/>
    <n v="90.06"/>
    <n v="60.74"/>
    <n v="4322.88"/>
    <n v="2915.52"/>
    <n v="1407.36"/>
    <n v="3"/>
  </r>
  <r>
    <x v="185"/>
    <n v="10322"/>
    <n v="363"/>
    <x v="0"/>
    <x v="0"/>
    <x v="0"/>
    <x v="6"/>
    <n v="20"/>
    <n v="26.55"/>
    <n v="22.57"/>
    <n v="531"/>
    <n v="451.4"/>
    <n v="79.599999999999994"/>
    <n v="3"/>
  </r>
  <r>
    <x v="185"/>
    <n v="10322"/>
    <n v="363"/>
    <x v="0"/>
    <x v="0"/>
    <x v="0"/>
    <x v="7"/>
    <n v="30"/>
    <n v="40.770000000000003"/>
    <n v="20.61"/>
    <n v="1223.0999999999999"/>
    <n v="618.29999999999995"/>
    <n v="604.79999999999995"/>
    <n v="3"/>
  </r>
  <r>
    <x v="185"/>
    <n v="10321"/>
    <n v="462"/>
    <x v="53"/>
    <x v="0"/>
    <x v="1"/>
    <x v="83"/>
    <n v="24"/>
    <n v="105.95"/>
    <n v="58.73"/>
    <n v="2542.8000000000002"/>
    <n v="1409.52"/>
    <n v="1133.28"/>
    <n v="2"/>
  </r>
  <r>
    <x v="185"/>
    <n v="10321"/>
    <n v="462"/>
    <x v="53"/>
    <x v="0"/>
    <x v="1"/>
    <x v="96"/>
    <n v="41"/>
    <n v="123.14"/>
    <n v="83.51"/>
    <n v="5048.74"/>
    <n v="3423.91"/>
    <n v="1624.83"/>
    <n v="2"/>
  </r>
  <r>
    <x v="185"/>
    <n v="10321"/>
    <n v="462"/>
    <x v="53"/>
    <x v="0"/>
    <x v="1"/>
    <x v="101"/>
    <n v="44"/>
    <n v="120.71"/>
    <n v="65.959999999999994"/>
    <n v="5311.24"/>
    <n v="2902.24"/>
    <n v="2409"/>
    <n v="2"/>
  </r>
  <r>
    <x v="185"/>
    <n v="10321"/>
    <n v="462"/>
    <x v="53"/>
    <x v="0"/>
    <x v="1"/>
    <x v="84"/>
    <n v="37"/>
    <n v="73.92"/>
    <n v="53.9"/>
    <n v="2735.04"/>
    <n v="1994.3"/>
    <n v="740.74"/>
    <n v="2"/>
  </r>
  <r>
    <x v="185"/>
    <n v="10321"/>
    <n v="462"/>
    <x v="53"/>
    <x v="0"/>
    <x v="1"/>
    <x v="97"/>
    <n v="25"/>
    <n v="142.25"/>
    <n v="93.89"/>
    <n v="3556.25"/>
    <n v="2347.25"/>
    <n v="1209"/>
    <n v="2"/>
  </r>
  <r>
    <x v="185"/>
    <n v="10321"/>
    <n v="462"/>
    <x v="53"/>
    <x v="0"/>
    <x v="1"/>
    <x v="98"/>
    <n v="27"/>
    <n v="126.72"/>
    <n v="56.76"/>
    <n v="3421.44"/>
    <n v="1532.52"/>
    <n v="1888.92"/>
    <n v="2"/>
  </r>
  <r>
    <x v="185"/>
    <n v="10321"/>
    <n v="462"/>
    <x v="53"/>
    <x v="0"/>
    <x v="1"/>
    <x v="30"/>
    <n v="33"/>
    <n v="164.26"/>
    <n v="77.900000000000006"/>
    <n v="5420.58"/>
    <n v="2570.6999999999998"/>
    <n v="2849.88"/>
    <n v="2"/>
  </r>
  <r>
    <x v="185"/>
    <n v="10321"/>
    <n v="462"/>
    <x v="53"/>
    <x v="0"/>
    <x v="1"/>
    <x v="99"/>
    <n v="28"/>
    <n v="138.44999999999999"/>
    <n v="62.16"/>
    <n v="3876.6"/>
    <n v="1740.48"/>
    <n v="2136.12"/>
    <n v="2"/>
  </r>
  <r>
    <x v="185"/>
    <n v="10321"/>
    <n v="462"/>
    <x v="53"/>
    <x v="0"/>
    <x v="1"/>
    <x v="103"/>
    <n v="30"/>
    <n v="68.349999999999994"/>
    <n v="49.24"/>
    <n v="2050.5"/>
    <n v="1477.2"/>
    <n v="573.29999999999995"/>
    <n v="2"/>
  </r>
  <r>
    <x v="185"/>
    <n v="10321"/>
    <n v="462"/>
    <x v="53"/>
    <x v="0"/>
    <x v="1"/>
    <x v="104"/>
    <n v="48"/>
    <n v="42.76"/>
    <n v="29.18"/>
    <n v="2052.48"/>
    <n v="1400.64"/>
    <n v="651.84"/>
    <n v="2"/>
  </r>
  <r>
    <x v="185"/>
    <n v="10321"/>
    <n v="462"/>
    <x v="53"/>
    <x v="0"/>
    <x v="1"/>
    <x v="105"/>
    <n v="30"/>
    <n v="74.510000000000005"/>
    <n v="47.25"/>
    <n v="2235.3000000000002"/>
    <n v="1417.5"/>
    <n v="817.8"/>
    <n v="2"/>
  </r>
  <r>
    <x v="185"/>
    <n v="10321"/>
    <n v="462"/>
    <x v="53"/>
    <x v="0"/>
    <x v="1"/>
    <x v="100"/>
    <n v="37"/>
    <n v="31.72"/>
    <n v="16.239999999999998"/>
    <n v="1173.6400000000001"/>
    <n v="600.88"/>
    <n v="572.76"/>
    <n v="2"/>
  </r>
  <r>
    <x v="185"/>
    <n v="10321"/>
    <n v="462"/>
    <x v="53"/>
    <x v="0"/>
    <x v="1"/>
    <x v="107"/>
    <n v="39"/>
    <n v="81.33"/>
    <n v="50.51"/>
    <n v="3171.87"/>
    <n v="1969.89"/>
    <n v="1201.98"/>
    <n v="2"/>
  </r>
  <r>
    <x v="185"/>
    <n v="10321"/>
    <n v="462"/>
    <x v="53"/>
    <x v="0"/>
    <x v="1"/>
    <x v="108"/>
    <n v="21"/>
    <n v="103.87"/>
    <n v="62.11"/>
    <n v="2181.27"/>
    <n v="1304.31"/>
    <n v="876.96"/>
    <n v="2"/>
  </r>
  <r>
    <x v="185"/>
    <n v="10321"/>
    <n v="462"/>
    <x v="53"/>
    <x v="0"/>
    <x v="1"/>
    <x v="91"/>
    <n v="26"/>
    <n v="137.62"/>
    <n v="98.3"/>
    <n v="3578.12"/>
    <n v="2555.8000000000002"/>
    <n v="1022.32"/>
    <n v="2"/>
  </r>
  <r>
    <x v="186"/>
    <n v="10325"/>
    <n v="121"/>
    <x v="3"/>
    <x v="2"/>
    <x v="1"/>
    <x v="39"/>
    <n v="47"/>
    <n v="111.52"/>
    <n v="85.68"/>
    <n v="5241.4399999999996"/>
    <n v="4026.96"/>
    <n v="1214.48"/>
    <n v="4"/>
  </r>
  <r>
    <x v="186"/>
    <n v="10325"/>
    <n v="121"/>
    <x v="3"/>
    <x v="2"/>
    <x v="1"/>
    <x v="40"/>
    <n v="42"/>
    <n v="193.25"/>
    <n v="95.59"/>
    <n v="8116.5"/>
    <n v="4014.78"/>
    <n v="4101.72"/>
    <n v="4"/>
  </r>
  <r>
    <x v="186"/>
    <n v="10325"/>
    <n v="121"/>
    <x v="3"/>
    <x v="2"/>
    <x v="1"/>
    <x v="41"/>
    <n v="24"/>
    <n v="166.1"/>
    <n v="83.05"/>
    <n v="3986.4"/>
    <n v="1993.2"/>
    <n v="1993.2"/>
    <n v="4"/>
  </r>
  <r>
    <x v="186"/>
    <n v="10325"/>
    <n v="121"/>
    <x v="3"/>
    <x v="2"/>
    <x v="0"/>
    <x v="42"/>
    <n v="24"/>
    <n v="114.74"/>
    <n v="68.3"/>
    <n v="2753.76"/>
    <n v="1639.2"/>
    <n v="1114.56"/>
    <n v="4"/>
  </r>
  <r>
    <x v="186"/>
    <n v="10325"/>
    <n v="121"/>
    <x v="3"/>
    <x v="2"/>
    <x v="1"/>
    <x v="34"/>
    <n v="44"/>
    <n v="114.73"/>
    <n v="69.78"/>
    <n v="5048.12"/>
    <n v="3070.32"/>
    <n v="1977.8"/>
    <n v="4"/>
  </r>
  <r>
    <x v="186"/>
    <n v="10325"/>
    <n v="121"/>
    <x v="3"/>
    <x v="2"/>
    <x v="2"/>
    <x v="35"/>
    <n v="38"/>
    <n v="44.37"/>
    <n v="25.98"/>
    <n v="1686.06"/>
    <n v="987.24"/>
    <n v="698.82"/>
    <n v="4"/>
  </r>
  <r>
    <x v="186"/>
    <n v="10325"/>
    <n v="121"/>
    <x v="3"/>
    <x v="2"/>
    <x v="3"/>
    <x v="36"/>
    <n v="28"/>
    <n v="55.3"/>
    <n v="26.72"/>
    <n v="1548.4"/>
    <n v="748.16"/>
    <n v="800.24"/>
    <n v="4"/>
  </r>
  <r>
    <x v="186"/>
    <n v="10325"/>
    <n v="121"/>
    <x v="3"/>
    <x v="2"/>
    <x v="2"/>
    <x v="37"/>
    <n v="38"/>
    <n v="99.55"/>
    <n v="68.290000000000006"/>
    <n v="3782.9"/>
    <n v="2595.02"/>
    <n v="1187.8800000000001"/>
    <n v="4"/>
  </r>
  <r>
    <x v="186"/>
    <n v="10325"/>
    <n v="121"/>
    <x v="3"/>
    <x v="2"/>
    <x v="3"/>
    <x v="38"/>
    <n v="44"/>
    <n v="56.24"/>
    <n v="37.49"/>
    <n v="2474.56"/>
    <n v="1649.56"/>
    <n v="825"/>
    <n v="4"/>
  </r>
  <r>
    <x v="186"/>
    <n v="10323"/>
    <n v="128"/>
    <x v="1"/>
    <x v="1"/>
    <x v="0"/>
    <x v="18"/>
    <n v="33"/>
    <n v="88.3"/>
    <n v="57.54"/>
    <n v="2913.9"/>
    <n v="1898.82"/>
    <n v="1015.08"/>
    <n v="4"/>
  </r>
  <r>
    <x v="186"/>
    <n v="10323"/>
    <n v="128"/>
    <x v="1"/>
    <x v="1"/>
    <x v="2"/>
    <x v="19"/>
    <n v="47"/>
    <n v="96.86"/>
    <n v="84.76"/>
    <n v="4552.42"/>
    <n v="3983.72"/>
    <n v="568.70000000000005"/>
    <n v="4"/>
  </r>
  <r>
    <x v="186"/>
    <n v="10324"/>
    <n v="181"/>
    <x v="2"/>
    <x v="0"/>
    <x v="1"/>
    <x v="26"/>
    <n v="27"/>
    <n v="148.06"/>
    <n v="89.14"/>
    <n v="3997.62"/>
    <n v="2406.7800000000002"/>
    <n v="1590.84"/>
    <n v="3"/>
  </r>
  <r>
    <x v="186"/>
    <n v="10324"/>
    <n v="181"/>
    <x v="2"/>
    <x v="0"/>
    <x v="2"/>
    <x v="27"/>
    <n v="26"/>
    <n v="100.73"/>
    <n v="55.7"/>
    <n v="2618.98"/>
    <n v="1448.2"/>
    <n v="1170.78"/>
    <n v="3"/>
  </r>
  <r>
    <x v="186"/>
    <n v="10324"/>
    <n v="181"/>
    <x v="2"/>
    <x v="0"/>
    <x v="1"/>
    <x v="28"/>
    <n v="47"/>
    <n v="142.44999999999999"/>
    <n v="101.51"/>
    <n v="6695.15"/>
    <n v="4770.97"/>
    <n v="1924.18"/>
    <n v="3"/>
  </r>
  <r>
    <x v="186"/>
    <n v="10324"/>
    <n v="181"/>
    <x v="2"/>
    <x v="0"/>
    <x v="2"/>
    <x v="29"/>
    <n v="33"/>
    <n v="105.55"/>
    <n v="74.86"/>
    <n v="3483.15"/>
    <n v="2470.38"/>
    <n v="1012.77"/>
    <n v="3"/>
  </r>
  <r>
    <x v="186"/>
    <n v="10324"/>
    <n v="181"/>
    <x v="2"/>
    <x v="0"/>
    <x v="1"/>
    <x v="30"/>
    <n v="27"/>
    <n v="137.16999999999999"/>
    <n v="77.900000000000006"/>
    <n v="3703.59"/>
    <n v="2103.3000000000002"/>
    <n v="1600.29"/>
    <n v="3"/>
  </r>
  <r>
    <x v="186"/>
    <n v="10324"/>
    <n v="181"/>
    <x v="2"/>
    <x v="0"/>
    <x v="1"/>
    <x v="31"/>
    <n v="49"/>
    <n v="120.64"/>
    <n v="91.92"/>
    <n v="5911.36"/>
    <n v="4504.08"/>
    <n v="1407.28"/>
    <n v="3"/>
  </r>
  <r>
    <x v="186"/>
    <n v="10324"/>
    <n v="181"/>
    <x v="2"/>
    <x v="0"/>
    <x v="0"/>
    <x v="20"/>
    <n v="38"/>
    <n v="49.81"/>
    <n v="23.14"/>
    <n v="1892.78"/>
    <n v="879.32"/>
    <n v="1013.46"/>
    <n v="3"/>
  </r>
  <r>
    <x v="186"/>
    <n v="10324"/>
    <n v="181"/>
    <x v="2"/>
    <x v="0"/>
    <x v="1"/>
    <x v="32"/>
    <n v="25"/>
    <n v="49.71"/>
    <n v="32.369999999999997"/>
    <n v="1242.75"/>
    <n v="809.25"/>
    <n v="433.5"/>
    <n v="3"/>
  </r>
  <r>
    <x v="186"/>
    <n v="10324"/>
    <n v="181"/>
    <x v="2"/>
    <x v="0"/>
    <x v="2"/>
    <x v="21"/>
    <n v="31"/>
    <n v="107.34"/>
    <n v="61.34"/>
    <n v="3327.54"/>
    <n v="1901.54"/>
    <n v="1426"/>
    <n v="3"/>
  </r>
  <r>
    <x v="186"/>
    <n v="10324"/>
    <n v="181"/>
    <x v="2"/>
    <x v="0"/>
    <x v="1"/>
    <x v="33"/>
    <n v="30"/>
    <n v="29.35"/>
    <n v="15.91"/>
    <n v="880.5"/>
    <n v="477.3"/>
    <n v="403.2"/>
    <n v="3"/>
  </r>
  <r>
    <x v="186"/>
    <n v="10324"/>
    <n v="181"/>
    <x v="2"/>
    <x v="0"/>
    <x v="0"/>
    <x v="22"/>
    <n v="33"/>
    <n v="95.44"/>
    <n v="57.46"/>
    <n v="3149.52"/>
    <n v="1896.18"/>
    <n v="1253.3399999999999"/>
    <n v="3"/>
  </r>
  <r>
    <x v="186"/>
    <n v="10324"/>
    <n v="181"/>
    <x v="2"/>
    <x v="0"/>
    <x v="2"/>
    <x v="23"/>
    <n v="20"/>
    <n v="91.49"/>
    <n v="53.93"/>
    <n v="1829.8"/>
    <n v="1078.5999999999999"/>
    <n v="751.2"/>
    <n v="3"/>
  </r>
  <r>
    <x v="186"/>
    <n v="10324"/>
    <n v="181"/>
    <x v="2"/>
    <x v="0"/>
    <x v="2"/>
    <x v="24"/>
    <n v="48"/>
    <n v="60.76"/>
    <n v="33.61"/>
    <n v="2916.48"/>
    <n v="1613.28"/>
    <n v="1303.2"/>
    <n v="3"/>
  </r>
  <r>
    <x v="186"/>
    <n v="10324"/>
    <n v="181"/>
    <x v="2"/>
    <x v="0"/>
    <x v="1"/>
    <x v="25"/>
    <n v="34"/>
    <n v="80.92"/>
    <n v="46.53"/>
    <n v="2751.28"/>
    <n v="1582.02"/>
    <n v="1169.26"/>
    <n v="3"/>
  </r>
  <r>
    <x v="187"/>
    <n v="10326"/>
    <n v="144"/>
    <x v="11"/>
    <x v="8"/>
    <x v="3"/>
    <x v="43"/>
    <n v="32"/>
    <n v="94.79"/>
    <n v="67.56"/>
    <n v="3033.28"/>
    <n v="2161.92"/>
    <n v="871.36"/>
    <n v="3"/>
  </r>
  <r>
    <x v="187"/>
    <n v="10326"/>
    <n v="144"/>
    <x v="11"/>
    <x v="8"/>
    <x v="0"/>
    <x v="44"/>
    <n v="50"/>
    <n v="73.73"/>
    <n v="52.66"/>
    <n v="3686.5"/>
    <n v="2633"/>
    <n v="1053.5"/>
    <n v="3"/>
  </r>
  <r>
    <x v="187"/>
    <n v="10326"/>
    <n v="144"/>
    <x v="11"/>
    <x v="8"/>
    <x v="4"/>
    <x v="45"/>
    <n v="41"/>
    <n v="120.43"/>
    <n v="82.34"/>
    <n v="4937.63"/>
    <n v="3375.94"/>
    <n v="1561.69"/>
    <n v="3"/>
  </r>
  <r>
    <x v="187"/>
    <n v="10326"/>
    <n v="144"/>
    <x v="11"/>
    <x v="8"/>
    <x v="0"/>
    <x v="46"/>
    <n v="41"/>
    <n v="86.74"/>
    <n v="46.91"/>
    <n v="3556.34"/>
    <n v="1923.31"/>
    <n v="1633.03"/>
    <n v="3"/>
  </r>
  <r>
    <x v="187"/>
    <n v="10326"/>
    <n v="144"/>
    <x v="11"/>
    <x v="8"/>
    <x v="0"/>
    <x v="47"/>
    <n v="20"/>
    <n v="81.34"/>
    <n v="48.64"/>
    <n v="1626.8"/>
    <n v="972.8"/>
    <n v="654"/>
    <n v="3"/>
  </r>
  <r>
    <x v="187"/>
    <n v="10326"/>
    <n v="144"/>
    <x v="11"/>
    <x v="8"/>
    <x v="4"/>
    <x v="48"/>
    <n v="39"/>
    <n v="60.67"/>
    <n v="34"/>
    <n v="2366.13"/>
    <n v="1326"/>
    <n v="1040.1300000000001"/>
    <n v="3"/>
  </r>
  <r>
    <x v="188"/>
    <n v="10327"/>
    <n v="145"/>
    <x v="5"/>
    <x v="4"/>
    <x v="5"/>
    <x v="54"/>
    <n v="25"/>
    <n v="154.54"/>
    <n v="77.27"/>
    <n v="3863.5"/>
    <n v="1931.75"/>
    <n v="1931.75"/>
    <n v="4"/>
  </r>
  <r>
    <x v="188"/>
    <n v="10327"/>
    <n v="145"/>
    <x v="5"/>
    <x v="4"/>
    <x v="5"/>
    <x v="55"/>
    <n v="45"/>
    <n v="74.34"/>
    <n v="49"/>
    <n v="3345.3"/>
    <n v="2205"/>
    <n v="1140.3"/>
    <n v="4"/>
  </r>
  <r>
    <x v="188"/>
    <n v="10327"/>
    <n v="145"/>
    <x v="5"/>
    <x v="4"/>
    <x v="4"/>
    <x v="56"/>
    <n v="25"/>
    <n v="74.84"/>
    <n v="51.61"/>
    <n v="1871"/>
    <n v="1290.25"/>
    <n v="580.75"/>
    <n v="4"/>
  </r>
  <r>
    <x v="188"/>
    <n v="10327"/>
    <n v="145"/>
    <x v="5"/>
    <x v="4"/>
    <x v="4"/>
    <x v="49"/>
    <n v="20"/>
    <n v="79.680000000000007"/>
    <n v="43.3"/>
    <n v="1593.6"/>
    <n v="866"/>
    <n v="727.6"/>
    <n v="4"/>
  </r>
  <r>
    <x v="188"/>
    <n v="10327"/>
    <n v="145"/>
    <x v="5"/>
    <x v="4"/>
    <x v="4"/>
    <x v="50"/>
    <n v="21"/>
    <n v="65.05"/>
    <n v="33.97"/>
    <n v="1366.05"/>
    <n v="713.37"/>
    <n v="652.67999999999995"/>
    <n v="4"/>
  </r>
  <r>
    <x v="188"/>
    <n v="10327"/>
    <n v="145"/>
    <x v="5"/>
    <x v="4"/>
    <x v="4"/>
    <x v="51"/>
    <n v="43"/>
    <n v="85.14"/>
    <n v="51.09"/>
    <n v="3661.02"/>
    <n v="2196.87"/>
    <n v="1464.15"/>
    <n v="4"/>
  </r>
  <r>
    <x v="188"/>
    <n v="10327"/>
    <n v="145"/>
    <x v="5"/>
    <x v="4"/>
    <x v="4"/>
    <x v="52"/>
    <n v="37"/>
    <n v="83.42"/>
    <n v="53.63"/>
    <n v="3086.54"/>
    <n v="1984.31"/>
    <n v="1102.23"/>
    <n v="4"/>
  </r>
  <r>
    <x v="188"/>
    <n v="10327"/>
    <n v="145"/>
    <x v="5"/>
    <x v="4"/>
    <x v="4"/>
    <x v="53"/>
    <n v="37"/>
    <n v="48.05"/>
    <n v="33.299999999999997"/>
    <n v="1777.85"/>
    <n v="1232.0999999999999"/>
    <n v="545.75"/>
    <n v="4"/>
  </r>
  <r>
    <x v="189"/>
    <n v="10328"/>
    <n v="278"/>
    <x v="6"/>
    <x v="5"/>
    <x v="0"/>
    <x v="57"/>
    <n v="34"/>
    <n v="104.81"/>
    <n v="64.58"/>
    <n v="3563.54"/>
    <n v="2195.7199999999998"/>
    <n v="1367.82"/>
    <n v="3"/>
  </r>
  <r>
    <x v="189"/>
    <n v="10328"/>
    <n v="278"/>
    <x v="6"/>
    <x v="5"/>
    <x v="5"/>
    <x v="58"/>
    <n v="47"/>
    <n v="87.54"/>
    <n v="66.739999999999995"/>
    <n v="4114.38"/>
    <n v="3136.78"/>
    <n v="977.6"/>
    <n v="3"/>
  </r>
  <r>
    <x v="189"/>
    <n v="10328"/>
    <n v="278"/>
    <x v="6"/>
    <x v="5"/>
    <x v="5"/>
    <x v="59"/>
    <n v="48"/>
    <n v="67.819999999999993"/>
    <n v="34.25"/>
    <n v="3255.36"/>
    <n v="1644"/>
    <n v="1611.36"/>
    <n v="3"/>
  </r>
  <r>
    <x v="189"/>
    <n v="10328"/>
    <n v="278"/>
    <x v="6"/>
    <x v="5"/>
    <x v="0"/>
    <x v="60"/>
    <n v="20"/>
    <n v="56.55"/>
    <n v="26.3"/>
    <n v="1131"/>
    <n v="526"/>
    <n v="605"/>
    <n v="3"/>
  </r>
  <r>
    <x v="189"/>
    <n v="10328"/>
    <n v="278"/>
    <x v="6"/>
    <x v="5"/>
    <x v="5"/>
    <x v="61"/>
    <n v="35"/>
    <n v="55.96"/>
    <n v="29.34"/>
    <n v="1958.6"/>
    <n v="1026.9000000000001"/>
    <n v="931.7"/>
    <n v="3"/>
  </r>
  <r>
    <x v="189"/>
    <n v="10328"/>
    <n v="278"/>
    <x v="6"/>
    <x v="5"/>
    <x v="5"/>
    <x v="62"/>
    <n v="43"/>
    <n v="69.55"/>
    <n v="36.229999999999997"/>
    <n v="2990.65"/>
    <n v="1557.89"/>
    <n v="1432.76"/>
    <n v="3"/>
  </r>
  <r>
    <x v="189"/>
    <n v="10328"/>
    <n v="278"/>
    <x v="6"/>
    <x v="5"/>
    <x v="0"/>
    <x v="63"/>
    <n v="24"/>
    <n v="57.1"/>
    <n v="33.020000000000003"/>
    <n v="1370.4"/>
    <n v="792.48"/>
    <n v="577.91999999999996"/>
    <n v="3"/>
  </r>
  <r>
    <x v="189"/>
    <n v="10328"/>
    <n v="278"/>
    <x v="6"/>
    <x v="5"/>
    <x v="0"/>
    <x v="64"/>
    <n v="34"/>
    <n v="42.33"/>
    <n v="27.06"/>
    <n v="1439.22"/>
    <n v="920.04"/>
    <n v="519.17999999999995"/>
    <n v="3"/>
  </r>
  <r>
    <x v="189"/>
    <n v="10328"/>
    <n v="278"/>
    <x v="6"/>
    <x v="5"/>
    <x v="5"/>
    <x v="65"/>
    <n v="27"/>
    <n v="84.03"/>
    <n v="51.15"/>
    <n v="2268.81"/>
    <n v="1381.05"/>
    <n v="887.76"/>
    <n v="3"/>
  </r>
  <r>
    <x v="189"/>
    <n v="10328"/>
    <n v="278"/>
    <x v="6"/>
    <x v="5"/>
    <x v="4"/>
    <x v="66"/>
    <n v="41"/>
    <n v="75.13"/>
    <n v="39.83"/>
    <n v="3080.33"/>
    <n v="1633.03"/>
    <n v="1447.3"/>
    <n v="3"/>
  </r>
  <r>
    <x v="189"/>
    <n v="10328"/>
    <n v="278"/>
    <x v="6"/>
    <x v="5"/>
    <x v="5"/>
    <x v="67"/>
    <n v="37"/>
    <n v="95.73"/>
    <n v="68.8"/>
    <n v="3542.01"/>
    <n v="2545.6"/>
    <n v="996.41"/>
    <n v="3"/>
  </r>
  <r>
    <x v="189"/>
    <n v="10328"/>
    <n v="278"/>
    <x v="6"/>
    <x v="5"/>
    <x v="5"/>
    <x v="68"/>
    <n v="33"/>
    <n v="117.46"/>
    <n v="59.33"/>
    <n v="3876.18"/>
    <n v="1957.89"/>
    <n v="1918.29"/>
    <n v="3"/>
  </r>
  <r>
    <x v="189"/>
    <n v="10328"/>
    <n v="278"/>
    <x v="6"/>
    <x v="5"/>
    <x v="5"/>
    <x v="69"/>
    <n v="33"/>
    <n v="71.2"/>
    <n v="54.4"/>
    <n v="2349.6"/>
    <n v="1795.2"/>
    <n v="554.4"/>
    <n v="3"/>
  </r>
  <r>
    <x v="189"/>
    <n v="10328"/>
    <n v="278"/>
    <x v="6"/>
    <x v="5"/>
    <x v="5"/>
    <x v="70"/>
    <n v="39"/>
    <n v="69.59"/>
    <n v="36.270000000000003"/>
    <n v="2714.01"/>
    <n v="1414.53"/>
    <n v="1299.48"/>
    <n v="3"/>
  </r>
  <r>
    <x v="190"/>
    <n v="10329"/>
    <n v="131"/>
    <x v="7"/>
    <x v="0"/>
    <x v="6"/>
    <x v="72"/>
    <n v="42"/>
    <n v="80.39"/>
    <n v="48.81"/>
    <n v="3376.38"/>
    <n v="2050.02"/>
    <n v="1326.36"/>
    <n v="4"/>
  </r>
  <r>
    <x v="190"/>
    <n v="10329"/>
    <n v="131"/>
    <x v="7"/>
    <x v="0"/>
    <x v="6"/>
    <x v="73"/>
    <n v="20"/>
    <n v="109.42"/>
    <n v="68.989999999999995"/>
    <n v="2188.4"/>
    <n v="1379.8"/>
    <n v="808.6"/>
    <n v="4"/>
  </r>
  <r>
    <x v="190"/>
    <n v="10329"/>
    <n v="131"/>
    <x v="7"/>
    <x v="0"/>
    <x v="6"/>
    <x v="74"/>
    <n v="26"/>
    <n v="164.61"/>
    <n v="91.02"/>
    <n v="4279.8599999999997"/>
    <n v="2366.52"/>
    <n v="1913.34"/>
    <n v="4"/>
  </r>
  <r>
    <x v="190"/>
    <n v="10329"/>
    <n v="131"/>
    <x v="7"/>
    <x v="0"/>
    <x v="1"/>
    <x v="80"/>
    <n v="41"/>
    <n v="182.9"/>
    <n v="95.34"/>
    <n v="7498.9"/>
    <n v="3908.94"/>
    <n v="3589.96"/>
    <n v="4"/>
  </r>
  <r>
    <x v="190"/>
    <n v="10329"/>
    <n v="131"/>
    <x v="7"/>
    <x v="0"/>
    <x v="6"/>
    <x v="75"/>
    <n v="24"/>
    <n v="128.03"/>
    <n v="66.27"/>
    <n v="3072.72"/>
    <n v="1590.48"/>
    <n v="1482.24"/>
    <n v="4"/>
  </r>
  <r>
    <x v="190"/>
    <n v="10329"/>
    <n v="131"/>
    <x v="7"/>
    <x v="0"/>
    <x v="1"/>
    <x v="81"/>
    <n v="46"/>
    <n v="117.44"/>
    <n v="75.16"/>
    <n v="5402.24"/>
    <n v="3457.36"/>
    <n v="1944.88"/>
    <n v="4"/>
  </r>
  <r>
    <x v="190"/>
    <n v="10329"/>
    <n v="131"/>
    <x v="7"/>
    <x v="0"/>
    <x v="1"/>
    <x v="82"/>
    <n v="33"/>
    <n v="74.209999999999994"/>
    <n v="31.92"/>
    <n v="2448.9299999999998"/>
    <n v="1053.3599999999999"/>
    <n v="1395.57"/>
    <n v="4"/>
  </r>
  <r>
    <x v="190"/>
    <n v="10329"/>
    <n v="131"/>
    <x v="7"/>
    <x v="0"/>
    <x v="1"/>
    <x v="83"/>
    <n v="39"/>
    <n v="102.49"/>
    <n v="58.73"/>
    <n v="3997.11"/>
    <n v="2290.4699999999998"/>
    <n v="1706.64"/>
    <n v="4"/>
  </r>
  <r>
    <x v="190"/>
    <n v="10329"/>
    <n v="131"/>
    <x v="7"/>
    <x v="0"/>
    <x v="1"/>
    <x v="84"/>
    <n v="29"/>
    <n v="66.22"/>
    <n v="53.9"/>
    <n v="1920.38"/>
    <n v="1563.1"/>
    <n v="357.28"/>
    <n v="4"/>
  </r>
  <r>
    <x v="190"/>
    <n v="10329"/>
    <n v="131"/>
    <x v="7"/>
    <x v="0"/>
    <x v="6"/>
    <x v="76"/>
    <n v="38"/>
    <n v="55.72"/>
    <n v="24.23"/>
    <n v="2117.36"/>
    <n v="920.74"/>
    <n v="1196.6199999999999"/>
    <n v="4"/>
  </r>
  <r>
    <x v="190"/>
    <n v="10329"/>
    <n v="131"/>
    <x v="7"/>
    <x v="0"/>
    <x v="1"/>
    <x v="85"/>
    <n v="38"/>
    <n v="65.13"/>
    <n v="49.05"/>
    <n v="2474.94"/>
    <n v="1863.9"/>
    <n v="611.04"/>
    <n v="4"/>
  </r>
  <r>
    <x v="190"/>
    <n v="10329"/>
    <n v="131"/>
    <x v="7"/>
    <x v="0"/>
    <x v="6"/>
    <x v="77"/>
    <n v="30"/>
    <n v="104.81"/>
    <n v="60.86"/>
    <n v="3144.3"/>
    <n v="1825.8"/>
    <n v="1318.5"/>
    <n v="4"/>
  </r>
  <r>
    <x v="190"/>
    <n v="10329"/>
    <n v="131"/>
    <x v="7"/>
    <x v="0"/>
    <x v="6"/>
    <x v="78"/>
    <n v="37"/>
    <n v="71.599999999999994"/>
    <n v="37.32"/>
    <n v="2649.2"/>
    <n v="1380.84"/>
    <n v="1268.3599999999999"/>
    <n v="4"/>
  </r>
  <r>
    <x v="190"/>
    <n v="10329"/>
    <n v="131"/>
    <x v="7"/>
    <x v="0"/>
    <x v="6"/>
    <x v="79"/>
    <n v="45"/>
    <n v="80.91"/>
    <n v="66.92"/>
    <n v="3640.95"/>
    <n v="3011.4"/>
    <n v="629.54999999999995"/>
    <n v="4"/>
  </r>
  <r>
    <x v="190"/>
    <n v="10329"/>
    <n v="131"/>
    <x v="7"/>
    <x v="0"/>
    <x v="5"/>
    <x v="71"/>
    <n v="44"/>
    <n v="41.22"/>
    <n v="32.770000000000003"/>
    <n v="1813.68"/>
    <n v="1441.88"/>
    <n v="371.8"/>
    <n v="4"/>
  </r>
  <r>
    <x v="191"/>
    <n v="10330"/>
    <n v="385"/>
    <x v="8"/>
    <x v="6"/>
    <x v="1"/>
    <x v="86"/>
    <n v="37"/>
    <n v="136.69999999999999"/>
    <n v="73.489999999999995"/>
    <n v="5057.8999999999996"/>
    <n v="2719.13"/>
    <n v="2338.77"/>
    <n v="3"/>
  </r>
  <r>
    <x v="191"/>
    <n v="10330"/>
    <n v="385"/>
    <x v="8"/>
    <x v="6"/>
    <x v="6"/>
    <x v="87"/>
    <n v="29"/>
    <n v="59.06"/>
    <n v="32.950000000000003"/>
    <n v="1712.74"/>
    <n v="955.55"/>
    <n v="757.19"/>
    <n v="3"/>
  </r>
  <r>
    <x v="191"/>
    <n v="10330"/>
    <n v="385"/>
    <x v="8"/>
    <x v="6"/>
    <x v="1"/>
    <x v="88"/>
    <n v="50"/>
    <n v="133.91999999999999"/>
    <n v="69.930000000000007"/>
    <n v="6696"/>
    <n v="3496.5"/>
    <n v="3199.5"/>
    <n v="3"/>
  </r>
  <r>
    <x v="191"/>
    <n v="10330"/>
    <n v="385"/>
    <x v="8"/>
    <x v="6"/>
    <x v="6"/>
    <x v="89"/>
    <n v="42"/>
    <n v="56.1"/>
    <n v="47.1"/>
    <n v="2356.1999999999998"/>
    <n v="1978.2"/>
    <n v="378"/>
    <n v="3"/>
  </r>
  <r>
    <x v="192"/>
    <n v="10331"/>
    <n v="486"/>
    <x v="9"/>
    <x v="0"/>
    <x v="1"/>
    <x v="96"/>
    <n v="46"/>
    <n v="120.31"/>
    <n v="83.51"/>
    <n v="5534.26"/>
    <n v="3841.46"/>
    <n v="1692.8"/>
    <n v="3"/>
  </r>
  <r>
    <x v="192"/>
    <n v="10331"/>
    <n v="486"/>
    <x v="9"/>
    <x v="0"/>
    <x v="1"/>
    <x v="101"/>
    <n v="44"/>
    <n v="99.55"/>
    <n v="65.959999999999994"/>
    <n v="4380.2"/>
    <n v="2902.24"/>
    <n v="1477.96"/>
    <n v="3"/>
  </r>
  <r>
    <x v="192"/>
    <n v="10331"/>
    <n v="486"/>
    <x v="9"/>
    <x v="0"/>
    <x v="0"/>
    <x v="0"/>
    <n v="44"/>
    <n v="154.69999999999999"/>
    <n v="86.7"/>
    <n v="6806.8"/>
    <n v="3814.8"/>
    <n v="2992"/>
    <n v="3"/>
  </r>
  <r>
    <x v="192"/>
    <n v="10331"/>
    <n v="486"/>
    <x v="9"/>
    <x v="0"/>
    <x v="1"/>
    <x v="97"/>
    <n v="30"/>
    <n v="135.13999999999999"/>
    <n v="93.89"/>
    <n v="4054.2"/>
    <n v="2816.7"/>
    <n v="1237.5"/>
    <n v="3"/>
  </r>
  <r>
    <x v="192"/>
    <n v="10331"/>
    <n v="486"/>
    <x v="9"/>
    <x v="0"/>
    <x v="1"/>
    <x v="98"/>
    <n v="26"/>
    <n v="130.68"/>
    <n v="56.76"/>
    <n v="3397.68"/>
    <n v="1475.76"/>
    <n v="1921.92"/>
    <n v="3"/>
  </r>
  <r>
    <x v="192"/>
    <n v="10331"/>
    <n v="486"/>
    <x v="9"/>
    <x v="0"/>
    <x v="1"/>
    <x v="30"/>
    <n v="27"/>
    <n v="169.34"/>
    <n v="77.900000000000006"/>
    <n v="4572.18"/>
    <n v="2103.3000000000002"/>
    <n v="2468.88"/>
    <n v="3"/>
  </r>
  <r>
    <x v="192"/>
    <n v="10331"/>
    <n v="486"/>
    <x v="9"/>
    <x v="0"/>
    <x v="1"/>
    <x v="99"/>
    <n v="26"/>
    <n v="132.80000000000001"/>
    <n v="62.16"/>
    <n v="3452.8"/>
    <n v="1616.16"/>
    <n v="1836.64"/>
    <n v="3"/>
  </r>
  <r>
    <x v="192"/>
    <n v="10331"/>
    <n v="486"/>
    <x v="9"/>
    <x v="0"/>
    <x v="1"/>
    <x v="100"/>
    <n v="27"/>
    <n v="37"/>
    <n v="16.239999999999998"/>
    <n v="999"/>
    <n v="438.48"/>
    <n v="560.52"/>
    <n v="3"/>
  </r>
  <r>
    <x v="192"/>
    <n v="10331"/>
    <n v="486"/>
    <x v="9"/>
    <x v="0"/>
    <x v="1"/>
    <x v="90"/>
    <n v="25"/>
    <n v="55.11"/>
    <n v="38.58"/>
    <n v="1377.75"/>
    <n v="964.5"/>
    <n v="413.25"/>
    <n v="3"/>
  </r>
  <r>
    <x v="192"/>
    <n v="10331"/>
    <n v="486"/>
    <x v="9"/>
    <x v="0"/>
    <x v="1"/>
    <x v="91"/>
    <n v="21"/>
    <n v="139.03"/>
    <n v="98.3"/>
    <n v="2919.63"/>
    <n v="2064.3000000000002"/>
    <n v="855.33"/>
    <n v="3"/>
  </r>
  <r>
    <x v="192"/>
    <n v="10331"/>
    <n v="486"/>
    <x v="9"/>
    <x v="0"/>
    <x v="1"/>
    <x v="92"/>
    <n v="41"/>
    <n v="70.33"/>
    <n v="32.33"/>
    <n v="2883.53"/>
    <n v="1325.53"/>
    <n v="1558"/>
    <n v="3"/>
  </r>
  <r>
    <x v="192"/>
    <n v="10331"/>
    <n v="486"/>
    <x v="9"/>
    <x v="0"/>
    <x v="6"/>
    <x v="93"/>
    <n v="28"/>
    <n v="33.39"/>
    <n v="24.14"/>
    <n v="934.92"/>
    <n v="675.92"/>
    <n v="259"/>
    <n v="3"/>
  </r>
  <r>
    <x v="192"/>
    <n v="10331"/>
    <n v="486"/>
    <x v="9"/>
    <x v="0"/>
    <x v="6"/>
    <x v="94"/>
    <n v="32"/>
    <n v="100.01"/>
    <n v="56.13"/>
    <n v="3200.32"/>
    <n v="1796.16"/>
    <n v="1404.16"/>
    <n v="3"/>
  </r>
  <r>
    <x v="192"/>
    <n v="10331"/>
    <n v="486"/>
    <x v="9"/>
    <x v="0"/>
    <x v="6"/>
    <x v="95"/>
    <n v="20"/>
    <n v="74.040000000000006"/>
    <n v="34.17"/>
    <n v="1480.8"/>
    <n v="683.4"/>
    <n v="797.4"/>
    <n v="3"/>
  </r>
  <r>
    <x v="192"/>
    <n v="10332"/>
    <n v="187"/>
    <x v="10"/>
    <x v="7"/>
    <x v="0"/>
    <x v="8"/>
    <n v="46"/>
    <n v="89.38"/>
    <n v="60.62"/>
    <n v="4111.4799999999996"/>
    <n v="2788.52"/>
    <n v="1322.96"/>
    <n v="3"/>
  </r>
  <r>
    <x v="192"/>
    <n v="10332"/>
    <n v="187"/>
    <x v="10"/>
    <x v="7"/>
    <x v="0"/>
    <x v="9"/>
    <n v="27"/>
    <n v="51.21"/>
    <n v="24.26"/>
    <n v="1382.67"/>
    <n v="655.02"/>
    <n v="727.65"/>
    <n v="3"/>
  </r>
  <r>
    <x v="192"/>
    <n v="10332"/>
    <n v="187"/>
    <x v="10"/>
    <x v="7"/>
    <x v="0"/>
    <x v="1"/>
    <n v="38"/>
    <n v="53.88"/>
    <n v="33.299999999999997"/>
    <n v="2047.44"/>
    <n v="1265.4000000000001"/>
    <n v="782.04"/>
    <n v="3"/>
  </r>
  <r>
    <x v="192"/>
    <n v="10332"/>
    <n v="187"/>
    <x v="10"/>
    <x v="7"/>
    <x v="0"/>
    <x v="4"/>
    <n v="35"/>
    <n v="116.96"/>
    <n v="58.48"/>
    <n v="4093.6"/>
    <n v="2046.8"/>
    <n v="2046.8"/>
    <n v="3"/>
  </r>
  <r>
    <x v="192"/>
    <n v="10332"/>
    <n v="187"/>
    <x v="10"/>
    <x v="7"/>
    <x v="0"/>
    <x v="5"/>
    <n v="24"/>
    <n v="138.38"/>
    <n v="72.56"/>
    <n v="3321.12"/>
    <n v="1741.44"/>
    <n v="1579.68"/>
    <n v="3"/>
  </r>
  <r>
    <x v="192"/>
    <n v="10332"/>
    <n v="187"/>
    <x v="10"/>
    <x v="7"/>
    <x v="0"/>
    <x v="16"/>
    <n v="26"/>
    <n v="53.09"/>
    <n v="34.35"/>
    <n v="1380.34"/>
    <n v="893.1"/>
    <n v="487.24"/>
    <n v="3"/>
  </r>
  <r>
    <x v="192"/>
    <n v="10332"/>
    <n v="187"/>
    <x v="10"/>
    <x v="7"/>
    <x v="0"/>
    <x v="17"/>
    <n v="40"/>
    <n v="100.53"/>
    <n v="60.74"/>
    <n v="4021.2"/>
    <n v="2429.6"/>
    <n v="1591.6"/>
    <n v="3"/>
  </r>
  <r>
    <x v="192"/>
    <n v="10332"/>
    <n v="187"/>
    <x v="10"/>
    <x v="7"/>
    <x v="0"/>
    <x v="2"/>
    <n v="50"/>
    <n v="92.03"/>
    <n v="43.26"/>
    <n v="4601.5"/>
    <n v="2163"/>
    <n v="2438.5"/>
    <n v="3"/>
  </r>
  <r>
    <x v="192"/>
    <n v="10332"/>
    <n v="187"/>
    <x v="10"/>
    <x v="7"/>
    <x v="1"/>
    <x v="102"/>
    <n v="21"/>
    <n v="70.56"/>
    <n v="34.21"/>
    <n v="1481.76"/>
    <n v="718.41"/>
    <n v="763.35"/>
    <n v="3"/>
  </r>
  <r>
    <x v="192"/>
    <n v="10332"/>
    <n v="187"/>
    <x v="10"/>
    <x v="7"/>
    <x v="1"/>
    <x v="103"/>
    <n v="23"/>
    <n v="61.73"/>
    <n v="49.24"/>
    <n v="1419.79"/>
    <n v="1132.52"/>
    <n v="287.27"/>
    <n v="3"/>
  </r>
  <r>
    <x v="192"/>
    <n v="10332"/>
    <n v="187"/>
    <x v="10"/>
    <x v="7"/>
    <x v="1"/>
    <x v="104"/>
    <n v="20"/>
    <n v="47.29"/>
    <n v="29.18"/>
    <n v="945.8"/>
    <n v="583.6"/>
    <n v="362.2"/>
    <n v="3"/>
  </r>
  <r>
    <x v="192"/>
    <n v="10332"/>
    <n v="187"/>
    <x v="10"/>
    <x v="7"/>
    <x v="0"/>
    <x v="6"/>
    <n v="45"/>
    <n v="29.87"/>
    <n v="22.57"/>
    <n v="1344.15"/>
    <n v="1015.65"/>
    <n v="328.5"/>
    <n v="3"/>
  </r>
  <r>
    <x v="192"/>
    <n v="10332"/>
    <n v="187"/>
    <x v="10"/>
    <x v="7"/>
    <x v="0"/>
    <x v="7"/>
    <n v="26"/>
    <n v="43.01"/>
    <n v="20.61"/>
    <n v="1118.26"/>
    <n v="535.86"/>
    <n v="582.4"/>
    <n v="3"/>
  </r>
  <r>
    <x v="192"/>
    <n v="10332"/>
    <n v="187"/>
    <x v="10"/>
    <x v="7"/>
    <x v="1"/>
    <x v="105"/>
    <n v="39"/>
    <n v="84.51"/>
    <n v="47.25"/>
    <n v="3295.89"/>
    <n v="1842.75"/>
    <n v="1453.14"/>
    <n v="3"/>
  </r>
  <r>
    <x v="192"/>
    <n v="10332"/>
    <n v="187"/>
    <x v="10"/>
    <x v="7"/>
    <x v="1"/>
    <x v="106"/>
    <n v="44"/>
    <n v="108.04"/>
    <n v="72.819999999999993"/>
    <n v="4753.76"/>
    <n v="3204.08"/>
    <n v="1549.68"/>
    <n v="3"/>
  </r>
  <r>
    <x v="192"/>
    <n v="10332"/>
    <n v="187"/>
    <x v="10"/>
    <x v="7"/>
    <x v="1"/>
    <x v="107"/>
    <n v="45"/>
    <n v="77.91"/>
    <n v="50.51"/>
    <n v="3505.95"/>
    <n v="2272.9499999999998"/>
    <n v="1233"/>
    <n v="3"/>
  </r>
  <r>
    <x v="192"/>
    <n v="10332"/>
    <n v="187"/>
    <x v="10"/>
    <x v="7"/>
    <x v="1"/>
    <x v="108"/>
    <n v="31"/>
    <n v="94.23"/>
    <n v="62.11"/>
    <n v="2921.13"/>
    <n v="1925.41"/>
    <n v="995.72"/>
    <n v="3"/>
  </r>
  <r>
    <x v="192"/>
    <n v="10332"/>
    <n v="187"/>
    <x v="10"/>
    <x v="7"/>
    <x v="0"/>
    <x v="3"/>
    <n v="41"/>
    <n v="34.47"/>
    <n v="21.75"/>
    <n v="1413.27"/>
    <n v="891.75"/>
    <n v="521.52"/>
    <n v="3"/>
  </r>
  <r>
    <x v="193"/>
    <n v="10333"/>
    <n v="129"/>
    <x v="12"/>
    <x v="0"/>
    <x v="1"/>
    <x v="10"/>
    <n v="26"/>
    <n v="188.58"/>
    <n v="98.58"/>
    <n v="4903.08"/>
    <n v="2563.08"/>
    <n v="2340"/>
    <n v="3"/>
  </r>
  <r>
    <x v="193"/>
    <n v="10333"/>
    <n v="129"/>
    <x v="12"/>
    <x v="0"/>
    <x v="2"/>
    <x v="12"/>
    <n v="33"/>
    <n v="121.64"/>
    <n v="77.900000000000006"/>
    <n v="4014.12"/>
    <n v="2570.6999999999998"/>
    <n v="1443.42"/>
    <n v="3"/>
  </r>
  <r>
    <x v="193"/>
    <n v="10333"/>
    <n v="129"/>
    <x v="12"/>
    <x v="0"/>
    <x v="2"/>
    <x v="13"/>
    <n v="29"/>
    <n v="110.84"/>
    <n v="58.33"/>
    <n v="3214.36"/>
    <n v="1691.57"/>
    <n v="1522.79"/>
    <n v="3"/>
  </r>
  <r>
    <x v="193"/>
    <n v="10333"/>
    <n v="129"/>
    <x v="12"/>
    <x v="0"/>
    <x v="0"/>
    <x v="15"/>
    <n v="31"/>
    <n v="95.23"/>
    <n v="60.78"/>
    <n v="2952.13"/>
    <n v="1884.18"/>
    <n v="1067.95"/>
    <n v="3"/>
  </r>
  <r>
    <x v="193"/>
    <n v="10333"/>
    <n v="129"/>
    <x v="12"/>
    <x v="0"/>
    <x v="0"/>
    <x v="18"/>
    <n v="46"/>
    <n v="95.24"/>
    <n v="57.54"/>
    <n v="4381.04"/>
    <n v="2646.84"/>
    <n v="1734.2"/>
    <n v="3"/>
  </r>
  <r>
    <x v="193"/>
    <n v="10333"/>
    <n v="129"/>
    <x v="12"/>
    <x v="0"/>
    <x v="0"/>
    <x v="20"/>
    <n v="24"/>
    <n v="42.26"/>
    <n v="23.14"/>
    <n v="1014.24"/>
    <n v="555.36"/>
    <n v="458.88"/>
    <n v="3"/>
  </r>
  <r>
    <x v="193"/>
    <n v="10333"/>
    <n v="129"/>
    <x v="12"/>
    <x v="0"/>
    <x v="0"/>
    <x v="22"/>
    <n v="39"/>
    <n v="95.44"/>
    <n v="57.46"/>
    <n v="3722.16"/>
    <n v="2240.94"/>
    <n v="1481.22"/>
    <n v="3"/>
  </r>
  <r>
    <x v="193"/>
    <n v="10333"/>
    <n v="129"/>
    <x v="12"/>
    <x v="0"/>
    <x v="2"/>
    <x v="24"/>
    <n v="33"/>
    <n v="62.05"/>
    <n v="33.61"/>
    <n v="2047.65"/>
    <n v="1109.1300000000001"/>
    <n v="938.52"/>
    <n v="3"/>
  </r>
  <r>
    <x v="194"/>
    <n v="10335"/>
    <n v="124"/>
    <x v="13"/>
    <x v="0"/>
    <x v="1"/>
    <x v="33"/>
    <n v="33"/>
    <n v="32.880000000000003"/>
    <n v="15.91"/>
    <n v="1085.04"/>
    <n v="525.03"/>
    <n v="560.01"/>
    <n v="9"/>
  </r>
  <r>
    <x v="194"/>
    <n v="10335"/>
    <n v="124"/>
    <x v="13"/>
    <x v="0"/>
    <x v="2"/>
    <x v="23"/>
    <n v="44"/>
    <n v="77.05"/>
    <n v="53.93"/>
    <n v="3390.2"/>
    <n v="2372.92"/>
    <n v="1017.28"/>
    <n v="9"/>
  </r>
  <r>
    <x v="194"/>
    <n v="10335"/>
    <n v="124"/>
    <x v="13"/>
    <x v="0"/>
    <x v="2"/>
    <x v="35"/>
    <n v="40"/>
    <n v="49.78"/>
    <n v="25.98"/>
    <n v="1991.2"/>
    <n v="1039.2"/>
    <n v="952"/>
    <n v="9"/>
  </r>
  <r>
    <x v="194"/>
    <n v="10334"/>
    <n v="144"/>
    <x v="11"/>
    <x v="8"/>
    <x v="1"/>
    <x v="11"/>
    <n v="26"/>
    <n v="130.01"/>
    <n v="103.42"/>
    <n v="3380.26"/>
    <n v="2688.92"/>
    <n v="691.34"/>
    <n v="4"/>
  </r>
  <r>
    <x v="194"/>
    <n v="10334"/>
    <n v="144"/>
    <x v="11"/>
    <x v="8"/>
    <x v="2"/>
    <x v="29"/>
    <n v="46"/>
    <n v="108"/>
    <n v="74.86"/>
    <n v="4968"/>
    <n v="3443.56"/>
    <n v="1524.44"/>
    <n v="4"/>
  </r>
  <r>
    <x v="194"/>
    <n v="10334"/>
    <n v="144"/>
    <x v="11"/>
    <x v="8"/>
    <x v="2"/>
    <x v="14"/>
    <n v="34"/>
    <n v="52.87"/>
    <n v="24.92"/>
    <n v="1797.58"/>
    <n v="847.28"/>
    <n v="950.3"/>
    <n v="4"/>
  </r>
  <r>
    <x v="194"/>
    <n v="10334"/>
    <n v="144"/>
    <x v="11"/>
    <x v="8"/>
    <x v="1"/>
    <x v="30"/>
    <n v="20"/>
    <n v="147.33000000000001"/>
    <n v="77.900000000000006"/>
    <n v="2946.6"/>
    <n v="1558"/>
    <n v="1388.6"/>
    <n v="4"/>
  </r>
  <r>
    <x v="194"/>
    <n v="10334"/>
    <n v="144"/>
    <x v="11"/>
    <x v="8"/>
    <x v="2"/>
    <x v="19"/>
    <n v="49"/>
    <n v="101.71"/>
    <n v="84.76"/>
    <n v="4983.79"/>
    <n v="4153.24"/>
    <n v="830.55"/>
    <n v="4"/>
  </r>
  <r>
    <x v="194"/>
    <n v="10334"/>
    <n v="144"/>
    <x v="11"/>
    <x v="8"/>
    <x v="2"/>
    <x v="21"/>
    <n v="42"/>
    <n v="117.57"/>
    <n v="61.34"/>
    <n v="4937.9399999999996"/>
    <n v="2576.2800000000002"/>
    <n v="2361.66"/>
    <n v="4"/>
  </r>
  <r>
    <x v="195"/>
    <n v="10336"/>
    <n v="172"/>
    <x v="14"/>
    <x v="9"/>
    <x v="1"/>
    <x v="40"/>
    <n v="33"/>
    <n v="176.63"/>
    <n v="95.59"/>
    <n v="5828.79"/>
    <n v="3154.47"/>
    <n v="2674.32"/>
    <n v="3"/>
  </r>
  <r>
    <x v="195"/>
    <n v="10336"/>
    <n v="172"/>
    <x v="14"/>
    <x v="9"/>
    <x v="1"/>
    <x v="26"/>
    <n v="33"/>
    <n v="126.91"/>
    <n v="89.14"/>
    <n v="4188.03"/>
    <n v="2941.62"/>
    <n v="1246.4100000000001"/>
    <n v="3"/>
  </r>
  <r>
    <x v="195"/>
    <n v="10336"/>
    <n v="172"/>
    <x v="14"/>
    <x v="9"/>
    <x v="1"/>
    <x v="41"/>
    <n v="49"/>
    <n v="141.88"/>
    <n v="83.05"/>
    <n v="6952.12"/>
    <n v="4069.45"/>
    <n v="2882.67"/>
    <n v="3"/>
  </r>
  <r>
    <x v="195"/>
    <n v="10336"/>
    <n v="172"/>
    <x v="14"/>
    <x v="9"/>
    <x v="2"/>
    <x v="27"/>
    <n v="38"/>
    <n v="95.99"/>
    <n v="55.7"/>
    <n v="3647.62"/>
    <n v="2116.6"/>
    <n v="1531.02"/>
    <n v="3"/>
  </r>
  <r>
    <x v="195"/>
    <n v="10336"/>
    <n v="172"/>
    <x v="14"/>
    <x v="9"/>
    <x v="1"/>
    <x v="28"/>
    <n v="49"/>
    <n v="153.91"/>
    <n v="101.51"/>
    <n v="7541.59"/>
    <n v="4973.99"/>
    <n v="2567.6"/>
    <n v="3"/>
  </r>
  <r>
    <x v="195"/>
    <n v="10336"/>
    <n v="172"/>
    <x v="14"/>
    <x v="9"/>
    <x v="0"/>
    <x v="42"/>
    <n v="48"/>
    <n v="135.22"/>
    <n v="68.3"/>
    <n v="6490.56"/>
    <n v="3278.4"/>
    <n v="3212.16"/>
    <n v="3"/>
  </r>
  <r>
    <x v="195"/>
    <n v="10336"/>
    <n v="172"/>
    <x v="14"/>
    <x v="9"/>
    <x v="3"/>
    <x v="43"/>
    <n v="21"/>
    <n v="100.84"/>
    <n v="67.56"/>
    <n v="2117.64"/>
    <n v="1418.76"/>
    <n v="698.88"/>
    <n v="3"/>
  </r>
  <r>
    <x v="195"/>
    <n v="10336"/>
    <n v="172"/>
    <x v="14"/>
    <x v="9"/>
    <x v="1"/>
    <x v="32"/>
    <n v="45"/>
    <n v="49.71"/>
    <n v="32.369999999999997"/>
    <n v="2236.9499999999998"/>
    <n v="1456.65"/>
    <n v="780.3"/>
    <n v="3"/>
  </r>
  <r>
    <x v="195"/>
    <n v="10336"/>
    <n v="172"/>
    <x v="14"/>
    <x v="9"/>
    <x v="1"/>
    <x v="34"/>
    <n v="31"/>
    <n v="113.55"/>
    <n v="69.78"/>
    <n v="3520.05"/>
    <n v="2163.1799999999998"/>
    <n v="1356.87"/>
    <n v="3"/>
  </r>
  <r>
    <x v="195"/>
    <n v="10336"/>
    <n v="172"/>
    <x v="14"/>
    <x v="9"/>
    <x v="3"/>
    <x v="36"/>
    <n v="31"/>
    <n v="59.03"/>
    <n v="26.72"/>
    <n v="1829.93"/>
    <n v="828.32"/>
    <n v="1001.61"/>
    <n v="3"/>
  </r>
  <r>
    <x v="195"/>
    <n v="10336"/>
    <n v="172"/>
    <x v="14"/>
    <x v="9"/>
    <x v="2"/>
    <x v="37"/>
    <n v="23"/>
    <n v="109.96"/>
    <n v="68.290000000000006"/>
    <n v="2529.08"/>
    <n v="1570.67"/>
    <n v="958.41"/>
    <n v="3"/>
  </r>
  <r>
    <x v="195"/>
    <n v="10336"/>
    <n v="172"/>
    <x v="14"/>
    <x v="9"/>
    <x v="1"/>
    <x v="25"/>
    <n v="46"/>
    <n v="94.07"/>
    <n v="46.53"/>
    <n v="4327.22"/>
    <n v="2140.38"/>
    <n v="2186.84"/>
    <n v="3"/>
  </r>
  <r>
    <x v="196"/>
    <n v="10337"/>
    <n v="424"/>
    <x v="15"/>
    <x v="0"/>
    <x v="1"/>
    <x v="39"/>
    <n v="25"/>
    <n v="131.91999999999999"/>
    <n v="85.68"/>
    <n v="3298"/>
    <n v="2142"/>
    <n v="1156"/>
    <n v="3"/>
  </r>
  <r>
    <x v="196"/>
    <n v="10337"/>
    <n v="424"/>
    <x v="15"/>
    <x v="0"/>
    <x v="1"/>
    <x v="31"/>
    <n v="36"/>
    <n v="140.75"/>
    <n v="91.92"/>
    <n v="5067"/>
    <n v="3309.12"/>
    <n v="1757.88"/>
    <n v="3"/>
  </r>
  <r>
    <x v="196"/>
    <n v="10337"/>
    <n v="424"/>
    <x v="15"/>
    <x v="0"/>
    <x v="0"/>
    <x v="44"/>
    <n v="29"/>
    <n v="76.36"/>
    <n v="52.66"/>
    <n v="2214.44"/>
    <n v="1527.14"/>
    <n v="687.3"/>
    <n v="3"/>
  </r>
  <r>
    <x v="196"/>
    <n v="10337"/>
    <n v="424"/>
    <x v="15"/>
    <x v="0"/>
    <x v="4"/>
    <x v="45"/>
    <n v="29"/>
    <n v="119.2"/>
    <n v="82.34"/>
    <n v="3456.8"/>
    <n v="2387.86"/>
    <n v="1068.94"/>
    <n v="3"/>
  </r>
  <r>
    <x v="196"/>
    <n v="10337"/>
    <n v="424"/>
    <x v="15"/>
    <x v="0"/>
    <x v="3"/>
    <x v="38"/>
    <n v="21"/>
    <n v="54.48"/>
    <n v="37.49"/>
    <n v="1144.08"/>
    <n v="787.29"/>
    <n v="356.79"/>
    <n v="3"/>
  </r>
  <r>
    <x v="196"/>
    <n v="10337"/>
    <n v="424"/>
    <x v="15"/>
    <x v="0"/>
    <x v="4"/>
    <x v="49"/>
    <n v="36"/>
    <n v="73.62"/>
    <n v="43.3"/>
    <n v="2650.32"/>
    <n v="1558.8"/>
    <n v="1091.52"/>
    <n v="3"/>
  </r>
  <r>
    <x v="196"/>
    <n v="10337"/>
    <n v="424"/>
    <x v="15"/>
    <x v="0"/>
    <x v="4"/>
    <x v="51"/>
    <n v="31"/>
    <n v="84.14"/>
    <n v="51.09"/>
    <n v="2608.34"/>
    <n v="1583.79"/>
    <n v="1024.55"/>
    <n v="3"/>
  </r>
  <r>
    <x v="196"/>
    <n v="10337"/>
    <n v="424"/>
    <x v="15"/>
    <x v="0"/>
    <x v="4"/>
    <x v="52"/>
    <n v="36"/>
    <n v="83.42"/>
    <n v="53.63"/>
    <n v="3003.12"/>
    <n v="1930.68"/>
    <n v="1072.44"/>
    <n v="3"/>
  </r>
  <r>
    <x v="196"/>
    <n v="10337"/>
    <n v="424"/>
    <x v="15"/>
    <x v="0"/>
    <x v="4"/>
    <x v="53"/>
    <n v="42"/>
    <n v="49.14"/>
    <n v="33.299999999999997"/>
    <n v="2063.88"/>
    <n v="1398.6"/>
    <n v="665.28"/>
    <n v="3"/>
  </r>
  <r>
    <x v="197"/>
    <n v="10338"/>
    <n v="381"/>
    <x v="16"/>
    <x v="10"/>
    <x v="5"/>
    <x v="54"/>
    <n v="41"/>
    <n v="137.19"/>
    <n v="77.27"/>
    <n v="5624.79"/>
    <n v="3168.07"/>
    <n v="2456.7199999999998"/>
    <n v="3"/>
  </r>
  <r>
    <x v="197"/>
    <n v="10338"/>
    <n v="381"/>
    <x v="16"/>
    <x v="10"/>
    <x v="4"/>
    <x v="56"/>
    <n v="28"/>
    <n v="80.86"/>
    <n v="51.61"/>
    <n v="2264.08"/>
    <n v="1445.08"/>
    <n v="819"/>
    <n v="3"/>
  </r>
  <r>
    <x v="197"/>
    <n v="10338"/>
    <n v="381"/>
    <x v="16"/>
    <x v="10"/>
    <x v="0"/>
    <x v="57"/>
    <n v="45"/>
    <n v="93.17"/>
    <n v="64.58"/>
    <n v="4192.6499999999996"/>
    <n v="2906.1"/>
    <n v="1286.55"/>
    <n v="3"/>
  </r>
  <r>
    <x v="198"/>
    <n v="10339"/>
    <n v="398"/>
    <x v="90"/>
    <x v="18"/>
    <x v="6"/>
    <x v="73"/>
    <n v="40"/>
    <n v="117.75"/>
    <n v="68.989999999999995"/>
    <n v="4710"/>
    <n v="2759.6"/>
    <n v="1950.4"/>
    <n v="2"/>
  </r>
  <r>
    <x v="198"/>
    <n v="10339"/>
    <n v="398"/>
    <x v="90"/>
    <x v="18"/>
    <x v="6"/>
    <x v="74"/>
    <n v="39"/>
    <n v="178.17"/>
    <n v="91.02"/>
    <n v="6948.63"/>
    <n v="3549.78"/>
    <n v="3398.85"/>
    <n v="2"/>
  </r>
  <r>
    <x v="198"/>
    <n v="10339"/>
    <n v="398"/>
    <x v="90"/>
    <x v="18"/>
    <x v="5"/>
    <x v="55"/>
    <n v="27"/>
    <n v="79.41"/>
    <n v="49"/>
    <n v="2144.0700000000002"/>
    <n v="1323"/>
    <n v="821.07"/>
    <n v="2"/>
  </r>
  <r>
    <x v="198"/>
    <n v="10339"/>
    <n v="398"/>
    <x v="90"/>
    <x v="18"/>
    <x v="6"/>
    <x v="76"/>
    <n v="30"/>
    <n v="48.46"/>
    <n v="24.23"/>
    <n v="1453.8"/>
    <n v="726.9"/>
    <n v="726.9"/>
    <n v="2"/>
  </r>
  <r>
    <x v="198"/>
    <n v="10339"/>
    <n v="398"/>
    <x v="90"/>
    <x v="18"/>
    <x v="6"/>
    <x v="77"/>
    <n v="27"/>
    <n v="96.92"/>
    <n v="60.86"/>
    <n v="2616.84"/>
    <n v="1643.22"/>
    <n v="973.62"/>
    <n v="2"/>
  </r>
  <r>
    <x v="198"/>
    <n v="10339"/>
    <n v="398"/>
    <x v="90"/>
    <x v="18"/>
    <x v="5"/>
    <x v="58"/>
    <n v="21"/>
    <n v="106.14"/>
    <n v="66.739999999999995"/>
    <n v="2228.94"/>
    <n v="1401.54"/>
    <n v="827.4"/>
    <n v="2"/>
  </r>
  <r>
    <x v="198"/>
    <n v="10339"/>
    <n v="398"/>
    <x v="90"/>
    <x v="18"/>
    <x v="5"/>
    <x v="59"/>
    <n v="55"/>
    <n v="67.819999999999993"/>
    <n v="34.25"/>
    <n v="3730.1"/>
    <n v="1883.75"/>
    <n v="1846.35"/>
    <n v="2"/>
  </r>
  <r>
    <x v="198"/>
    <n v="10339"/>
    <n v="398"/>
    <x v="90"/>
    <x v="18"/>
    <x v="0"/>
    <x v="46"/>
    <n v="55"/>
    <n v="73.459999999999994"/>
    <n v="46.91"/>
    <n v="4040.3"/>
    <n v="2580.0500000000002"/>
    <n v="1460.25"/>
    <n v="2"/>
  </r>
  <r>
    <x v="198"/>
    <n v="10339"/>
    <n v="398"/>
    <x v="90"/>
    <x v="18"/>
    <x v="0"/>
    <x v="60"/>
    <n v="29"/>
    <n v="57.86"/>
    <n v="26.3"/>
    <n v="1677.94"/>
    <n v="762.7"/>
    <n v="915.24"/>
    <n v="2"/>
  </r>
  <r>
    <x v="198"/>
    <n v="10339"/>
    <n v="398"/>
    <x v="90"/>
    <x v="18"/>
    <x v="0"/>
    <x v="47"/>
    <n v="42"/>
    <n v="72.959999999999994"/>
    <n v="48.64"/>
    <n v="3064.32"/>
    <n v="2042.88"/>
    <n v="1021.44"/>
    <n v="2"/>
  </r>
  <r>
    <x v="198"/>
    <n v="10339"/>
    <n v="398"/>
    <x v="90"/>
    <x v="18"/>
    <x v="5"/>
    <x v="61"/>
    <n v="45"/>
    <n v="57.32"/>
    <n v="29.34"/>
    <n v="2579.4"/>
    <n v="1320.3"/>
    <n v="1259.0999999999999"/>
    <n v="2"/>
  </r>
  <r>
    <x v="198"/>
    <n v="10339"/>
    <n v="398"/>
    <x v="90"/>
    <x v="18"/>
    <x v="4"/>
    <x v="48"/>
    <n v="22"/>
    <n v="53.34"/>
    <n v="34"/>
    <n v="1173.48"/>
    <n v="748"/>
    <n v="425.48"/>
    <n v="2"/>
  </r>
  <r>
    <x v="198"/>
    <n v="10339"/>
    <n v="398"/>
    <x v="90"/>
    <x v="18"/>
    <x v="4"/>
    <x v="66"/>
    <n v="55"/>
    <n v="86.9"/>
    <n v="39.83"/>
    <n v="4779.5"/>
    <n v="2190.65"/>
    <n v="2588.85"/>
    <n v="2"/>
  </r>
  <r>
    <x v="198"/>
    <n v="10339"/>
    <n v="398"/>
    <x v="90"/>
    <x v="18"/>
    <x v="4"/>
    <x v="50"/>
    <n v="50"/>
    <n v="62.16"/>
    <n v="33.97"/>
    <n v="3108"/>
    <n v="1698.5"/>
    <n v="1409.5"/>
    <n v="2"/>
  </r>
  <r>
    <x v="198"/>
    <n v="10339"/>
    <n v="398"/>
    <x v="90"/>
    <x v="18"/>
    <x v="5"/>
    <x v="70"/>
    <n v="50"/>
    <n v="66.63"/>
    <n v="36.270000000000003"/>
    <n v="3331.5"/>
    <n v="1813.5"/>
    <n v="1518"/>
    <n v="2"/>
  </r>
  <r>
    <x v="198"/>
    <n v="10339"/>
    <n v="398"/>
    <x v="90"/>
    <x v="18"/>
    <x v="5"/>
    <x v="71"/>
    <n v="27"/>
    <n v="49.66"/>
    <n v="32.770000000000003"/>
    <n v="1340.82"/>
    <n v="884.79"/>
    <n v="456.03"/>
    <n v="2"/>
  </r>
  <r>
    <x v="199"/>
    <n v="10343"/>
    <n v="353"/>
    <x v="21"/>
    <x v="9"/>
    <x v="1"/>
    <x v="101"/>
    <n v="36"/>
    <n v="109.51"/>
    <n v="65.959999999999994"/>
    <n v="3942.36"/>
    <n v="2374.56"/>
    <n v="1567.8"/>
    <n v="3"/>
  </r>
  <r>
    <x v="199"/>
    <n v="10343"/>
    <n v="353"/>
    <x v="21"/>
    <x v="9"/>
    <x v="1"/>
    <x v="98"/>
    <n v="25"/>
    <n v="118.8"/>
    <n v="56.76"/>
    <n v="2970"/>
    <n v="1419"/>
    <n v="1551"/>
    <n v="3"/>
  </r>
  <r>
    <x v="199"/>
    <n v="10343"/>
    <n v="353"/>
    <x v="21"/>
    <x v="9"/>
    <x v="1"/>
    <x v="99"/>
    <n v="44"/>
    <n v="127.15"/>
    <n v="62.16"/>
    <n v="5594.6"/>
    <n v="2735.04"/>
    <n v="2859.56"/>
    <n v="3"/>
  </r>
  <r>
    <x v="199"/>
    <n v="10343"/>
    <n v="353"/>
    <x v="21"/>
    <x v="9"/>
    <x v="1"/>
    <x v="104"/>
    <n v="27"/>
    <n v="44.78"/>
    <n v="29.18"/>
    <n v="1209.06"/>
    <n v="787.86"/>
    <n v="421.2"/>
    <n v="3"/>
  </r>
  <r>
    <x v="199"/>
    <n v="10343"/>
    <n v="353"/>
    <x v="21"/>
    <x v="9"/>
    <x v="1"/>
    <x v="92"/>
    <n v="30"/>
    <n v="76.8"/>
    <n v="32.33"/>
    <n v="2304"/>
    <n v="969.9"/>
    <n v="1334.1"/>
    <n v="3"/>
  </r>
  <r>
    <x v="199"/>
    <n v="10343"/>
    <n v="353"/>
    <x v="21"/>
    <x v="9"/>
    <x v="6"/>
    <x v="93"/>
    <n v="29"/>
    <n v="37.409999999999997"/>
    <n v="24.14"/>
    <n v="1084.8900000000001"/>
    <n v="700.06"/>
    <n v="384.83"/>
    <n v="3"/>
  </r>
  <r>
    <x v="199"/>
    <n v="10341"/>
    <n v="382"/>
    <x v="19"/>
    <x v="12"/>
    <x v="6"/>
    <x v="72"/>
    <n v="41"/>
    <n v="84.22"/>
    <n v="48.81"/>
    <n v="3453.02"/>
    <n v="2001.21"/>
    <n v="1451.81"/>
    <n v="3"/>
  </r>
  <r>
    <x v="199"/>
    <n v="10341"/>
    <n v="382"/>
    <x v="19"/>
    <x v="12"/>
    <x v="1"/>
    <x v="80"/>
    <n v="45"/>
    <n v="192.62"/>
    <n v="95.34"/>
    <n v="8667.9"/>
    <n v="4290.3"/>
    <n v="4377.6000000000004"/>
    <n v="3"/>
  </r>
  <r>
    <x v="199"/>
    <n v="10341"/>
    <n v="382"/>
    <x v="19"/>
    <x v="12"/>
    <x v="6"/>
    <x v="75"/>
    <n v="55"/>
    <n v="120.5"/>
    <n v="66.27"/>
    <n v="6627.5"/>
    <n v="3644.85"/>
    <n v="2982.65"/>
    <n v="3"/>
  </r>
  <r>
    <x v="199"/>
    <n v="10341"/>
    <n v="382"/>
    <x v="19"/>
    <x v="12"/>
    <x v="1"/>
    <x v="81"/>
    <n v="44"/>
    <n v="111.57"/>
    <n v="75.16"/>
    <n v="4909.08"/>
    <n v="3307.04"/>
    <n v="1602.04"/>
    <n v="3"/>
  </r>
  <r>
    <x v="199"/>
    <n v="10341"/>
    <n v="382"/>
    <x v="19"/>
    <x v="12"/>
    <x v="1"/>
    <x v="82"/>
    <n v="36"/>
    <n v="77.41"/>
    <n v="31.92"/>
    <n v="2786.76"/>
    <n v="1149.1199999999999"/>
    <n v="1637.64"/>
    <n v="3"/>
  </r>
  <r>
    <x v="199"/>
    <n v="10341"/>
    <n v="382"/>
    <x v="19"/>
    <x v="12"/>
    <x v="1"/>
    <x v="83"/>
    <n v="55"/>
    <n v="109.4"/>
    <n v="58.73"/>
    <n v="6017"/>
    <n v="3230.15"/>
    <n v="2786.85"/>
    <n v="3"/>
  </r>
  <r>
    <x v="199"/>
    <n v="10341"/>
    <n v="382"/>
    <x v="19"/>
    <x v="12"/>
    <x v="6"/>
    <x v="89"/>
    <n v="32"/>
    <n v="63.03"/>
    <n v="47.1"/>
    <n v="2016.96"/>
    <n v="1507.2"/>
    <n v="509.76"/>
    <n v="3"/>
  </r>
  <r>
    <x v="199"/>
    <n v="10341"/>
    <n v="382"/>
    <x v="19"/>
    <x v="12"/>
    <x v="6"/>
    <x v="94"/>
    <n v="31"/>
    <n v="95.93"/>
    <n v="56.13"/>
    <n v="2973.83"/>
    <n v="1740.03"/>
    <n v="1233.8"/>
    <n v="3"/>
  </r>
  <r>
    <x v="199"/>
    <n v="10341"/>
    <n v="382"/>
    <x v="19"/>
    <x v="12"/>
    <x v="6"/>
    <x v="95"/>
    <n v="38"/>
    <n v="78.11"/>
    <n v="34.17"/>
    <n v="2968.18"/>
    <n v="1298.46"/>
    <n v="1669.72"/>
    <n v="3"/>
  </r>
  <r>
    <x v="199"/>
    <n v="10341"/>
    <n v="382"/>
    <x v="19"/>
    <x v="12"/>
    <x v="5"/>
    <x v="69"/>
    <n v="34"/>
    <n v="70.400000000000006"/>
    <n v="54.4"/>
    <n v="2393.6"/>
    <n v="1849.6"/>
    <n v="544"/>
    <n v="3"/>
  </r>
  <r>
    <x v="199"/>
    <n v="10342"/>
    <n v="114"/>
    <x v="20"/>
    <x v="13"/>
    <x v="1"/>
    <x v="96"/>
    <n v="40"/>
    <n v="118.89"/>
    <n v="83.51"/>
    <n v="4755.6000000000004"/>
    <n v="3340.4"/>
    <n v="1415.2"/>
    <n v="4"/>
  </r>
  <r>
    <x v="199"/>
    <n v="10342"/>
    <n v="114"/>
    <x v="20"/>
    <x v="13"/>
    <x v="1"/>
    <x v="84"/>
    <n v="55"/>
    <n v="63.14"/>
    <n v="53.9"/>
    <n v="3472.7"/>
    <n v="2964.5"/>
    <n v="508.2"/>
    <n v="4"/>
  </r>
  <r>
    <x v="199"/>
    <n v="10342"/>
    <n v="114"/>
    <x v="20"/>
    <x v="13"/>
    <x v="1"/>
    <x v="97"/>
    <n v="22"/>
    <n v="115.22"/>
    <n v="93.89"/>
    <n v="2534.84"/>
    <n v="2065.58"/>
    <n v="469.26"/>
    <n v="4"/>
  </r>
  <r>
    <x v="199"/>
    <n v="10342"/>
    <n v="114"/>
    <x v="20"/>
    <x v="13"/>
    <x v="1"/>
    <x v="30"/>
    <n v="30"/>
    <n v="167.65"/>
    <n v="77.900000000000006"/>
    <n v="5029.5"/>
    <n v="2337"/>
    <n v="2692.5"/>
    <n v="4"/>
  </r>
  <r>
    <x v="199"/>
    <n v="10342"/>
    <n v="114"/>
    <x v="20"/>
    <x v="13"/>
    <x v="1"/>
    <x v="85"/>
    <n v="25"/>
    <n v="76.39"/>
    <n v="49.05"/>
    <n v="1909.75"/>
    <n v="1226.25"/>
    <n v="683.5"/>
    <n v="4"/>
  </r>
  <r>
    <x v="199"/>
    <n v="10342"/>
    <n v="114"/>
    <x v="20"/>
    <x v="13"/>
    <x v="1"/>
    <x v="86"/>
    <n v="55"/>
    <n v="136.69999999999999"/>
    <n v="73.489999999999995"/>
    <n v="7518.5"/>
    <n v="4041.95"/>
    <n v="3476.55"/>
    <n v="4"/>
  </r>
  <r>
    <x v="199"/>
    <n v="10342"/>
    <n v="114"/>
    <x v="20"/>
    <x v="13"/>
    <x v="6"/>
    <x v="87"/>
    <n v="26"/>
    <n v="57.82"/>
    <n v="32.950000000000003"/>
    <n v="1503.32"/>
    <n v="856.7"/>
    <n v="646.62"/>
    <n v="4"/>
  </r>
  <r>
    <x v="199"/>
    <n v="10342"/>
    <n v="114"/>
    <x v="20"/>
    <x v="13"/>
    <x v="1"/>
    <x v="88"/>
    <n v="38"/>
    <n v="124.99"/>
    <n v="69.930000000000007"/>
    <n v="4749.62"/>
    <n v="2657.34"/>
    <n v="2092.2800000000002"/>
    <n v="4"/>
  </r>
  <r>
    <x v="199"/>
    <n v="10342"/>
    <n v="114"/>
    <x v="20"/>
    <x v="13"/>
    <x v="1"/>
    <x v="100"/>
    <n v="39"/>
    <n v="30.59"/>
    <n v="16.239999999999998"/>
    <n v="1193.01"/>
    <n v="633.36"/>
    <n v="559.65"/>
    <n v="4"/>
  </r>
  <r>
    <x v="199"/>
    <n v="10342"/>
    <n v="114"/>
    <x v="20"/>
    <x v="13"/>
    <x v="1"/>
    <x v="90"/>
    <n v="48"/>
    <n v="60.01"/>
    <n v="38.58"/>
    <n v="2880.48"/>
    <n v="1851.84"/>
    <n v="1028.6400000000001"/>
    <n v="4"/>
  </r>
  <r>
    <x v="199"/>
    <n v="10342"/>
    <n v="114"/>
    <x v="20"/>
    <x v="13"/>
    <x v="1"/>
    <x v="91"/>
    <n v="42"/>
    <n v="112.34"/>
    <n v="98.3"/>
    <n v="4718.28"/>
    <n v="4128.6000000000004"/>
    <n v="589.67999999999995"/>
    <n v="4"/>
  </r>
  <r>
    <x v="199"/>
    <n v="10340"/>
    <n v="216"/>
    <x v="18"/>
    <x v="3"/>
    <x v="6"/>
    <x v="78"/>
    <n v="55"/>
    <n v="62.46"/>
    <n v="37.32"/>
    <n v="3435.3"/>
    <n v="2052.6"/>
    <n v="1382.7"/>
    <n v="3"/>
  </r>
  <r>
    <x v="199"/>
    <n v="10340"/>
    <n v="216"/>
    <x v="18"/>
    <x v="3"/>
    <x v="5"/>
    <x v="62"/>
    <n v="40"/>
    <n v="63.76"/>
    <n v="36.229999999999997"/>
    <n v="2550.4"/>
    <n v="1449.2"/>
    <n v="1101.2"/>
    <n v="3"/>
  </r>
  <r>
    <x v="199"/>
    <n v="10340"/>
    <n v="216"/>
    <x v="18"/>
    <x v="3"/>
    <x v="6"/>
    <x v="79"/>
    <n v="55"/>
    <n v="95.89"/>
    <n v="66.92"/>
    <n v="5273.95"/>
    <n v="3680.6"/>
    <n v="1593.35"/>
    <n v="3"/>
  </r>
  <r>
    <x v="199"/>
    <n v="10340"/>
    <n v="216"/>
    <x v="18"/>
    <x v="3"/>
    <x v="0"/>
    <x v="63"/>
    <n v="39"/>
    <n v="67.41"/>
    <n v="33.020000000000003"/>
    <n v="2628.99"/>
    <n v="1287.78"/>
    <n v="1341.21"/>
    <n v="3"/>
  </r>
  <r>
    <x v="199"/>
    <n v="10340"/>
    <n v="216"/>
    <x v="18"/>
    <x v="3"/>
    <x v="0"/>
    <x v="64"/>
    <n v="40"/>
    <n v="37.090000000000003"/>
    <n v="27.06"/>
    <n v="1483.6"/>
    <n v="1082.4000000000001"/>
    <n v="401.2"/>
    <n v="3"/>
  </r>
  <r>
    <x v="199"/>
    <n v="10340"/>
    <n v="216"/>
    <x v="18"/>
    <x v="3"/>
    <x v="5"/>
    <x v="65"/>
    <n v="30"/>
    <n v="73.989999999999995"/>
    <n v="51.15"/>
    <n v="2219.6999999999998"/>
    <n v="1534.5"/>
    <n v="685.2"/>
    <n v="3"/>
  </r>
  <r>
    <x v="199"/>
    <n v="10340"/>
    <n v="216"/>
    <x v="18"/>
    <x v="3"/>
    <x v="5"/>
    <x v="67"/>
    <n v="55"/>
    <n v="81.77"/>
    <n v="68.8"/>
    <n v="4497.3500000000004"/>
    <n v="3784"/>
    <n v="713.35"/>
    <n v="3"/>
  </r>
  <r>
    <x v="199"/>
    <n v="10340"/>
    <n v="216"/>
    <x v="18"/>
    <x v="3"/>
    <x v="5"/>
    <x v="68"/>
    <n v="29"/>
    <n v="98.48"/>
    <n v="59.33"/>
    <n v="2855.92"/>
    <n v="1720.57"/>
    <n v="1135.3499999999999"/>
    <n v="3"/>
  </r>
  <r>
    <x v="200"/>
    <n v="10345"/>
    <n v="103"/>
    <x v="23"/>
    <x v="9"/>
    <x v="0"/>
    <x v="7"/>
    <n v="43"/>
    <n v="38.979999999999997"/>
    <n v="20.61"/>
    <n v="1676.14"/>
    <n v="886.23"/>
    <n v="789.91"/>
    <n v="3"/>
  </r>
  <r>
    <x v="200"/>
    <n v="10344"/>
    <n v="350"/>
    <x v="22"/>
    <x v="9"/>
    <x v="0"/>
    <x v="0"/>
    <n v="45"/>
    <n v="168.3"/>
    <n v="86.7"/>
    <n v="7573.5"/>
    <n v="3901.5"/>
    <n v="3672"/>
    <n v="2"/>
  </r>
  <r>
    <x v="200"/>
    <n v="10344"/>
    <n v="350"/>
    <x v="22"/>
    <x v="9"/>
    <x v="0"/>
    <x v="1"/>
    <n v="40"/>
    <n v="49.04"/>
    <n v="33.299999999999997"/>
    <n v="1961.6"/>
    <n v="1332"/>
    <n v="629.6"/>
    <n v="2"/>
  </r>
  <r>
    <x v="200"/>
    <n v="10344"/>
    <n v="350"/>
    <x v="22"/>
    <x v="9"/>
    <x v="0"/>
    <x v="4"/>
    <n v="30"/>
    <n v="118.23"/>
    <n v="58.48"/>
    <n v="3546.9"/>
    <n v="1754.4"/>
    <n v="1792.5"/>
    <n v="2"/>
  </r>
  <r>
    <x v="200"/>
    <n v="10344"/>
    <n v="350"/>
    <x v="22"/>
    <x v="9"/>
    <x v="0"/>
    <x v="2"/>
    <n v="21"/>
    <n v="80.989999999999995"/>
    <n v="43.26"/>
    <n v="1700.79"/>
    <n v="908.46"/>
    <n v="792.33"/>
    <n v="2"/>
  </r>
  <r>
    <x v="200"/>
    <n v="10344"/>
    <n v="350"/>
    <x v="22"/>
    <x v="9"/>
    <x v="1"/>
    <x v="102"/>
    <n v="26"/>
    <n v="68.42"/>
    <n v="34.21"/>
    <n v="1778.92"/>
    <n v="889.46"/>
    <n v="889.46"/>
    <n v="2"/>
  </r>
  <r>
    <x v="200"/>
    <n v="10344"/>
    <n v="350"/>
    <x v="22"/>
    <x v="9"/>
    <x v="1"/>
    <x v="103"/>
    <n v="29"/>
    <n v="61"/>
    <n v="49.24"/>
    <n v="1769"/>
    <n v="1427.96"/>
    <n v="341.04"/>
    <n v="2"/>
  </r>
  <r>
    <x v="200"/>
    <n v="10344"/>
    <n v="350"/>
    <x v="22"/>
    <x v="9"/>
    <x v="0"/>
    <x v="6"/>
    <n v="20"/>
    <n v="27.88"/>
    <n v="22.57"/>
    <n v="557.6"/>
    <n v="451.4"/>
    <n v="106.2"/>
    <n v="2"/>
  </r>
  <r>
    <x v="201"/>
    <n v="10346"/>
    <n v="112"/>
    <x v="24"/>
    <x v="0"/>
    <x v="0"/>
    <x v="8"/>
    <n v="42"/>
    <n v="88.36"/>
    <n v="60.62"/>
    <n v="3711.12"/>
    <n v="2546.04"/>
    <n v="1165.08"/>
    <n v="3"/>
  </r>
  <r>
    <x v="201"/>
    <n v="10346"/>
    <n v="112"/>
    <x v="24"/>
    <x v="0"/>
    <x v="1"/>
    <x v="105"/>
    <n v="25"/>
    <n v="87.24"/>
    <n v="47.25"/>
    <n v="2181"/>
    <n v="1181.25"/>
    <n v="999.75"/>
    <n v="3"/>
  </r>
  <r>
    <x v="201"/>
    <n v="10346"/>
    <n v="112"/>
    <x v="24"/>
    <x v="0"/>
    <x v="1"/>
    <x v="106"/>
    <n v="24"/>
    <n v="117.44"/>
    <n v="72.819999999999993"/>
    <n v="2818.56"/>
    <n v="1747.68"/>
    <n v="1070.8800000000001"/>
    <n v="3"/>
  </r>
  <r>
    <x v="201"/>
    <n v="10346"/>
    <n v="112"/>
    <x v="24"/>
    <x v="0"/>
    <x v="1"/>
    <x v="107"/>
    <n v="24"/>
    <n v="80.47"/>
    <n v="50.51"/>
    <n v="1931.28"/>
    <n v="1212.24"/>
    <n v="719.04"/>
    <n v="3"/>
  </r>
  <r>
    <x v="201"/>
    <n v="10346"/>
    <n v="112"/>
    <x v="24"/>
    <x v="0"/>
    <x v="1"/>
    <x v="108"/>
    <n v="26"/>
    <n v="103.87"/>
    <n v="62.11"/>
    <n v="2700.62"/>
    <n v="1614.86"/>
    <n v="1085.76"/>
    <n v="3"/>
  </r>
  <r>
    <x v="201"/>
    <n v="10346"/>
    <n v="112"/>
    <x v="24"/>
    <x v="0"/>
    <x v="0"/>
    <x v="3"/>
    <n v="22"/>
    <n v="38.57"/>
    <n v="21.75"/>
    <n v="848.54"/>
    <n v="478.5"/>
    <n v="370.04"/>
    <n v="3"/>
  </r>
  <r>
    <x v="201"/>
    <n v="10347"/>
    <n v="114"/>
    <x v="20"/>
    <x v="13"/>
    <x v="1"/>
    <x v="10"/>
    <n v="30"/>
    <n v="188.58"/>
    <n v="98.58"/>
    <n v="5657.4"/>
    <n v="2957.4"/>
    <n v="2700"/>
    <n v="5"/>
  </r>
  <r>
    <x v="201"/>
    <n v="10347"/>
    <n v="114"/>
    <x v="20"/>
    <x v="13"/>
    <x v="1"/>
    <x v="11"/>
    <n v="27"/>
    <n v="132.97"/>
    <n v="103.42"/>
    <n v="3590.19"/>
    <n v="2792.34"/>
    <n v="797.85"/>
    <n v="5"/>
  </r>
  <r>
    <x v="201"/>
    <n v="10347"/>
    <n v="114"/>
    <x v="20"/>
    <x v="13"/>
    <x v="2"/>
    <x v="12"/>
    <n v="29"/>
    <n v="132.57"/>
    <n v="77.900000000000006"/>
    <n v="3844.53"/>
    <n v="2259.1"/>
    <n v="1585.43"/>
    <n v="5"/>
  </r>
  <r>
    <x v="201"/>
    <n v="10347"/>
    <n v="114"/>
    <x v="20"/>
    <x v="13"/>
    <x v="2"/>
    <x v="13"/>
    <n v="42"/>
    <n v="113.17"/>
    <n v="58.33"/>
    <n v="4753.1400000000003"/>
    <n v="2449.86"/>
    <n v="2303.2800000000002"/>
    <n v="5"/>
  </r>
  <r>
    <x v="201"/>
    <n v="10347"/>
    <n v="114"/>
    <x v="20"/>
    <x v="13"/>
    <x v="0"/>
    <x v="9"/>
    <n v="21"/>
    <n v="46.36"/>
    <n v="24.26"/>
    <n v="973.56"/>
    <n v="509.46"/>
    <n v="464.1"/>
    <n v="5"/>
  </r>
  <r>
    <x v="201"/>
    <n v="10347"/>
    <n v="114"/>
    <x v="20"/>
    <x v="13"/>
    <x v="2"/>
    <x v="14"/>
    <n v="50"/>
    <n v="51.05"/>
    <n v="24.92"/>
    <n v="2552.5"/>
    <n v="1246"/>
    <n v="1306.5"/>
    <n v="5"/>
  </r>
  <r>
    <x v="201"/>
    <n v="10347"/>
    <n v="114"/>
    <x v="20"/>
    <x v="13"/>
    <x v="0"/>
    <x v="5"/>
    <n v="21"/>
    <n v="136.69"/>
    <n v="72.56"/>
    <n v="2870.49"/>
    <n v="1523.76"/>
    <n v="1346.73"/>
    <n v="5"/>
  </r>
  <r>
    <x v="201"/>
    <n v="10347"/>
    <n v="114"/>
    <x v="20"/>
    <x v="13"/>
    <x v="0"/>
    <x v="15"/>
    <n v="48"/>
    <n v="84.09"/>
    <n v="60.78"/>
    <n v="4036.32"/>
    <n v="2917.44"/>
    <n v="1118.8800000000001"/>
    <n v="5"/>
  </r>
  <r>
    <x v="201"/>
    <n v="10347"/>
    <n v="114"/>
    <x v="20"/>
    <x v="13"/>
    <x v="0"/>
    <x v="16"/>
    <n v="34"/>
    <n v="60.59"/>
    <n v="34.35"/>
    <n v="2060.06"/>
    <n v="1167.9000000000001"/>
    <n v="892.16"/>
    <n v="5"/>
  </r>
  <r>
    <x v="201"/>
    <n v="10347"/>
    <n v="114"/>
    <x v="20"/>
    <x v="13"/>
    <x v="0"/>
    <x v="17"/>
    <n v="45"/>
    <n v="95.3"/>
    <n v="60.74"/>
    <n v="4288.5"/>
    <n v="2733.3"/>
    <n v="1555.2"/>
    <n v="5"/>
  </r>
  <r>
    <x v="201"/>
    <n v="10347"/>
    <n v="114"/>
    <x v="20"/>
    <x v="13"/>
    <x v="0"/>
    <x v="18"/>
    <n v="26"/>
    <n v="84.33"/>
    <n v="57.54"/>
    <n v="2192.58"/>
    <n v="1496.04"/>
    <n v="696.54"/>
    <n v="5"/>
  </r>
  <r>
    <x v="201"/>
    <n v="10347"/>
    <n v="114"/>
    <x v="20"/>
    <x v="13"/>
    <x v="2"/>
    <x v="19"/>
    <n v="45"/>
    <n v="115.03"/>
    <n v="84.76"/>
    <n v="5176.3500000000004"/>
    <n v="3814.2"/>
    <n v="1362.15"/>
    <n v="5"/>
  </r>
  <r>
    <x v="202"/>
    <n v="10349"/>
    <n v="151"/>
    <x v="26"/>
    <x v="0"/>
    <x v="1"/>
    <x v="41"/>
    <n v="26"/>
    <n v="166.1"/>
    <n v="83.05"/>
    <n v="4318.6000000000004"/>
    <n v="2159.3000000000002"/>
    <n v="2159.3000000000002"/>
    <n v="4"/>
  </r>
  <r>
    <x v="202"/>
    <n v="10349"/>
    <n v="151"/>
    <x v="26"/>
    <x v="0"/>
    <x v="2"/>
    <x v="27"/>
    <n v="48"/>
    <n v="114.95"/>
    <n v="55.7"/>
    <n v="5517.6"/>
    <n v="2673.6"/>
    <n v="2844"/>
    <n v="4"/>
  </r>
  <r>
    <x v="202"/>
    <n v="10349"/>
    <n v="151"/>
    <x v="26"/>
    <x v="0"/>
    <x v="1"/>
    <x v="28"/>
    <n v="38"/>
    <n v="142.44999999999999"/>
    <n v="101.51"/>
    <n v="5413.1"/>
    <n v="3857.38"/>
    <n v="1555.72"/>
    <n v="4"/>
  </r>
  <r>
    <x v="202"/>
    <n v="10349"/>
    <n v="151"/>
    <x v="26"/>
    <x v="0"/>
    <x v="2"/>
    <x v="29"/>
    <n v="38"/>
    <n v="117.82"/>
    <n v="74.86"/>
    <n v="4477.16"/>
    <n v="2844.68"/>
    <n v="1632.48"/>
    <n v="4"/>
  </r>
  <r>
    <x v="202"/>
    <n v="10349"/>
    <n v="151"/>
    <x v="26"/>
    <x v="0"/>
    <x v="1"/>
    <x v="30"/>
    <n v="48"/>
    <n v="164.26"/>
    <n v="77.900000000000006"/>
    <n v="7884.48"/>
    <n v="3739.2"/>
    <n v="4145.28"/>
    <n v="4"/>
  </r>
  <r>
    <x v="202"/>
    <n v="10349"/>
    <n v="151"/>
    <x v="26"/>
    <x v="0"/>
    <x v="1"/>
    <x v="31"/>
    <n v="34"/>
    <n v="140.75"/>
    <n v="91.92"/>
    <n v="4785.5"/>
    <n v="3125.28"/>
    <n v="1660.22"/>
    <n v="4"/>
  </r>
  <r>
    <x v="202"/>
    <n v="10349"/>
    <n v="151"/>
    <x v="26"/>
    <x v="0"/>
    <x v="1"/>
    <x v="32"/>
    <n v="48"/>
    <n v="50.29"/>
    <n v="32.369999999999997"/>
    <n v="2413.92"/>
    <n v="1553.76"/>
    <n v="860.16"/>
    <n v="4"/>
  </r>
  <r>
    <x v="202"/>
    <n v="10349"/>
    <n v="151"/>
    <x v="26"/>
    <x v="0"/>
    <x v="1"/>
    <x v="33"/>
    <n v="36"/>
    <n v="31.47"/>
    <n v="15.91"/>
    <n v="1132.92"/>
    <n v="572.76"/>
    <n v="560.16"/>
    <n v="4"/>
  </r>
  <r>
    <x v="202"/>
    <n v="10349"/>
    <n v="151"/>
    <x v="26"/>
    <x v="0"/>
    <x v="1"/>
    <x v="34"/>
    <n v="23"/>
    <n v="111.18"/>
    <n v="69.78"/>
    <n v="2557.14"/>
    <n v="1604.94"/>
    <n v="952.2"/>
    <n v="4"/>
  </r>
  <r>
    <x v="202"/>
    <n v="10349"/>
    <n v="151"/>
    <x v="26"/>
    <x v="0"/>
    <x v="2"/>
    <x v="35"/>
    <n v="33"/>
    <n v="44.37"/>
    <n v="25.98"/>
    <n v="1464.21"/>
    <n v="857.34"/>
    <n v="606.87"/>
    <n v="4"/>
  </r>
  <r>
    <x v="203"/>
    <n v="10350"/>
    <n v="141"/>
    <x v="4"/>
    <x v="3"/>
    <x v="1"/>
    <x v="39"/>
    <n v="26"/>
    <n v="110.16"/>
    <n v="85.68"/>
    <n v="2864.16"/>
    <n v="2227.6799999999998"/>
    <n v="636.48"/>
    <n v="15"/>
  </r>
  <r>
    <x v="203"/>
    <n v="10350"/>
    <n v="141"/>
    <x v="4"/>
    <x v="3"/>
    <x v="4"/>
    <x v="56"/>
    <n v="43"/>
    <n v="84.3"/>
    <n v="51.61"/>
    <n v="3624.9"/>
    <n v="2219.23"/>
    <n v="1405.67"/>
    <n v="15"/>
  </r>
  <r>
    <x v="203"/>
    <n v="10350"/>
    <n v="141"/>
    <x v="4"/>
    <x v="3"/>
    <x v="0"/>
    <x v="42"/>
    <n v="44"/>
    <n v="135.22"/>
    <n v="68.3"/>
    <n v="5949.68"/>
    <n v="3005.2"/>
    <n v="2944.48"/>
    <n v="15"/>
  </r>
  <r>
    <x v="203"/>
    <n v="10350"/>
    <n v="141"/>
    <x v="4"/>
    <x v="3"/>
    <x v="3"/>
    <x v="43"/>
    <n v="41"/>
    <n v="94.79"/>
    <n v="67.56"/>
    <n v="3886.39"/>
    <n v="2769.96"/>
    <n v="1116.43"/>
    <n v="15"/>
  </r>
  <r>
    <x v="203"/>
    <n v="10350"/>
    <n v="141"/>
    <x v="4"/>
    <x v="3"/>
    <x v="0"/>
    <x v="44"/>
    <n v="30"/>
    <n v="70.22"/>
    <n v="52.66"/>
    <n v="2106.6"/>
    <n v="1579.8"/>
    <n v="526.79999999999995"/>
    <n v="15"/>
  </r>
  <r>
    <x v="203"/>
    <n v="10350"/>
    <n v="141"/>
    <x v="4"/>
    <x v="3"/>
    <x v="4"/>
    <x v="45"/>
    <n v="34"/>
    <n v="98.31"/>
    <n v="82.34"/>
    <n v="3342.54"/>
    <n v="2799.56"/>
    <n v="542.98"/>
    <n v="15"/>
  </r>
  <r>
    <x v="203"/>
    <n v="10350"/>
    <n v="141"/>
    <x v="4"/>
    <x v="3"/>
    <x v="0"/>
    <x v="46"/>
    <n v="30"/>
    <n v="86.74"/>
    <n v="46.91"/>
    <n v="2602.1999999999998"/>
    <n v="1407.3"/>
    <n v="1194.9000000000001"/>
    <n v="15"/>
  </r>
  <r>
    <x v="203"/>
    <n v="10350"/>
    <n v="141"/>
    <x v="4"/>
    <x v="3"/>
    <x v="0"/>
    <x v="47"/>
    <n v="25"/>
    <n v="77.150000000000006"/>
    <n v="48.64"/>
    <n v="1928.75"/>
    <n v="1216"/>
    <n v="712.75"/>
    <n v="15"/>
  </r>
  <r>
    <x v="203"/>
    <n v="10350"/>
    <n v="141"/>
    <x v="4"/>
    <x v="3"/>
    <x v="3"/>
    <x v="36"/>
    <n v="27"/>
    <n v="61.52"/>
    <n v="26.72"/>
    <n v="1661.04"/>
    <n v="721.44"/>
    <n v="939.6"/>
    <n v="15"/>
  </r>
  <r>
    <x v="203"/>
    <n v="10350"/>
    <n v="141"/>
    <x v="4"/>
    <x v="3"/>
    <x v="2"/>
    <x v="37"/>
    <n v="31"/>
    <n v="104.18"/>
    <n v="68.290000000000006"/>
    <n v="3229.58"/>
    <n v="2116.9899999999998"/>
    <n v="1112.5899999999999"/>
    <n v="15"/>
  </r>
  <r>
    <x v="203"/>
    <n v="10350"/>
    <n v="141"/>
    <x v="4"/>
    <x v="3"/>
    <x v="3"/>
    <x v="38"/>
    <n v="44"/>
    <n v="56.82"/>
    <n v="37.49"/>
    <n v="2500.08"/>
    <n v="1649.56"/>
    <n v="850.52"/>
    <n v="15"/>
  </r>
  <r>
    <x v="203"/>
    <n v="10350"/>
    <n v="141"/>
    <x v="4"/>
    <x v="3"/>
    <x v="4"/>
    <x v="48"/>
    <n v="46"/>
    <n v="56"/>
    <n v="34"/>
    <n v="2576"/>
    <n v="1564"/>
    <n v="1012"/>
    <n v="15"/>
  </r>
  <r>
    <x v="203"/>
    <n v="10350"/>
    <n v="141"/>
    <x v="4"/>
    <x v="3"/>
    <x v="4"/>
    <x v="49"/>
    <n v="28"/>
    <n v="76.22"/>
    <n v="43.3"/>
    <n v="2134.16"/>
    <n v="1212.4000000000001"/>
    <n v="921.76"/>
    <n v="15"/>
  </r>
  <r>
    <x v="203"/>
    <n v="10350"/>
    <n v="141"/>
    <x v="4"/>
    <x v="3"/>
    <x v="4"/>
    <x v="50"/>
    <n v="29"/>
    <n v="68.67"/>
    <n v="33.97"/>
    <n v="1991.43"/>
    <n v="985.13"/>
    <n v="1006.3"/>
    <n v="15"/>
  </r>
  <r>
    <x v="203"/>
    <n v="10350"/>
    <n v="141"/>
    <x v="4"/>
    <x v="3"/>
    <x v="4"/>
    <x v="51"/>
    <n v="31"/>
    <n v="87.15"/>
    <n v="51.09"/>
    <n v="2701.65"/>
    <n v="1583.79"/>
    <n v="1117.8599999999999"/>
    <n v="15"/>
  </r>
  <r>
    <x v="203"/>
    <n v="10350"/>
    <n v="141"/>
    <x v="4"/>
    <x v="3"/>
    <x v="4"/>
    <x v="52"/>
    <n v="25"/>
    <n v="97.32"/>
    <n v="53.63"/>
    <n v="2433"/>
    <n v="1340.75"/>
    <n v="1092.25"/>
    <n v="15"/>
  </r>
  <r>
    <x v="203"/>
    <n v="10350"/>
    <n v="141"/>
    <x v="4"/>
    <x v="3"/>
    <x v="4"/>
    <x v="53"/>
    <n v="20"/>
    <n v="48.05"/>
    <n v="33.299999999999997"/>
    <n v="961"/>
    <n v="666"/>
    <n v="295"/>
    <n v="15"/>
  </r>
  <r>
    <x v="204"/>
    <n v="10352"/>
    <n v="198"/>
    <x v="29"/>
    <x v="0"/>
    <x v="4"/>
    <x v="66"/>
    <n v="23"/>
    <n v="75.13"/>
    <n v="39.83"/>
    <n v="1727.99"/>
    <n v="916.09"/>
    <n v="811.9"/>
    <n v="3"/>
  </r>
  <r>
    <x v="204"/>
    <n v="10352"/>
    <n v="198"/>
    <x v="29"/>
    <x v="0"/>
    <x v="5"/>
    <x v="67"/>
    <n v="49"/>
    <n v="87.75"/>
    <n v="68.8"/>
    <n v="4299.75"/>
    <n v="3371.2"/>
    <n v="928.55"/>
    <n v="3"/>
  </r>
  <r>
    <x v="204"/>
    <n v="10352"/>
    <n v="198"/>
    <x v="29"/>
    <x v="0"/>
    <x v="5"/>
    <x v="70"/>
    <n v="22"/>
    <n v="62.19"/>
    <n v="36.270000000000003"/>
    <n v="1368.18"/>
    <n v="797.94"/>
    <n v="570.24"/>
    <n v="3"/>
  </r>
  <r>
    <x v="204"/>
    <n v="10352"/>
    <n v="198"/>
    <x v="29"/>
    <x v="0"/>
    <x v="5"/>
    <x v="71"/>
    <n v="49"/>
    <n v="46.18"/>
    <n v="32.770000000000003"/>
    <n v="2262.8200000000002"/>
    <n v="1605.73"/>
    <n v="657.09"/>
    <n v="3"/>
  </r>
  <r>
    <x v="204"/>
    <n v="10351"/>
    <n v="324"/>
    <x v="27"/>
    <x v="7"/>
    <x v="5"/>
    <x v="54"/>
    <n v="39"/>
    <n v="143.5"/>
    <n v="77.27"/>
    <n v="5596.5"/>
    <n v="3013.53"/>
    <n v="2582.9699999999998"/>
    <n v="3"/>
  </r>
  <r>
    <x v="204"/>
    <n v="10351"/>
    <n v="324"/>
    <x v="27"/>
    <x v="7"/>
    <x v="0"/>
    <x v="57"/>
    <n v="20"/>
    <n v="104.81"/>
    <n v="64.58"/>
    <n v="2096.1999999999998"/>
    <n v="1291.5999999999999"/>
    <n v="804.6"/>
    <n v="3"/>
  </r>
  <r>
    <x v="204"/>
    <n v="10351"/>
    <n v="324"/>
    <x v="27"/>
    <x v="7"/>
    <x v="5"/>
    <x v="59"/>
    <n v="25"/>
    <n v="64.400000000000006"/>
    <n v="34.25"/>
    <n v="1610"/>
    <n v="856.25"/>
    <n v="753.75"/>
    <n v="3"/>
  </r>
  <r>
    <x v="204"/>
    <n v="10351"/>
    <n v="324"/>
    <x v="27"/>
    <x v="7"/>
    <x v="0"/>
    <x v="60"/>
    <n v="38"/>
    <n v="53.92"/>
    <n v="26.3"/>
    <n v="2048.96"/>
    <n v="999.4"/>
    <n v="1049.56"/>
    <n v="3"/>
  </r>
  <r>
    <x v="204"/>
    <n v="10351"/>
    <n v="324"/>
    <x v="27"/>
    <x v="7"/>
    <x v="5"/>
    <x v="61"/>
    <n v="34"/>
    <n v="68.239999999999995"/>
    <n v="29.34"/>
    <n v="2320.16"/>
    <n v="997.56"/>
    <n v="1322.6"/>
    <n v="3"/>
  </r>
  <r>
    <x v="205"/>
    <n v="10354"/>
    <n v="323"/>
    <x v="30"/>
    <x v="14"/>
    <x v="6"/>
    <x v="72"/>
    <n v="42"/>
    <n v="84.22"/>
    <n v="48.81"/>
    <n v="3537.24"/>
    <n v="2050.02"/>
    <n v="1487.22"/>
    <n v="3"/>
  </r>
  <r>
    <x v="205"/>
    <n v="10354"/>
    <n v="323"/>
    <x v="30"/>
    <x v="14"/>
    <x v="6"/>
    <x v="73"/>
    <n v="20"/>
    <n v="95.15"/>
    <n v="68.989999999999995"/>
    <n v="1903"/>
    <n v="1379.8"/>
    <n v="523.20000000000005"/>
    <n v="3"/>
  </r>
  <r>
    <x v="205"/>
    <n v="10354"/>
    <n v="323"/>
    <x v="30"/>
    <x v="14"/>
    <x v="6"/>
    <x v="74"/>
    <n v="42"/>
    <n v="178.17"/>
    <n v="91.02"/>
    <n v="7483.14"/>
    <n v="3822.84"/>
    <n v="3660.3"/>
    <n v="3"/>
  </r>
  <r>
    <x v="205"/>
    <n v="10354"/>
    <n v="323"/>
    <x v="30"/>
    <x v="14"/>
    <x v="1"/>
    <x v="80"/>
    <n v="31"/>
    <n v="157.6"/>
    <n v="95.34"/>
    <n v="4885.6000000000004"/>
    <n v="2955.54"/>
    <n v="1930.06"/>
    <n v="3"/>
  </r>
  <r>
    <x v="205"/>
    <n v="10354"/>
    <n v="323"/>
    <x v="30"/>
    <x v="14"/>
    <x v="6"/>
    <x v="75"/>
    <n v="35"/>
    <n v="141.58000000000001"/>
    <n v="66.27"/>
    <n v="4955.3"/>
    <n v="2319.4499999999998"/>
    <n v="2635.85"/>
    <n v="3"/>
  </r>
  <r>
    <x v="205"/>
    <n v="10354"/>
    <n v="323"/>
    <x v="30"/>
    <x v="14"/>
    <x v="1"/>
    <x v="81"/>
    <n v="29"/>
    <n v="98.65"/>
    <n v="75.16"/>
    <n v="2860.85"/>
    <n v="2179.64"/>
    <n v="681.21"/>
    <n v="3"/>
  </r>
  <r>
    <x v="205"/>
    <n v="10354"/>
    <n v="323"/>
    <x v="30"/>
    <x v="14"/>
    <x v="1"/>
    <x v="82"/>
    <n v="23"/>
    <n v="76.61"/>
    <n v="31.92"/>
    <n v="1762.03"/>
    <n v="734.16"/>
    <n v="1027.8699999999999"/>
    <n v="3"/>
  </r>
  <r>
    <x v="205"/>
    <n v="10354"/>
    <n v="323"/>
    <x v="30"/>
    <x v="14"/>
    <x v="1"/>
    <x v="83"/>
    <n v="28"/>
    <n v="100.19"/>
    <n v="58.73"/>
    <n v="2805.32"/>
    <n v="1644.44"/>
    <n v="1160.8800000000001"/>
    <n v="3"/>
  </r>
  <r>
    <x v="205"/>
    <n v="10354"/>
    <n v="323"/>
    <x v="30"/>
    <x v="14"/>
    <x v="1"/>
    <x v="84"/>
    <n v="21"/>
    <n v="76.23"/>
    <n v="53.9"/>
    <n v="1600.83"/>
    <n v="1131.9000000000001"/>
    <n v="468.93"/>
    <n v="3"/>
  </r>
  <r>
    <x v="205"/>
    <n v="10354"/>
    <n v="323"/>
    <x v="30"/>
    <x v="14"/>
    <x v="6"/>
    <x v="76"/>
    <n v="28"/>
    <n v="49.06"/>
    <n v="24.23"/>
    <n v="1373.68"/>
    <n v="678.44"/>
    <n v="695.24"/>
    <n v="3"/>
  </r>
  <r>
    <x v="205"/>
    <n v="10354"/>
    <n v="323"/>
    <x v="30"/>
    <x v="14"/>
    <x v="1"/>
    <x v="85"/>
    <n v="36"/>
    <n v="69.150000000000006"/>
    <n v="49.05"/>
    <n v="2489.4"/>
    <n v="1765.8"/>
    <n v="723.6"/>
    <n v="3"/>
  </r>
  <r>
    <x v="205"/>
    <n v="10354"/>
    <n v="323"/>
    <x v="30"/>
    <x v="14"/>
    <x v="6"/>
    <x v="77"/>
    <n v="21"/>
    <n v="96.92"/>
    <n v="60.86"/>
    <n v="2035.32"/>
    <n v="1278.06"/>
    <n v="757.26"/>
    <n v="3"/>
  </r>
  <r>
    <x v="205"/>
    <n v="10354"/>
    <n v="323"/>
    <x v="30"/>
    <x v="14"/>
    <x v="6"/>
    <x v="78"/>
    <n v="28"/>
    <n v="62.46"/>
    <n v="37.32"/>
    <n v="1748.88"/>
    <n v="1044.96"/>
    <n v="703.92"/>
    <n v="3"/>
  </r>
  <r>
    <x v="205"/>
    <n v="10353"/>
    <n v="447"/>
    <x v="28"/>
    <x v="0"/>
    <x v="5"/>
    <x v="55"/>
    <n v="27"/>
    <n v="71.81"/>
    <n v="49"/>
    <n v="1938.87"/>
    <n v="1323"/>
    <n v="615.87"/>
    <n v="3"/>
  </r>
  <r>
    <x v="205"/>
    <n v="10353"/>
    <n v="447"/>
    <x v="28"/>
    <x v="0"/>
    <x v="5"/>
    <x v="58"/>
    <n v="28"/>
    <n v="107.23"/>
    <n v="66.739999999999995"/>
    <n v="3002.44"/>
    <n v="1868.72"/>
    <n v="1133.72"/>
    <n v="3"/>
  </r>
  <r>
    <x v="205"/>
    <n v="10353"/>
    <n v="447"/>
    <x v="28"/>
    <x v="0"/>
    <x v="5"/>
    <x v="62"/>
    <n v="35"/>
    <n v="69.55"/>
    <n v="36.229999999999997"/>
    <n v="2434.25"/>
    <n v="1268.05"/>
    <n v="1166.2"/>
    <n v="3"/>
  </r>
  <r>
    <x v="205"/>
    <n v="10353"/>
    <n v="447"/>
    <x v="28"/>
    <x v="0"/>
    <x v="6"/>
    <x v="79"/>
    <n v="46"/>
    <n v="86.9"/>
    <n v="66.92"/>
    <n v="3997.4"/>
    <n v="3078.32"/>
    <n v="919.08"/>
    <n v="3"/>
  </r>
  <r>
    <x v="205"/>
    <n v="10353"/>
    <n v="447"/>
    <x v="28"/>
    <x v="0"/>
    <x v="0"/>
    <x v="63"/>
    <n v="40"/>
    <n v="68.099999999999994"/>
    <n v="33.020000000000003"/>
    <n v="2724"/>
    <n v="1320.8"/>
    <n v="1403.2"/>
    <n v="3"/>
  </r>
  <r>
    <x v="205"/>
    <n v="10353"/>
    <n v="447"/>
    <x v="28"/>
    <x v="0"/>
    <x v="0"/>
    <x v="64"/>
    <n v="40"/>
    <n v="35.78"/>
    <n v="27.06"/>
    <n v="1431.2"/>
    <n v="1082.4000000000001"/>
    <n v="348.8"/>
    <n v="3"/>
  </r>
  <r>
    <x v="205"/>
    <n v="10353"/>
    <n v="447"/>
    <x v="28"/>
    <x v="0"/>
    <x v="5"/>
    <x v="65"/>
    <n v="39"/>
    <n v="73.069999999999993"/>
    <n v="51.15"/>
    <n v="2849.73"/>
    <n v="1994.85"/>
    <n v="854.88"/>
    <n v="3"/>
  </r>
  <r>
    <x v="205"/>
    <n v="10353"/>
    <n v="447"/>
    <x v="28"/>
    <x v="0"/>
    <x v="5"/>
    <x v="68"/>
    <n v="48"/>
    <n v="98.48"/>
    <n v="59.33"/>
    <n v="4727.04"/>
    <n v="2847.84"/>
    <n v="1879.2"/>
    <n v="3"/>
  </r>
  <r>
    <x v="205"/>
    <n v="10353"/>
    <n v="447"/>
    <x v="28"/>
    <x v="0"/>
    <x v="5"/>
    <x v="69"/>
    <n v="43"/>
    <n v="74.400000000000006"/>
    <n v="54.4"/>
    <n v="3199.2"/>
    <n v="2339.1999999999998"/>
    <n v="860"/>
    <n v="3"/>
  </r>
  <r>
    <x v="206"/>
    <n v="10355"/>
    <n v="141"/>
    <x v="4"/>
    <x v="3"/>
    <x v="1"/>
    <x v="86"/>
    <n v="23"/>
    <n v="117.59"/>
    <n v="73.489999999999995"/>
    <n v="2704.57"/>
    <n v="1690.27"/>
    <n v="1014.3"/>
    <n v="16"/>
  </r>
  <r>
    <x v="206"/>
    <n v="10355"/>
    <n v="141"/>
    <x v="4"/>
    <x v="3"/>
    <x v="6"/>
    <x v="87"/>
    <n v="31"/>
    <n v="60.3"/>
    <n v="32.950000000000003"/>
    <n v="1869.3"/>
    <n v="1021.45"/>
    <n v="847.85"/>
    <n v="16"/>
  </r>
  <r>
    <x v="206"/>
    <n v="10355"/>
    <n v="141"/>
    <x v="4"/>
    <x v="3"/>
    <x v="1"/>
    <x v="88"/>
    <n v="25"/>
    <n v="124.99"/>
    <n v="69.930000000000007"/>
    <n v="3124.75"/>
    <n v="1748.25"/>
    <n v="1376.5"/>
    <n v="16"/>
  </r>
  <r>
    <x v="206"/>
    <n v="10355"/>
    <n v="141"/>
    <x v="4"/>
    <x v="3"/>
    <x v="6"/>
    <x v="89"/>
    <n v="41"/>
    <n v="56.1"/>
    <n v="47.1"/>
    <n v="2300.1"/>
    <n v="1931.1"/>
    <n v="369"/>
    <n v="16"/>
  </r>
  <r>
    <x v="206"/>
    <n v="10355"/>
    <n v="141"/>
    <x v="4"/>
    <x v="3"/>
    <x v="1"/>
    <x v="100"/>
    <n v="36"/>
    <n v="37.380000000000003"/>
    <n v="16.239999999999998"/>
    <n v="1345.68"/>
    <n v="584.64"/>
    <n v="761.04"/>
    <n v="16"/>
  </r>
  <r>
    <x v="206"/>
    <n v="10355"/>
    <n v="141"/>
    <x v="4"/>
    <x v="3"/>
    <x v="1"/>
    <x v="90"/>
    <n v="44"/>
    <n v="60.62"/>
    <n v="38.58"/>
    <n v="2667.28"/>
    <n v="1697.52"/>
    <n v="969.76"/>
    <n v="16"/>
  </r>
  <r>
    <x v="206"/>
    <n v="10355"/>
    <n v="141"/>
    <x v="4"/>
    <x v="3"/>
    <x v="1"/>
    <x v="91"/>
    <n v="32"/>
    <n v="137.62"/>
    <n v="98.3"/>
    <n v="4403.84"/>
    <n v="3145.6"/>
    <n v="1258.24"/>
    <n v="16"/>
  </r>
  <r>
    <x v="206"/>
    <n v="10355"/>
    <n v="141"/>
    <x v="4"/>
    <x v="3"/>
    <x v="1"/>
    <x v="92"/>
    <n v="28"/>
    <n v="75.180000000000007"/>
    <n v="32.33"/>
    <n v="2105.04"/>
    <n v="905.24"/>
    <n v="1199.8"/>
    <n v="16"/>
  </r>
  <r>
    <x v="206"/>
    <n v="10355"/>
    <n v="141"/>
    <x v="4"/>
    <x v="3"/>
    <x v="6"/>
    <x v="93"/>
    <n v="38"/>
    <n v="32.99"/>
    <n v="24.14"/>
    <n v="1253.6199999999999"/>
    <n v="917.32"/>
    <n v="336.3"/>
    <n v="16"/>
  </r>
  <r>
    <x v="206"/>
    <n v="10355"/>
    <n v="141"/>
    <x v="4"/>
    <x v="3"/>
    <x v="6"/>
    <x v="94"/>
    <n v="40"/>
    <n v="93.89"/>
    <n v="56.13"/>
    <n v="3755.6"/>
    <n v="2245.1999999999998"/>
    <n v="1510.4"/>
    <n v="16"/>
  </r>
  <r>
    <x v="207"/>
    <n v="10356"/>
    <n v="250"/>
    <x v="31"/>
    <x v="9"/>
    <x v="1"/>
    <x v="96"/>
    <n v="43"/>
    <n v="120.31"/>
    <n v="83.51"/>
    <n v="5173.33"/>
    <n v="3590.93"/>
    <n v="1582.4"/>
    <n v="2"/>
  </r>
  <r>
    <x v="207"/>
    <n v="10356"/>
    <n v="250"/>
    <x v="31"/>
    <x v="9"/>
    <x v="0"/>
    <x v="8"/>
    <n v="50"/>
    <n v="82.19"/>
    <n v="60.62"/>
    <n v="4109.5"/>
    <n v="3031"/>
    <n v="1078.5"/>
    <n v="2"/>
  </r>
  <r>
    <x v="207"/>
    <n v="10356"/>
    <n v="250"/>
    <x v="31"/>
    <x v="9"/>
    <x v="0"/>
    <x v="9"/>
    <n v="22"/>
    <n v="44.75"/>
    <n v="24.26"/>
    <n v="984.5"/>
    <n v="533.72"/>
    <n v="450.78"/>
    <n v="2"/>
  </r>
  <r>
    <x v="207"/>
    <n v="10356"/>
    <n v="250"/>
    <x v="31"/>
    <x v="9"/>
    <x v="1"/>
    <x v="97"/>
    <n v="27"/>
    <n v="130.87"/>
    <n v="93.89"/>
    <n v="3533.49"/>
    <n v="2535.0300000000002"/>
    <n v="998.46"/>
    <n v="2"/>
  </r>
  <r>
    <x v="207"/>
    <n v="10356"/>
    <n v="250"/>
    <x v="31"/>
    <x v="9"/>
    <x v="0"/>
    <x v="4"/>
    <n v="29"/>
    <n v="106.79"/>
    <n v="58.48"/>
    <n v="3096.91"/>
    <n v="1695.92"/>
    <n v="1400.99"/>
    <n v="2"/>
  </r>
  <r>
    <x v="207"/>
    <n v="10356"/>
    <n v="250"/>
    <x v="31"/>
    <x v="9"/>
    <x v="0"/>
    <x v="5"/>
    <n v="30"/>
    <n v="158.63"/>
    <n v="72.56"/>
    <n v="4758.8999999999996"/>
    <n v="2176.8000000000002"/>
    <n v="2582.1"/>
    <n v="2"/>
  </r>
  <r>
    <x v="207"/>
    <n v="10356"/>
    <n v="250"/>
    <x v="31"/>
    <x v="9"/>
    <x v="0"/>
    <x v="6"/>
    <n v="48"/>
    <n v="31.86"/>
    <n v="22.57"/>
    <n v="1529.28"/>
    <n v="1083.3599999999999"/>
    <n v="445.92"/>
    <n v="2"/>
  </r>
  <r>
    <x v="207"/>
    <n v="10356"/>
    <n v="250"/>
    <x v="31"/>
    <x v="9"/>
    <x v="0"/>
    <x v="7"/>
    <n v="26"/>
    <n v="42.11"/>
    <n v="20.61"/>
    <n v="1094.8599999999999"/>
    <n v="535.86"/>
    <n v="559"/>
    <n v="2"/>
  </r>
  <r>
    <x v="207"/>
    <n v="10356"/>
    <n v="250"/>
    <x v="31"/>
    <x v="9"/>
    <x v="6"/>
    <x v="95"/>
    <n v="26"/>
    <n v="78.11"/>
    <n v="34.17"/>
    <n v="2030.86"/>
    <n v="888.42"/>
    <n v="1142.44"/>
    <n v="2"/>
  </r>
  <r>
    <x v="208"/>
    <n v="10357"/>
    <n v="124"/>
    <x v="13"/>
    <x v="0"/>
    <x v="1"/>
    <x v="10"/>
    <n v="32"/>
    <n v="199.3"/>
    <n v="98.58"/>
    <n v="6377.6"/>
    <n v="3154.56"/>
    <n v="3223.04"/>
    <n v="10"/>
  </r>
  <r>
    <x v="208"/>
    <n v="10357"/>
    <n v="124"/>
    <x v="13"/>
    <x v="0"/>
    <x v="1"/>
    <x v="11"/>
    <n v="43"/>
    <n v="135.91999999999999"/>
    <n v="103.42"/>
    <n v="5844.56"/>
    <n v="4447.0600000000004"/>
    <n v="1397.5"/>
    <n v="10"/>
  </r>
  <r>
    <x v="208"/>
    <n v="10357"/>
    <n v="124"/>
    <x v="13"/>
    <x v="0"/>
    <x v="2"/>
    <x v="12"/>
    <n v="49"/>
    <n v="109.34"/>
    <n v="77.900000000000006"/>
    <n v="5357.66"/>
    <n v="3817.1"/>
    <n v="1540.56"/>
    <n v="10"/>
  </r>
  <r>
    <x v="208"/>
    <n v="10357"/>
    <n v="124"/>
    <x v="13"/>
    <x v="0"/>
    <x v="2"/>
    <x v="13"/>
    <n v="39"/>
    <n v="112"/>
    <n v="58.33"/>
    <n v="4368"/>
    <n v="2274.87"/>
    <n v="2093.13"/>
    <n v="10"/>
  </r>
  <r>
    <x v="208"/>
    <n v="10357"/>
    <n v="124"/>
    <x v="13"/>
    <x v="0"/>
    <x v="2"/>
    <x v="14"/>
    <n v="41"/>
    <n v="58.95"/>
    <n v="24.92"/>
    <n v="2416.9499999999998"/>
    <n v="1021.72"/>
    <n v="1395.23"/>
    <n v="10"/>
  </r>
  <r>
    <x v="208"/>
    <n v="10357"/>
    <n v="124"/>
    <x v="13"/>
    <x v="0"/>
    <x v="0"/>
    <x v="15"/>
    <n v="41"/>
    <n v="91.18"/>
    <n v="60.78"/>
    <n v="3738.38"/>
    <n v="2491.98"/>
    <n v="1246.4000000000001"/>
    <n v="10"/>
  </r>
  <r>
    <x v="208"/>
    <n v="10357"/>
    <n v="124"/>
    <x v="13"/>
    <x v="0"/>
    <x v="0"/>
    <x v="16"/>
    <n v="49"/>
    <n v="59.34"/>
    <n v="34.35"/>
    <n v="2907.66"/>
    <n v="1683.15"/>
    <n v="1224.51"/>
    <n v="10"/>
  </r>
  <r>
    <x v="208"/>
    <n v="10357"/>
    <n v="124"/>
    <x v="13"/>
    <x v="0"/>
    <x v="0"/>
    <x v="17"/>
    <n v="44"/>
    <n v="104.72"/>
    <n v="60.74"/>
    <n v="4607.68"/>
    <n v="2672.56"/>
    <n v="1935.12"/>
    <n v="10"/>
  </r>
  <r>
    <x v="208"/>
    <n v="10357"/>
    <n v="124"/>
    <x v="13"/>
    <x v="0"/>
    <x v="0"/>
    <x v="18"/>
    <n v="25"/>
    <n v="84.33"/>
    <n v="57.54"/>
    <n v="2108.25"/>
    <n v="1438.5"/>
    <n v="669.75"/>
    <n v="10"/>
  </r>
  <r>
    <x v="208"/>
    <n v="10357"/>
    <n v="124"/>
    <x v="13"/>
    <x v="0"/>
    <x v="2"/>
    <x v="19"/>
    <n v="28"/>
    <n v="105.34"/>
    <n v="84.76"/>
    <n v="2949.52"/>
    <n v="2373.2800000000002"/>
    <n v="576.24"/>
    <n v="10"/>
  </r>
  <r>
    <x v="208"/>
    <n v="10358"/>
    <n v="141"/>
    <x v="4"/>
    <x v="3"/>
    <x v="1"/>
    <x v="26"/>
    <n v="49"/>
    <n v="129.93"/>
    <n v="89.14"/>
    <n v="6366.57"/>
    <n v="4367.8599999999997"/>
    <n v="1998.71"/>
    <n v="17"/>
  </r>
  <r>
    <x v="208"/>
    <n v="10358"/>
    <n v="141"/>
    <x v="4"/>
    <x v="3"/>
    <x v="2"/>
    <x v="27"/>
    <n v="42"/>
    <n v="98.36"/>
    <n v="55.7"/>
    <n v="4131.12"/>
    <n v="2339.4"/>
    <n v="1791.72"/>
    <n v="17"/>
  </r>
  <r>
    <x v="208"/>
    <n v="10358"/>
    <n v="141"/>
    <x v="4"/>
    <x v="3"/>
    <x v="1"/>
    <x v="28"/>
    <n v="20"/>
    <n v="142.44999999999999"/>
    <n v="101.51"/>
    <n v="2849"/>
    <n v="2030.2"/>
    <n v="818.8"/>
    <n v="17"/>
  </r>
  <r>
    <x v="208"/>
    <n v="10358"/>
    <n v="141"/>
    <x v="4"/>
    <x v="3"/>
    <x v="2"/>
    <x v="29"/>
    <n v="20"/>
    <n v="99.41"/>
    <n v="74.86"/>
    <n v="1988.2"/>
    <n v="1497.2"/>
    <n v="491"/>
    <n v="17"/>
  </r>
  <r>
    <x v="208"/>
    <n v="10358"/>
    <n v="141"/>
    <x v="4"/>
    <x v="3"/>
    <x v="1"/>
    <x v="30"/>
    <n v="32"/>
    <n v="137.16999999999999"/>
    <n v="77.900000000000006"/>
    <n v="4389.4399999999996"/>
    <n v="2492.8000000000002"/>
    <n v="1896.64"/>
    <n v="17"/>
  </r>
  <r>
    <x v="208"/>
    <n v="10358"/>
    <n v="141"/>
    <x v="4"/>
    <x v="3"/>
    <x v="1"/>
    <x v="31"/>
    <n v="25"/>
    <n v="117.77"/>
    <n v="91.92"/>
    <n v="2944.25"/>
    <n v="2298"/>
    <n v="646.25"/>
    <n v="17"/>
  </r>
  <r>
    <x v="208"/>
    <n v="10358"/>
    <n v="141"/>
    <x v="4"/>
    <x v="3"/>
    <x v="0"/>
    <x v="20"/>
    <n v="30"/>
    <n v="46.29"/>
    <n v="23.14"/>
    <n v="1388.7"/>
    <n v="694.2"/>
    <n v="694.5"/>
    <n v="17"/>
  </r>
  <r>
    <x v="208"/>
    <n v="10358"/>
    <n v="141"/>
    <x v="4"/>
    <x v="3"/>
    <x v="1"/>
    <x v="32"/>
    <n v="44"/>
    <n v="56.07"/>
    <n v="32.369999999999997"/>
    <n v="2467.08"/>
    <n v="1424.28"/>
    <n v="1042.8"/>
    <n v="17"/>
  </r>
  <r>
    <x v="208"/>
    <n v="10358"/>
    <n v="141"/>
    <x v="4"/>
    <x v="3"/>
    <x v="2"/>
    <x v="21"/>
    <n v="41"/>
    <n v="127.79"/>
    <n v="61.34"/>
    <n v="5239.3900000000003"/>
    <n v="2514.94"/>
    <n v="2724.45"/>
    <n v="17"/>
  </r>
  <r>
    <x v="208"/>
    <n v="10358"/>
    <n v="141"/>
    <x v="4"/>
    <x v="3"/>
    <x v="1"/>
    <x v="33"/>
    <n v="36"/>
    <n v="33.590000000000003"/>
    <n v="15.91"/>
    <n v="1209.24"/>
    <n v="572.76"/>
    <n v="636.48"/>
    <n v="17"/>
  </r>
  <r>
    <x v="208"/>
    <n v="10358"/>
    <n v="141"/>
    <x v="4"/>
    <x v="3"/>
    <x v="0"/>
    <x v="22"/>
    <n v="41"/>
    <n v="88.62"/>
    <n v="57.46"/>
    <n v="3633.42"/>
    <n v="2355.86"/>
    <n v="1277.56"/>
    <n v="17"/>
  </r>
  <r>
    <x v="208"/>
    <n v="10358"/>
    <n v="141"/>
    <x v="4"/>
    <x v="3"/>
    <x v="2"/>
    <x v="23"/>
    <n v="41"/>
    <n v="82.83"/>
    <n v="53.93"/>
    <n v="3396.03"/>
    <n v="2211.13"/>
    <n v="1184.9000000000001"/>
    <n v="17"/>
  </r>
  <r>
    <x v="208"/>
    <n v="10358"/>
    <n v="141"/>
    <x v="4"/>
    <x v="3"/>
    <x v="2"/>
    <x v="24"/>
    <n v="36"/>
    <n v="51.71"/>
    <n v="33.61"/>
    <n v="1861.56"/>
    <n v="1209.96"/>
    <n v="651.6"/>
    <n v="17"/>
  </r>
  <r>
    <x v="208"/>
    <n v="10358"/>
    <n v="141"/>
    <x v="4"/>
    <x v="3"/>
    <x v="1"/>
    <x v="25"/>
    <n v="27"/>
    <n v="85.98"/>
    <n v="46.53"/>
    <n v="2321.46"/>
    <n v="1256.31"/>
    <n v="1065.1500000000001"/>
    <n v="17"/>
  </r>
  <r>
    <x v="209"/>
    <n v="10359"/>
    <n v="353"/>
    <x v="21"/>
    <x v="9"/>
    <x v="1"/>
    <x v="39"/>
    <n v="48"/>
    <n v="122.4"/>
    <n v="85.68"/>
    <n v="5875.2"/>
    <n v="4112.6400000000003"/>
    <n v="1762.56"/>
    <n v="4"/>
  </r>
  <r>
    <x v="209"/>
    <n v="10359"/>
    <n v="353"/>
    <x v="21"/>
    <x v="9"/>
    <x v="1"/>
    <x v="40"/>
    <n v="42"/>
    <n v="180.79"/>
    <n v="95.59"/>
    <n v="7593.18"/>
    <n v="4014.78"/>
    <n v="3578.4"/>
    <n v="4"/>
  </r>
  <r>
    <x v="209"/>
    <n v="10359"/>
    <n v="353"/>
    <x v="21"/>
    <x v="9"/>
    <x v="1"/>
    <x v="41"/>
    <n v="49"/>
    <n v="162.63999999999999"/>
    <n v="83.05"/>
    <n v="7969.36"/>
    <n v="4069.45"/>
    <n v="3899.91"/>
    <n v="4"/>
  </r>
  <r>
    <x v="209"/>
    <n v="10359"/>
    <n v="353"/>
    <x v="21"/>
    <x v="9"/>
    <x v="1"/>
    <x v="34"/>
    <n v="22"/>
    <n v="108.82"/>
    <n v="69.78"/>
    <n v="2394.04"/>
    <n v="1535.16"/>
    <n v="858.88"/>
    <n v="4"/>
  </r>
  <r>
    <x v="209"/>
    <n v="10359"/>
    <n v="353"/>
    <x v="21"/>
    <x v="9"/>
    <x v="2"/>
    <x v="35"/>
    <n v="36"/>
    <n v="45.45"/>
    <n v="25.98"/>
    <n v="1636.2"/>
    <n v="935.28"/>
    <n v="700.92"/>
    <n v="4"/>
  </r>
  <r>
    <x v="209"/>
    <n v="10359"/>
    <n v="353"/>
    <x v="21"/>
    <x v="9"/>
    <x v="3"/>
    <x v="36"/>
    <n v="22"/>
    <n v="62.14"/>
    <n v="26.72"/>
    <n v="1367.08"/>
    <n v="587.84"/>
    <n v="779.24"/>
    <n v="4"/>
  </r>
  <r>
    <x v="209"/>
    <n v="10359"/>
    <n v="353"/>
    <x v="21"/>
    <x v="9"/>
    <x v="2"/>
    <x v="37"/>
    <n v="46"/>
    <n v="99.55"/>
    <n v="68.290000000000006"/>
    <n v="4579.3"/>
    <n v="3141.34"/>
    <n v="1437.96"/>
    <n v="4"/>
  </r>
  <r>
    <x v="209"/>
    <n v="10359"/>
    <n v="353"/>
    <x v="21"/>
    <x v="9"/>
    <x v="3"/>
    <x v="38"/>
    <n v="25"/>
    <n v="47.45"/>
    <n v="37.49"/>
    <n v="1186.25"/>
    <n v="937.25"/>
    <n v="249"/>
    <n v="4"/>
  </r>
  <r>
    <x v="210"/>
    <n v="10360"/>
    <n v="496"/>
    <x v="33"/>
    <x v="14"/>
    <x v="5"/>
    <x v="54"/>
    <n v="50"/>
    <n v="126.15"/>
    <n v="77.27"/>
    <n v="6307.5"/>
    <n v="3863.5"/>
    <n v="2444"/>
    <n v="3"/>
  </r>
  <r>
    <x v="210"/>
    <n v="10360"/>
    <n v="496"/>
    <x v="33"/>
    <x v="14"/>
    <x v="5"/>
    <x v="55"/>
    <n v="41"/>
    <n v="68.430000000000007"/>
    <n v="49"/>
    <n v="2805.63"/>
    <n v="2009"/>
    <n v="796.63"/>
    <n v="3"/>
  </r>
  <r>
    <x v="210"/>
    <n v="10360"/>
    <n v="496"/>
    <x v="33"/>
    <x v="14"/>
    <x v="4"/>
    <x v="56"/>
    <n v="46"/>
    <n v="71.400000000000006"/>
    <n v="51.61"/>
    <n v="3284.4"/>
    <n v="2374.06"/>
    <n v="910.34"/>
    <n v="3"/>
  </r>
  <r>
    <x v="210"/>
    <n v="10360"/>
    <n v="496"/>
    <x v="33"/>
    <x v="14"/>
    <x v="0"/>
    <x v="42"/>
    <n v="29"/>
    <n v="122.93"/>
    <n v="68.3"/>
    <n v="3564.97"/>
    <n v="1980.7"/>
    <n v="1584.27"/>
    <n v="3"/>
  </r>
  <r>
    <x v="210"/>
    <n v="10360"/>
    <n v="496"/>
    <x v="33"/>
    <x v="14"/>
    <x v="3"/>
    <x v="43"/>
    <n v="29"/>
    <n v="94.79"/>
    <n v="67.56"/>
    <n v="2748.91"/>
    <n v="1959.24"/>
    <n v="789.67"/>
    <n v="3"/>
  </r>
  <r>
    <x v="210"/>
    <n v="10360"/>
    <n v="496"/>
    <x v="33"/>
    <x v="14"/>
    <x v="0"/>
    <x v="57"/>
    <n v="40"/>
    <n v="101.64"/>
    <n v="64.58"/>
    <n v="4065.6"/>
    <n v="2583.1999999999998"/>
    <n v="1482.4"/>
    <n v="3"/>
  </r>
  <r>
    <x v="210"/>
    <n v="10360"/>
    <n v="496"/>
    <x v="33"/>
    <x v="14"/>
    <x v="0"/>
    <x v="44"/>
    <n v="40"/>
    <n v="76.36"/>
    <n v="52.66"/>
    <n v="3054.4"/>
    <n v="2106.4"/>
    <n v="948"/>
    <n v="3"/>
  </r>
  <r>
    <x v="210"/>
    <n v="10360"/>
    <n v="496"/>
    <x v="33"/>
    <x v="14"/>
    <x v="5"/>
    <x v="58"/>
    <n v="22"/>
    <n v="106.14"/>
    <n v="66.739999999999995"/>
    <n v="2335.08"/>
    <n v="1468.28"/>
    <n v="866.8"/>
    <n v="3"/>
  </r>
  <r>
    <x v="210"/>
    <n v="10360"/>
    <n v="496"/>
    <x v="33"/>
    <x v="14"/>
    <x v="4"/>
    <x v="45"/>
    <n v="31"/>
    <n v="100.77"/>
    <n v="82.34"/>
    <n v="3123.87"/>
    <n v="2552.54"/>
    <n v="571.33000000000004"/>
    <n v="3"/>
  </r>
  <r>
    <x v="210"/>
    <n v="10360"/>
    <n v="496"/>
    <x v="33"/>
    <x v="14"/>
    <x v="5"/>
    <x v="59"/>
    <n v="49"/>
    <n v="55.49"/>
    <n v="34.25"/>
    <n v="2719.01"/>
    <n v="1678.25"/>
    <n v="1040.76"/>
    <n v="3"/>
  </r>
  <r>
    <x v="210"/>
    <n v="10360"/>
    <n v="496"/>
    <x v="33"/>
    <x v="14"/>
    <x v="0"/>
    <x v="46"/>
    <n v="36"/>
    <n v="70.81"/>
    <n v="46.91"/>
    <n v="2549.16"/>
    <n v="1688.76"/>
    <n v="860.4"/>
    <n v="3"/>
  </r>
  <r>
    <x v="210"/>
    <n v="10360"/>
    <n v="496"/>
    <x v="33"/>
    <x v="14"/>
    <x v="0"/>
    <x v="47"/>
    <n v="22"/>
    <n v="78.83"/>
    <n v="48.64"/>
    <n v="1734.26"/>
    <n v="1070.08"/>
    <n v="664.18"/>
    <n v="3"/>
  </r>
  <r>
    <x v="210"/>
    <n v="10360"/>
    <n v="496"/>
    <x v="33"/>
    <x v="14"/>
    <x v="4"/>
    <x v="48"/>
    <n v="32"/>
    <n v="64.67"/>
    <n v="34"/>
    <n v="2069.44"/>
    <n v="1088"/>
    <n v="981.44"/>
    <n v="3"/>
  </r>
  <r>
    <x v="210"/>
    <n v="10360"/>
    <n v="496"/>
    <x v="33"/>
    <x v="14"/>
    <x v="4"/>
    <x v="49"/>
    <n v="26"/>
    <n v="86.61"/>
    <n v="43.3"/>
    <n v="2251.86"/>
    <n v="1125.8"/>
    <n v="1126.06"/>
    <n v="3"/>
  </r>
  <r>
    <x v="210"/>
    <n v="10360"/>
    <n v="496"/>
    <x v="33"/>
    <x v="14"/>
    <x v="4"/>
    <x v="50"/>
    <n v="30"/>
    <n v="70.11"/>
    <n v="33.97"/>
    <n v="2103.3000000000002"/>
    <n v="1019.1"/>
    <n v="1084.2"/>
    <n v="3"/>
  </r>
  <r>
    <x v="210"/>
    <n v="10360"/>
    <n v="496"/>
    <x v="33"/>
    <x v="14"/>
    <x v="4"/>
    <x v="51"/>
    <n v="35"/>
    <n v="83.14"/>
    <n v="51.09"/>
    <n v="2909.9"/>
    <n v="1788.15"/>
    <n v="1121.75"/>
    <n v="3"/>
  </r>
  <r>
    <x v="210"/>
    <n v="10360"/>
    <n v="496"/>
    <x v="33"/>
    <x v="14"/>
    <x v="4"/>
    <x v="52"/>
    <n v="31"/>
    <n v="92.36"/>
    <n v="53.63"/>
    <n v="2863.16"/>
    <n v="1662.53"/>
    <n v="1200.6300000000001"/>
    <n v="3"/>
  </r>
  <r>
    <x v="210"/>
    <n v="10360"/>
    <n v="496"/>
    <x v="33"/>
    <x v="14"/>
    <x v="4"/>
    <x v="53"/>
    <n v="31"/>
    <n v="54.05"/>
    <n v="33.299999999999997"/>
    <n v="1675.55"/>
    <n v="1032.3"/>
    <n v="643.25"/>
    <n v="3"/>
  </r>
  <r>
    <x v="211"/>
    <n v="10361"/>
    <n v="282"/>
    <x v="34"/>
    <x v="13"/>
    <x v="5"/>
    <x v="69"/>
    <n v="44"/>
    <n v="76.8"/>
    <n v="54.4"/>
    <n v="3379.2"/>
    <n v="2393.6"/>
    <n v="985.6"/>
    <n v="3"/>
  </r>
  <r>
    <x v="211"/>
    <n v="10361"/>
    <n v="282"/>
    <x v="34"/>
    <x v="13"/>
    <x v="5"/>
    <x v="70"/>
    <n v="35"/>
    <n v="62.19"/>
    <n v="36.270000000000003"/>
    <n v="2176.65"/>
    <n v="1269.45"/>
    <n v="907.2"/>
    <n v="3"/>
  </r>
  <r>
    <x v="211"/>
    <n v="10361"/>
    <n v="282"/>
    <x v="34"/>
    <x v="13"/>
    <x v="5"/>
    <x v="71"/>
    <n v="23"/>
    <n v="47.67"/>
    <n v="32.770000000000003"/>
    <n v="1096.4100000000001"/>
    <n v="753.71"/>
    <n v="342.7"/>
    <n v="3"/>
  </r>
  <r>
    <x v="211"/>
    <n v="10361"/>
    <n v="282"/>
    <x v="34"/>
    <x v="13"/>
    <x v="6"/>
    <x v="72"/>
    <n v="20"/>
    <n v="92.83"/>
    <n v="48.81"/>
    <n v="1856.6"/>
    <n v="976.2"/>
    <n v="880.4"/>
    <n v="3"/>
  </r>
  <r>
    <x v="211"/>
    <n v="10361"/>
    <n v="282"/>
    <x v="34"/>
    <x v="13"/>
    <x v="6"/>
    <x v="73"/>
    <n v="26"/>
    <n v="114.18"/>
    <n v="68.989999999999995"/>
    <n v="2968.68"/>
    <n v="1793.74"/>
    <n v="1174.94"/>
    <n v="3"/>
  </r>
  <r>
    <x v="211"/>
    <n v="10361"/>
    <n v="282"/>
    <x v="34"/>
    <x v="13"/>
    <x v="0"/>
    <x v="60"/>
    <n v="34"/>
    <n v="62.46"/>
    <n v="26.3"/>
    <n v="2123.64"/>
    <n v="894.2"/>
    <n v="1229.44"/>
    <n v="3"/>
  </r>
  <r>
    <x v="211"/>
    <n v="10361"/>
    <n v="282"/>
    <x v="34"/>
    <x v="13"/>
    <x v="5"/>
    <x v="61"/>
    <n v="26"/>
    <n v="61.42"/>
    <n v="29.34"/>
    <n v="1596.92"/>
    <n v="762.84"/>
    <n v="834.08"/>
    <n v="3"/>
  </r>
  <r>
    <x v="211"/>
    <n v="10361"/>
    <n v="282"/>
    <x v="34"/>
    <x v="13"/>
    <x v="5"/>
    <x v="62"/>
    <n v="25"/>
    <n v="68.83"/>
    <n v="36.229999999999997"/>
    <n v="1720.75"/>
    <n v="905.75"/>
    <n v="815"/>
    <n v="3"/>
  </r>
  <r>
    <x v="211"/>
    <n v="10361"/>
    <n v="282"/>
    <x v="34"/>
    <x v="13"/>
    <x v="0"/>
    <x v="63"/>
    <n v="49"/>
    <n v="56.41"/>
    <n v="33.020000000000003"/>
    <n v="2764.09"/>
    <n v="1617.98"/>
    <n v="1146.1099999999999"/>
    <n v="3"/>
  </r>
  <r>
    <x v="211"/>
    <n v="10361"/>
    <n v="282"/>
    <x v="34"/>
    <x v="13"/>
    <x v="0"/>
    <x v="64"/>
    <n v="33"/>
    <n v="35.78"/>
    <n v="27.06"/>
    <n v="1180.74"/>
    <n v="892.98"/>
    <n v="287.76"/>
    <n v="3"/>
  </r>
  <r>
    <x v="211"/>
    <n v="10361"/>
    <n v="282"/>
    <x v="34"/>
    <x v="13"/>
    <x v="5"/>
    <x v="65"/>
    <n v="20"/>
    <n v="88.6"/>
    <n v="51.15"/>
    <n v="1772"/>
    <n v="1023"/>
    <n v="749"/>
    <n v="3"/>
  </r>
  <r>
    <x v="211"/>
    <n v="10361"/>
    <n v="282"/>
    <x v="34"/>
    <x v="13"/>
    <x v="4"/>
    <x v="66"/>
    <n v="24"/>
    <n v="85.99"/>
    <n v="39.83"/>
    <n v="2063.7600000000002"/>
    <n v="955.92"/>
    <n v="1107.8399999999999"/>
    <n v="3"/>
  </r>
  <r>
    <x v="211"/>
    <n v="10361"/>
    <n v="282"/>
    <x v="34"/>
    <x v="13"/>
    <x v="5"/>
    <x v="67"/>
    <n v="26"/>
    <n v="91.74"/>
    <n v="68.8"/>
    <n v="2385.2399999999998"/>
    <n v="1788.8"/>
    <n v="596.44000000000005"/>
    <n v="3"/>
  </r>
  <r>
    <x v="211"/>
    <n v="10361"/>
    <n v="282"/>
    <x v="34"/>
    <x v="13"/>
    <x v="5"/>
    <x v="68"/>
    <n v="44"/>
    <n v="107.97"/>
    <n v="59.33"/>
    <n v="4750.68"/>
    <n v="2610.52"/>
    <n v="2140.16"/>
    <n v="3"/>
  </r>
  <r>
    <x v="212"/>
    <n v="10362"/>
    <n v="161"/>
    <x v="35"/>
    <x v="0"/>
    <x v="6"/>
    <x v="74"/>
    <n v="22"/>
    <n v="182.04"/>
    <n v="91.02"/>
    <n v="4004.88"/>
    <n v="2002.44"/>
    <n v="2002.44"/>
    <n v="4"/>
  </r>
  <r>
    <x v="212"/>
    <n v="10362"/>
    <n v="161"/>
    <x v="35"/>
    <x v="0"/>
    <x v="6"/>
    <x v="75"/>
    <n v="22"/>
    <n v="131.04"/>
    <n v="66.27"/>
    <n v="2882.88"/>
    <n v="1457.94"/>
    <n v="1424.94"/>
    <n v="4"/>
  </r>
  <r>
    <x v="212"/>
    <n v="10362"/>
    <n v="161"/>
    <x v="35"/>
    <x v="0"/>
    <x v="6"/>
    <x v="76"/>
    <n v="23"/>
    <n v="53.91"/>
    <n v="24.23"/>
    <n v="1239.93"/>
    <n v="557.29"/>
    <n v="682.64"/>
    <n v="4"/>
  </r>
  <r>
    <x v="212"/>
    <n v="10362"/>
    <n v="161"/>
    <x v="35"/>
    <x v="0"/>
    <x v="6"/>
    <x v="77"/>
    <n v="50"/>
    <n v="91.29"/>
    <n v="60.86"/>
    <n v="4564.5"/>
    <n v="3043"/>
    <n v="1521.5"/>
    <n v="4"/>
  </r>
  <r>
    <x v="213"/>
    <n v="10363"/>
    <n v="334"/>
    <x v="36"/>
    <x v="15"/>
    <x v="1"/>
    <x v="80"/>
    <n v="33"/>
    <n v="180.95"/>
    <n v="95.34"/>
    <n v="5971.35"/>
    <n v="3146.22"/>
    <n v="2825.13"/>
    <n v="3"/>
  </r>
  <r>
    <x v="213"/>
    <n v="10363"/>
    <n v="334"/>
    <x v="36"/>
    <x v="15"/>
    <x v="1"/>
    <x v="81"/>
    <n v="34"/>
    <n v="106.87"/>
    <n v="75.16"/>
    <n v="3633.58"/>
    <n v="2555.44"/>
    <n v="1078.1400000000001"/>
    <n v="3"/>
  </r>
  <r>
    <x v="213"/>
    <n v="10363"/>
    <n v="334"/>
    <x v="36"/>
    <x v="15"/>
    <x v="1"/>
    <x v="82"/>
    <n v="34"/>
    <n v="68.63"/>
    <n v="31.92"/>
    <n v="2333.42"/>
    <n v="1085.28"/>
    <n v="1248.1400000000001"/>
    <n v="3"/>
  </r>
  <r>
    <x v="213"/>
    <n v="10363"/>
    <n v="334"/>
    <x v="36"/>
    <x v="15"/>
    <x v="1"/>
    <x v="83"/>
    <n v="46"/>
    <n v="103.64"/>
    <n v="58.73"/>
    <n v="4767.4399999999996"/>
    <n v="2701.58"/>
    <n v="2065.86"/>
    <n v="3"/>
  </r>
  <r>
    <x v="213"/>
    <n v="10363"/>
    <n v="334"/>
    <x v="36"/>
    <x v="15"/>
    <x v="1"/>
    <x v="84"/>
    <n v="22"/>
    <n v="61.6"/>
    <n v="53.9"/>
    <n v="1355.2"/>
    <n v="1185.8"/>
    <n v="169.4"/>
    <n v="3"/>
  </r>
  <r>
    <x v="213"/>
    <n v="10363"/>
    <n v="334"/>
    <x v="36"/>
    <x v="15"/>
    <x v="1"/>
    <x v="85"/>
    <n v="46"/>
    <n v="69.150000000000006"/>
    <n v="49.05"/>
    <n v="3180.9"/>
    <n v="2256.3000000000002"/>
    <n v="924.6"/>
    <n v="3"/>
  </r>
  <r>
    <x v="213"/>
    <n v="10363"/>
    <n v="334"/>
    <x v="36"/>
    <x v="15"/>
    <x v="1"/>
    <x v="86"/>
    <n v="24"/>
    <n v="124.94"/>
    <n v="73.489999999999995"/>
    <n v="2998.56"/>
    <n v="1763.76"/>
    <n v="1234.8"/>
    <n v="3"/>
  </r>
  <r>
    <x v="213"/>
    <n v="10363"/>
    <n v="334"/>
    <x v="36"/>
    <x v="15"/>
    <x v="6"/>
    <x v="87"/>
    <n v="32"/>
    <n v="52.22"/>
    <n v="32.950000000000003"/>
    <n v="1671.04"/>
    <n v="1054.4000000000001"/>
    <n v="616.64"/>
    <n v="3"/>
  </r>
  <r>
    <x v="213"/>
    <n v="10363"/>
    <n v="334"/>
    <x v="36"/>
    <x v="15"/>
    <x v="1"/>
    <x v="88"/>
    <n v="28"/>
    <n v="123.5"/>
    <n v="69.930000000000007"/>
    <n v="3458"/>
    <n v="1958.04"/>
    <n v="1499.96"/>
    <n v="3"/>
  </r>
  <r>
    <x v="213"/>
    <n v="10363"/>
    <n v="334"/>
    <x v="36"/>
    <x v="15"/>
    <x v="6"/>
    <x v="78"/>
    <n v="21"/>
    <n v="70.08"/>
    <n v="37.32"/>
    <n v="1471.68"/>
    <n v="783.72"/>
    <n v="687.96"/>
    <n v="3"/>
  </r>
  <r>
    <x v="213"/>
    <n v="10363"/>
    <n v="334"/>
    <x v="36"/>
    <x v="15"/>
    <x v="6"/>
    <x v="89"/>
    <n v="43"/>
    <n v="56.1"/>
    <n v="47.1"/>
    <n v="2412.3000000000002"/>
    <n v="2025.3"/>
    <n v="387"/>
    <n v="3"/>
  </r>
  <r>
    <x v="213"/>
    <n v="10363"/>
    <n v="334"/>
    <x v="36"/>
    <x v="15"/>
    <x v="1"/>
    <x v="90"/>
    <n v="21"/>
    <n v="52.05"/>
    <n v="38.58"/>
    <n v="1093.05"/>
    <n v="810.18"/>
    <n v="282.87"/>
    <n v="3"/>
  </r>
  <r>
    <x v="213"/>
    <n v="10363"/>
    <n v="334"/>
    <x v="36"/>
    <x v="15"/>
    <x v="1"/>
    <x v="91"/>
    <n v="31"/>
    <n v="113.75"/>
    <n v="98.3"/>
    <n v="3526.25"/>
    <n v="3047.3"/>
    <n v="478.95"/>
    <n v="3"/>
  </r>
  <r>
    <x v="213"/>
    <n v="10363"/>
    <n v="334"/>
    <x v="36"/>
    <x v="15"/>
    <x v="1"/>
    <x v="92"/>
    <n v="43"/>
    <n v="75.989999999999995"/>
    <n v="32.33"/>
    <n v="3267.57"/>
    <n v="1390.19"/>
    <n v="1877.38"/>
    <n v="3"/>
  </r>
  <r>
    <x v="213"/>
    <n v="10363"/>
    <n v="334"/>
    <x v="36"/>
    <x v="15"/>
    <x v="6"/>
    <x v="79"/>
    <n v="50"/>
    <n v="92.9"/>
    <n v="66.92"/>
    <n v="4645"/>
    <n v="3346"/>
    <n v="1299"/>
    <n v="3"/>
  </r>
  <r>
    <x v="213"/>
    <n v="10364"/>
    <n v="350"/>
    <x v="22"/>
    <x v="9"/>
    <x v="6"/>
    <x v="93"/>
    <n v="48"/>
    <n v="38.22"/>
    <n v="24.14"/>
    <n v="1834.56"/>
    <n v="1158.72"/>
    <n v="675.84"/>
    <n v="3"/>
  </r>
  <r>
    <x v="214"/>
    <n v="10365"/>
    <n v="320"/>
    <x v="37"/>
    <x v="0"/>
    <x v="1"/>
    <x v="96"/>
    <n v="30"/>
    <n v="116.06"/>
    <n v="83.51"/>
    <n v="3481.8"/>
    <n v="2505.3000000000002"/>
    <n v="976.5"/>
    <n v="3"/>
  </r>
  <r>
    <x v="214"/>
    <n v="10365"/>
    <n v="320"/>
    <x v="37"/>
    <x v="0"/>
    <x v="6"/>
    <x v="94"/>
    <n v="22"/>
    <n v="82.66"/>
    <n v="56.13"/>
    <n v="1818.52"/>
    <n v="1234.8599999999999"/>
    <n v="583.66"/>
    <n v="3"/>
  </r>
  <r>
    <x v="214"/>
    <n v="10365"/>
    <n v="320"/>
    <x v="37"/>
    <x v="0"/>
    <x v="6"/>
    <x v="95"/>
    <n v="44"/>
    <n v="68.34"/>
    <n v="34.17"/>
    <n v="3006.96"/>
    <n v="1503.48"/>
    <n v="1503.48"/>
    <n v="3"/>
  </r>
  <r>
    <x v="215"/>
    <n v="10366"/>
    <n v="381"/>
    <x v="16"/>
    <x v="10"/>
    <x v="1"/>
    <x v="97"/>
    <n v="34"/>
    <n v="116.65"/>
    <n v="93.89"/>
    <n v="3966.1"/>
    <n v="3192.26"/>
    <n v="773.84"/>
    <n v="4"/>
  </r>
  <r>
    <x v="215"/>
    <n v="10366"/>
    <n v="381"/>
    <x v="16"/>
    <x v="10"/>
    <x v="1"/>
    <x v="98"/>
    <n v="49"/>
    <n v="105.6"/>
    <n v="56.76"/>
    <n v="5174.3999999999996"/>
    <n v="2781.24"/>
    <n v="2393.16"/>
    <n v="4"/>
  </r>
  <r>
    <x v="215"/>
    <n v="10366"/>
    <n v="381"/>
    <x v="16"/>
    <x v="10"/>
    <x v="1"/>
    <x v="30"/>
    <n v="34"/>
    <n v="154.1"/>
    <n v="77.900000000000006"/>
    <n v="5239.3999999999996"/>
    <n v="2648.6"/>
    <n v="2590.8000000000002"/>
    <n v="4"/>
  </r>
  <r>
    <x v="216"/>
    <n v="10367"/>
    <n v="205"/>
    <x v="38"/>
    <x v="0"/>
    <x v="1"/>
    <x v="101"/>
    <n v="49"/>
    <n v="105.77"/>
    <n v="65.959999999999994"/>
    <n v="5182.7299999999996"/>
    <n v="3232.04"/>
    <n v="1950.69"/>
    <n v="3"/>
  </r>
  <r>
    <x v="216"/>
    <n v="10367"/>
    <n v="205"/>
    <x v="38"/>
    <x v="0"/>
    <x v="0"/>
    <x v="0"/>
    <n v="37"/>
    <n v="144.5"/>
    <n v="86.7"/>
    <n v="5346.5"/>
    <n v="3207.9"/>
    <n v="2138.6"/>
    <n v="3"/>
  </r>
  <r>
    <x v="216"/>
    <n v="10367"/>
    <n v="205"/>
    <x v="38"/>
    <x v="0"/>
    <x v="0"/>
    <x v="1"/>
    <n v="45"/>
    <n v="50.25"/>
    <n v="33.299999999999997"/>
    <n v="2261.25"/>
    <n v="1498.5"/>
    <n v="762.75"/>
    <n v="3"/>
  </r>
  <r>
    <x v="216"/>
    <n v="10367"/>
    <n v="205"/>
    <x v="38"/>
    <x v="0"/>
    <x v="0"/>
    <x v="4"/>
    <n v="27"/>
    <n v="124.59"/>
    <n v="58.48"/>
    <n v="3363.93"/>
    <n v="1578.96"/>
    <n v="1784.97"/>
    <n v="3"/>
  </r>
  <r>
    <x v="216"/>
    <n v="10367"/>
    <n v="205"/>
    <x v="38"/>
    <x v="0"/>
    <x v="0"/>
    <x v="5"/>
    <n v="32"/>
    <n v="140.06"/>
    <n v="72.56"/>
    <n v="4481.92"/>
    <n v="2321.92"/>
    <n v="2160"/>
    <n v="3"/>
  </r>
  <r>
    <x v="216"/>
    <n v="10367"/>
    <n v="205"/>
    <x v="38"/>
    <x v="0"/>
    <x v="1"/>
    <x v="99"/>
    <n v="46"/>
    <n v="131.38999999999999"/>
    <n v="62.16"/>
    <n v="6043.94"/>
    <n v="2859.36"/>
    <n v="3184.58"/>
    <n v="3"/>
  </r>
  <r>
    <x v="216"/>
    <n v="10367"/>
    <n v="205"/>
    <x v="38"/>
    <x v="0"/>
    <x v="0"/>
    <x v="2"/>
    <n v="43"/>
    <n v="77.31"/>
    <n v="43.26"/>
    <n v="3324.33"/>
    <n v="1860.18"/>
    <n v="1464.15"/>
    <n v="3"/>
  </r>
  <r>
    <x v="216"/>
    <n v="10367"/>
    <n v="205"/>
    <x v="38"/>
    <x v="0"/>
    <x v="1"/>
    <x v="102"/>
    <n v="44"/>
    <n v="66.989999999999995"/>
    <n v="34.21"/>
    <n v="2947.56"/>
    <n v="1505.24"/>
    <n v="1442.32"/>
    <n v="3"/>
  </r>
  <r>
    <x v="216"/>
    <n v="10367"/>
    <n v="205"/>
    <x v="38"/>
    <x v="0"/>
    <x v="1"/>
    <x v="103"/>
    <n v="21"/>
    <n v="72.760000000000005"/>
    <n v="49.24"/>
    <n v="1527.96"/>
    <n v="1034.04"/>
    <n v="493.92"/>
    <n v="3"/>
  </r>
  <r>
    <x v="216"/>
    <n v="10367"/>
    <n v="205"/>
    <x v="38"/>
    <x v="0"/>
    <x v="1"/>
    <x v="104"/>
    <n v="38"/>
    <n v="50.31"/>
    <n v="29.18"/>
    <n v="1911.78"/>
    <n v="1108.8399999999999"/>
    <n v="802.94"/>
    <n v="3"/>
  </r>
  <r>
    <x v="216"/>
    <n v="10367"/>
    <n v="205"/>
    <x v="38"/>
    <x v="0"/>
    <x v="0"/>
    <x v="6"/>
    <n v="23"/>
    <n v="29.54"/>
    <n v="22.57"/>
    <n v="679.42"/>
    <n v="519.11"/>
    <n v="160.31"/>
    <n v="3"/>
  </r>
  <r>
    <x v="216"/>
    <n v="10367"/>
    <n v="205"/>
    <x v="38"/>
    <x v="0"/>
    <x v="0"/>
    <x v="7"/>
    <n v="28"/>
    <n v="43.01"/>
    <n v="20.61"/>
    <n v="1204.28"/>
    <n v="577.08000000000004"/>
    <n v="627.20000000000005"/>
    <n v="3"/>
  </r>
  <r>
    <x v="216"/>
    <n v="10367"/>
    <n v="205"/>
    <x v="38"/>
    <x v="0"/>
    <x v="1"/>
    <x v="100"/>
    <n v="36"/>
    <n v="36.25"/>
    <n v="16.239999999999998"/>
    <n v="1305"/>
    <n v="584.64"/>
    <n v="720.36"/>
    <n v="3"/>
  </r>
  <r>
    <x v="217"/>
    <n v="10368"/>
    <n v="124"/>
    <x v="13"/>
    <x v="0"/>
    <x v="1"/>
    <x v="105"/>
    <n v="40"/>
    <n v="73.599999999999994"/>
    <n v="47.25"/>
    <n v="2944"/>
    <n v="1890"/>
    <n v="1054"/>
    <n v="11"/>
  </r>
  <r>
    <x v="217"/>
    <n v="10368"/>
    <n v="124"/>
    <x v="13"/>
    <x v="0"/>
    <x v="1"/>
    <x v="106"/>
    <n v="31"/>
    <n v="115.09"/>
    <n v="72.819999999999993"/>
    <n v="3567.79"/>
    <n v="2257.42"/>
    <n v="1310.3699999999999"/>
    <n v="11"/>
  </r>
  <r>
    <x v="217"/>
    <n v="10368"/>
    <n v="124"/>
    <x v="13"/>
    <x v="0"/>
    <x v="1"/>
    <x v="107"/>
    <n v="46"/>
    <n v="83.04"/>
    <n v="50.51"/>
    <n v="3819.84"/>
    <n v="2323.46"/>
    <n v="1496.38"/>
    <n v="11"/>
  </r>
  <r>
    <x v="217"/>
    <n v="10368"/>
    <n v="124"/>
    <x v="13"/>
    <x v="0"/>
    <x v="1"/>
    <x v="108"/>
    <n v="20"/>
    <n v="93.16"/>
    <n v="62.11"/>
    <n v="1863.2"/>
    <n v="1242.2"/>
    <n v="621"/>
    <n v="11"/>
  </r>
  <r>
    <x v="217"/>
    <n v="10368"/>
    <n v="124"/>
    <x v="13"/>
    <x v="0"/>
    <x v="0"/>
    <x v="3"/>
    <n v="46"/>
    <n v="36.520000000000003"/>
    <n v="21.75"/>
    <n v="1679.92"/>
    <n v="1000.5"/>
    <n v="679.42"/>
    <n v="11"/>
  </r>
  <r>
    <x v="218"/>
    <n v="10370"/>
    <n v="276"/>
    <x v="40"/>
    <x v="13"/>
    <x v="1"/>
    <x v="11"/>
    <n v="35"/>
    <n v="128.53"/>
    <n v="103.42"/>
    <n v="4498.55"/>
    <n v="3619.7"/>
    <n v="878.85"/>
    <n v="3"/>
  </r>
  <r>
    <x v="218"/>
    <n v="10370"/>
    <n v="276"/>
    <x v="40"/>
    <x v="13"/>
    <x v="2"/>
    <x v="12"/>
    <n v="49"/>
    <n v="128.47"/>
    <n v="77.900000000000006"/>
    <n v="6295.03"/>
    <n v="3817.1"/>
    <n v="2477.9299999999998"/>
    <n v="3"/>
  </r>
  <r>
    <x v="218"/>
    <n v="10370"/>
    <n v="276"/>
    <x v="40"/>
    <x v="13"/>
    <x v="2"/>
    <x v="13"/>
    <n v="27"/>
    <n v="100.34"/>
    <n v="58.33"/>
    <n v="2709.18"/>
    <n v="1574.91"/>
    <n v="1134.27"/>
    <n v="3"/>
  </r>
  <r>
    <x v="218"/>
    <n v="10370"/>
    <n v="276"/>
    <x v="40"/>
    <x v="13"/>
    <x v="2"/>
    <x v="29"/>
    <n v="22"/>
    <n v="101.87"/>
    <n v="74.86"/>
    <n v="2241.14"/>
    <n v="1646.92"/>
    <n v="594.22"/>
    <n v="3"/>
  </r>
  <r>
    <x v="218"/>
    <n v="10370"/>
    <n v="276"/>
    <x v="40"/>
    <x v="13"/>
    <x v="2"/>
    <x v="14"/>
    <n v="22"/>
    <n v="60.16"/>
    <n v="24.92"/>
    <n v="1323.52"/>
    <n v="548.24"/>
    <n v="775.28"/>
    <n v="3"/>
  </r>
  <r>
    <x v="218"/>
    <n v="10370"/>
    <n v="276"/>
    <x v="40"/>
    <x v="13"/>
    <x v="1"/>
    <x v="30"/>
    <n v="27"/>
    <n v="167.65"/>
    <n v="77.900000000000006"/>
    <n v="4526.55"/>
    <n v="2103.3000000000002"/>
    <n v="2423.25"/>
    <n v="3"/>
  </r>
  <r>
    <x v="218"/>
    <n v="10370"/>
    <n v="276"/>
    <x v="40"/>
    <x v="13"/>
    <x v="2"/>
    <x v="19"/>
    <n v="29"/>
    <n v="105.34"/>
    <n v="84.76"/>
    <n v="3054.86"/>
    <n v="2458.04"/>
    <n v="596.82000000000005"/>
    <n v="3"/>
  </r>
  <r>
    <x v="218"/>
    <n v="10370"/>
    <n v="276"/>
    <x v="40"/>
    <x v="13"/>
    <x v="0"/>
    <x v="20"/>
    <n v="20"/>
    <n v="41.76"/>
    <n v="23.14"/>
    <n v="835.2"/>
    <n v="462.8"/>
    <n v="372.4"/>
    <n v="3"/>
  </r>
  <r>
    <x v="218"/>
    <n v="10370"/>
    <n v="276"/>
    <x v="40"/>
    <x v="13"/>
    <x v="2"/>
    <x v="24"/>
    <n v="25"/>
    <n v="63.99"/>
    <n v="33.61"/>
    <n v="1599.75"/>
    <n v="840.25"/>
    <n v="759.5"/>
    <n v="3"/>
  </r>
  <r>
    <x v="218"/>
    <n v="10369"/>
    <n v="379"/>
    <x v="39"/>
    <x v="0"/>
    <x v="1"/>
    <x v="10"/>
    <n v="41"/>
    <n v="195.01"/>
    <n v="98.58"/>
    <n v="7995.41"/>
    <n v="4041.78"/>
    <n v="3953.63"/>
    <n v="3"/>
  </r>
  <r>
    <x v="218"/>
    <n v="10369"/>
    <n v="379"/>
    <x v="39"/>
    <x v="0"/>
    <x v="0"/>
    <x v="8"/>
    <n v="44"/>
    <n v="89.38"/>
    <n v="60.62"/>
    <n v="3932.72"/>
    <n v="2667.28"/>
    <n v="1265.44"/>
    <n v="3"/>
  </r>
  <r>
    <x v="218"/>
    <n v="10369"/>
    <n v="379"/>
    <x v="39"/>
    <x v="0"/>
    <x v="0"/>
    <x v="9"/>
    <n v="32"/>
    <n v="46.36"/>
    <n v="24.26"/>
    <n v="1483.52"/>
    <n v="776.32"/>
    <n v="707.2"/>
    <n v="3"/>
  </r>
  <r>
    <x v="218"/>
    <n v="10369"/>
    <n v="379"/>
    <x v="39"/>
    <x v="0"/>
    <x v="0"/>
    <x v="15"/>
    <n v="42"/>
    <n v="100.3"/>
    <n v="60.78"/>
    <n v="4212.6000000000004"/>
    <n v="2552.7600000000002"/>
    <n v="1659.84"/>
    <n v="3"/>
  </r>
  <r>
    <x v="218"/>
    <n v="10369"/>
    <n v="379"/>
    <x v="39"/>
    <x v="0"/>
    <x v="0"/>
    <x v="16"/>
    <n v="28"/>
    <n v="51.84"/>
    <n v="34.35"/>
    <n v="1451.52"/>
    <n v="961.8"/>
    <n v="489.72"/>
    <n v="3"/>
  </r>
  <r>
    <x v="218"/>
    <n v="10369"/>
    <n v="379"/>
    <x v="39"/>
    <x v="0"/>
    <x v="0"/>
    <x v="17"/>
    <n v="21"/>
    <n v="90.06"/>
    <n v="60.74"/>
    <n v="1891.26"/>
    <n v="1275.54"/>
    <n v="615.72"/>
    <n v="3"/>
  </r>
  <r>
    <x v="218"/>
    <n v="10369"/>
    <n v="379"/>
    <x v="39"/>
    <x v="0"/>
    <x v="0"/>
    <x v="18"/>
    <n v="45"/>
    <n v="80.36"/>
    <n v="57.54"/>
    <n v="3616.2"/>
    <n v="2589.3000000000002"/>
    <n v="1026.9000000000001"/>
    <n v="3"/>
  </r>
  <r>
    <x v="218"/>
    <n v="10369"/>
    <n v="379"/>
    <x v="39"/>
    <x v="0"/>
    <x v="0"/>
    <x v="22"/>
    <n v="40"/>
    <n v="93.49"/>
    <n v="57.46"/>
    <n v="3739.6"/>
    <n v="2298.4"/>
    <n v="1441.2"/>
    <n v="3"/>
  </r>
  <r>
    <x v="219"/>
    <n v="10371"/>
    <n v="124"/>
    <x v="13"/>
    <x v="0"/>
    <x v="1"/>
    <x v="40"/>
    <n v="32"/>
    <n v="178.71"/>
    <n v="95.59"/>
    <n v="5718.72"/>
    <n v="3058.88"/>
    <n v="2659.84"/>
    <n v="12"/>
  </r>
  <r>
    <x v="219"/>
    <n v="10371"/>
    <n v="124"/>
    <x v="13"/>
    <x v="0"/>
    <x v="2"/>
    <x v="27"/>
    <n v="49"/>
    <n v="104.28"/>
    <n v="55.7"/>
    <n v="5109.72"/>
    <n v="2729.3"/>
    <n v="2380.42"/>
    <n v="12"/>
  </r>
  <r>
    <x v="219"/>
    <n v="10371"/>
    <n v="124"/>
    <x v="13"/>
    <x v="0"/>
    <x v="1"/>
    <x v="28"/>
    <n v="25"/>
    <n v="160.46"/>
    <n v="101.51"/>
    <n v="4011.5"/>
    <n v="2537.75"/>
    <n v="1473.75"/>
    <n v="12"/>
  </r>
  <r>
    <x v="219"/>
    <n v="10371"/>
    <n v="124"/>
    <x v="13"/>
    <x v="0"/>
    <x v="1"/>
    <x v="32"/>
    <n v="25"/>
    <n v="53.75"/>
    <n v="32.369999999999997"/>
    <n v="1343.75"/>
    <n v="809.25"/>
    <n v="534.5"/>
    <n v="12"/>
  </r>
  <r>
    <x v="219"/>
    <n v="10371"/>
    <n v="124"/>
    <x v="13"/>
    <x v="0"/>
    <x v="2"/>
    <x v="21"/>
    <n v="20"/>
    <n v="126.51"/>
    <n v="61.34"/>
    <n v="2530.1999999999998"/>
    <n v="1226.8"/>
    <n v="1303.4000000000001"/>
    <n v="12"/>
  </r>
  <r>
    <x v="219"/>
    <n v="10371"/>
    <n v="124"/>
    <x v="13"/>
    <x v="0"/>
    <x v="1"/>
    <x v="33"/>
    <n v="45"/>
    <n v="35.01"/>
    <n v="15.91"/>
    <n v="1575.45"/>
    <n v="715.95"/>
    <n v="859.5"/>
    <n v="12"/>
  </r>
  <r>
    <x v="219"/>
    <n v="10371"/>
    <n v="124"/>
    <x v="13"/>
    <x v="0"/>
    <x v="1"/>
    <x v="34"/>
    <n v="28"/>
    <n v="95.81"/>
    <n v="69.78"/>
    <n v="2682.68"/>
    <n v="1953.84"/>
    <n v="728.84"/>
    <n v="12"/>
  </r>
  <r>
    <x v="219"/>
    <n v="10371"/>
    <n v="124"/>
    <x v="13"/>
    <x v="0"/>
    <x v="2"/>
    <x v="23"/>
    <n v="26"/>
    <n v="82.83"/>
    <n v="53.93"/>
    <n v="2153.58"/>
    <n v="1402.18"/>
    <n v="751.4"/>
    <n v="12"/>
  </r>
  <r>
    <x v="219"/>
    <n v="10371"/>
    <n v="124"/>
    <x v="13"/>
    <x v="0"/>
    <x v="2"/>
    <x v="35"/>
    <n v="20"/>
    <n v="44.37"/>
    <n v="25.98"/>
    <n v="887.4"/>
    <n v="519.6"/>
    <n v="367.8"/>
    <n v="12"/>
  </r>
  <r>
    <x v="219"/>
    <n v="10371"/>
    <n v="124"/>
    <x v="13"/>
    <x v="0"/>
    <x v="3"/>
    <x v="36"/>
    <n v="30"/>
    <n v="53.44"/>
    <n v="26.72"/>
    <n v="1603.2"/>
    <n v="801.6"/>
    <n v="801.6"/>
    <n v="12"/>
  </r>
  <r>
    <x v="219"/>
    <n v="10371"/>
    <n v="124"/>
    <x v="13"/>
    <x v="0"/>
    <x v="2"/>
    <x v="37"/>
    <n v="48"/>
    <n v="97.23"/>
    <n v="68.290000000000006"/>
    <n v="4667.04"/>
    <n v="3277.92"/>
    <n v="1389.12"/>
    <n v="12"/>
  </r>
  <r>
    <x v="219"/>
    <n v="10371"/>
    <n v="124"/>
    <x v="13"/>
    <x v="0"/>
    <x v="1"/>
    <x v="25"/>
    <n v="34"/>
    <n v="83.95"/>
    <n v="46.53"/>
    <n v="2854.3"/>
    <n v="1582.02"/>
    <n v="1272.28"/>
    <n v="12"/>
  </r>
  <r>
    <x v="220"/>
    <n v="10372"/>
    <n v="398"/>
    <x v="90"/>
    <x v="18"/>
    <x v="1"/>
    <x v="26"/>
    <n v="40"/>
    <n v="146.55000000000001"/>
    <n v="89.14"/>
    <n v="5862"/>
    <n v="3565.6"/>
    <n v="2296.4"/>
    <n v="3"/>
  </r>
  <r>
    <x v="220"/>
    <n v="10372"/>
    <n v="398"/>
    <x v="90"/>
    <x v="18"/>
    <x v="1"/>
    <x v="41"/>
    <n v="34"/>
    <n v="140.15"/>
    <n v="83.05"/>
    <n v="4765.1000000000004"/>
    <n v="2823.7"/>
    <n v="1941.4"/>
    <n v="3"/>
  </r>
  <r>
    <x v="220"/>
    <n v="10372"/>
    <n v="398"/>
    <x v="90"/>
    <x v="18"/>
    <x v="0"/>
    <x v="42"/>
    <n v="28"/>
    <n v="131.13"/>
    <n v="68.3"/>
    <n v="3671.64"/>
    <n v="1912.4"/>
    <n v="1759.24"/>
    <n v="3"/>
  </r>
  <r>
    <x v="220"/>
    <n v="10372"/>
    <n v="398"/>
    <x v="90"/>
    <x v="18"/>
    <x v="3"/>
    <x v="43"/>
    <n v="25"/>
    <n v="91.76"/>
    <n v="67.56"/>
    <n v="2294"/>
    <n v="1689"/>
    <n v="605"/>
    <n v="3"/>
  </r>
  <r>
    <x v="220"/>
    <n v="10372"/>
    <n v="398"/>
    <x v="90"/>
    <x v="18"/>
    <x v="1"/>
    <x v="31"/>
    <n v="48"/>
    <n v="119.2"/>
    <n v="91.92"/>
    <n v="5721.6"/>
    <n v="4412.16"/>
    <n v="1309.44"/>
    <n v="3"/>
  </r>
  <r>
    <x v="220"/>
    <n v="10372"/>
    <n v="398"/>
    <x v="90"/>
    <x v="18"/>
    <x v="0"/>
    <x v="44"/>
    <n v="41"/>
    <n v="78.989999999999995"/>
    <n v="52.66"/>
    <n v="3238.59"/>
    <n v="2159.06"/>
    <n v="1079.53"/>
    <n v="3"/>
  </r>
  <r>
    <x v="220"/>
    <n v="10372"/>
    <n v="398"/>
    <x v="90"/>
    <x v="18"/>
    <x v="4"/>
    <x v="45"/>
    <n v="37"/>
    <n v="102"/>
    <n v="82.34"/>
    <n v="3774"/>
    <n v="3046.58"/>
    <n v="727.42"/>
    <n v="3"/>
  </r>
  <r>
    <x v="220"/>
    <n v="10372"/>
    <n v="398"/>
    <x v="90"/>
    <x v="18"/>
    <x v="3"/>
    <x v="38"/>
    <n v="24"/>
    <n v="56.82"/>
    <n v="37.49"/>
    <n v="1363.68"/>
    <n v="899.76"/>
    <n v="463.92"/>
    <n v="3"/>
  </r>
  <r>
    <x v="220"/>
    <n v="10372"/>
    <n v="398"/>
    <x v="90"/>
    <x v="18"/>
    <x v="4"/>
    <x v="49"/>
    <n v="44"/>
    <n v="74.48"/>
    <n v="43.3"/>
    <n v="3277.12"/>
    <n v="1905.2"/>
    <n v="1371.92"/>
    <n v="3"/>
  </r>
  <r>
    <x v="221"/>
    <n v="10373"/>
    <n v="311"/>
    <x v="42"/>
    <x v="15"/>
    <x v="1"/>
    <x v="39"/>
    <n v="39"/>
    <n v="118.32"/>
    <n v="85.68"/>
    <n v="4614.4799999999996"/>
    <n v="3341.52"/>
    <n v="1272.96"/>
    <n v="3"/>
  </r>
  <r>
    <x v="221"/>
    <n v="10373"/>
    <n v="311"/>
    <x v="42"/>
    <x v="15"/>
    <x v="5"/>
    <x v="54"/>
    <n v="28"/>
    <n v="143.5"/>
    <n v="77.27"/>
    <n v="4018"/>
    <n v="2163.56"/>
    <n v="1854.44"/>
    <n v="3"/>
  </r>
  <r>
    <x v="221"/>
    <n v="10373"/>
    <n v="311"/>
    <x v="42"/>
    <x v="15"/>
    <x v="4"/>
    <x v="56"/>
    <n v="22"/>
    <n v="75.7"/>
    <n v="51.61"/>
    <n v="1665.4"/>
    <n v="1135.42"/>
    <n v="529.98"/>
    <n v="3"/>
  </r>
  <r>
    <x v="221"/>
    <n v="10373"/>
    <n v="311"/>
    <x v="42"/>
    <x v="15"/>
    <x v="0"/>
    <x v="57"/>
    <n v="50"/>
    <n v="99.52"/>
    <n v="64.58"/>
    <n v="4976"/>
    <n v="3229"/>
    <n v="1747"/>
    <n v="3"/>
  </r>
  <r>
    <x v="221"/>
    <n v="10373"/>
    <n v="311"/>
    <x v="42"/>
    <x v="15"/>
    <x v="5"/>
    <x v="59"/>
    <n v="38"/>
    <n v="58.92"/>
    <n v="34.25"/>
    <n v="2238.96"/>
    <n v="1301.5"/>
    <n v="937.46"/>
    <n v="3"/>
  </r>
  <r>
    <x v="221"/>
    <n v="10373"/>
    <n v="311"/>
    <x v="42"/>
    <x v="15"/>
    <x v="0"/>
    <x v="46"/>
    <n v="33"/>
    <n v="82.31"/>
    <n v="46.91"/>
    <n v="2716.23"/>
    <n v="1548.03"/>
    <n v="1168.2"/>
    <n v="3"/>
  </r>
  <r>
    <x v="221"/>
    <n v="10373"/>
    <n v="311"/>
    <x v="42"/>
    <x v="15"/>
    <x v="0"/>
    <x v="60"/>
    <n v="46"/>
    <n v="53.92"/>
    <n v="26.3"/>
    <n v="2480.3200000000002"/>
    <n v="1209.8"/>
    <n v="1270.52"/>
    <n v="3"/>
  </r>
  <r>
    <x v="221"/>
    <n v="10373"/>
    <n v="311"/>
    <x v="42"/>
    <x v="15"/>
    <x v="0"/>
    <x v="47"/>
    <n v="23"/>
    <n v="83.86"/>
    <n v="48.64"/>
    <n v="1928.78"/>
    <n v="1118.72"/>
    <n v="810.06"/>
    <n v="3"/>
  </r>
  <r>
    <x v="221"/>
    <n v="10373"/>
    <n v="311"/>
    <x v="42"/>
    <x v="15"/>
    <x v="5"/>
    <x v="61"/>
    <n v="39"/>
    <n v="62.1"/>
    <n v="29.34"/>
    <n v="2421.9"/>
    <n v="1144.26"/>
    <n v="1277.6400000000001"/>
    <n v="3"/>
  </r>
  <r>
    <x v="221"/>
    <n v="10373"/>
    <n v="311"/>
    <x v="42"/>
    <x v="15"/>
    <x v="4"/>
    <x v="48"/>
    <n v="44"/>
    <n v="58"/>
    <n v="34"/>
    <n v="2552"/>
    <n v="1496"/>
    <n v="1056"/>
    <n v="3"/>
  </r>
  <r>
    <x v="221"/>
    <n v="10373"/>
    <n v="311"/>
    <x v="42"/>
    <x v="15"/>
    <x v="4"/>
    <x v="66"/>
    <n v="32"/>
    <n v="76.94"/>
    <n v="39.83"/>
    <n v="2462.08"/>
    <n v="1274.56"/>
    <n v="1187.52"/>
    <n v="3"/>
  </r>
  <r>
    <x v="221"/>
    <n v="10373"/>
    <n v="311"/>
    <x v="42"/>
    <x v="15"/>
    <x v="4"/>
    <x v="50"/>
    <n v="41"/>
    <n v="69.39"/>
    <n v="33.97"/>
    <n v="2844.99"/>
    <n v="1392.77"/>
    <n v="1452.22"/>
    <n v="3"/>
  </r>
  <r>
    <x v="221"/>
    <n v="10373"/>
    <n v="311"/>
    <x v="42"/>
    <x v="15"/>
    <x v="4"/>
    <x v="51"/>
    <n v="34"/>
    <n v="94.16"/>
    <n v="51.09"/>
    <n v="3201.44"/>
    <n v="1737.06"/>
    <n v="1464.38"/>
    <n v="3"/>
  </r>
  <r>
    <x v="221"/>
    <n v="10373"/>
    <n v="311"/>
    <x v="42"/>
    <x v="15"/>
    <x v="4"/>
    <x v="52"/>
    <n v="37"/>
    <n v="83.42"/>
    <n v="53.63"/>
    <n v="3086.54"/>
    <n v="1984.31"/>
    <n v="1102.23"/>
    <n v="3"/>
  </r>
  <r>
    <x v="221"/>
    <n v="10373"/>
    <n v="311"/>
    <x v="42"/>
    <x v="15"/>
    <x v="5"/>
    <x v="70"/>
    <n v="45"/>
    <n v="68.11"/>
    <n v="36.270000000000003"/>
    <n v="3064.95"/>
    <n v="1632.15"/>
    <n v="1432.8"/>
    <n v="3"/>
  </r>
  <r>
    <x v="221"/>
    <n v="10373"/>
    <n v="311"/>
    <x v="42"/>
    <x v="15"/>
    <x v="5"/>
    <x v="71"/>
    <n v="25"/>
    <n v="44.2"/>
    <n v="32.770000000000003"/>
    <n v="1105"/>
    <n v="819.25"/>
    <n v="285.75"/>
    <n v="3"/>
  </r>
  <r>
    <x v="221"/>
    <n v="10373"/>
    <n v="311"/>
    <x v="42"/>
    <x v="15"/>
    <x v="4"/>
    <x v="53"/>
    <n v="29"/>
    <n v="48.05"/>
    <n v="33.299999999999997"/>
    <n v="1393.45"/>
    <n v="965.7"/>
    <n v="427.75"/>
    <n v="3"/>
  </r>
  <r>
    <x v="222"/>
    <n v="10374"/>
    <n v="333"/>
    <x v="43"/>
    <x v="13"/>
    <x v="6"/>
    <x v="73"/>
    <n v="39"/>
    <n v="115.37"/>
    <n v="68.989999999999995"/>
    <n v="4499.43"/>
    <n v="2690.61"/>
    <n v="1808.82"/>
    <n v="3"/>
  </r>
  <r>
    <x v="222"/>
    <n v="10374"/>
    <n v="333"/>
    <x v="43"/>
    <x v="13"/>
    <x v="6"/>
    <x v="74"/>
    <n v="22"/>
    <n v="158.80000000000001"/>
    <n v="91.02"/>
    <n v="3493.6"/>
    <n v="2002.44"/>
    <n v="1491.16"/>
    <n v="3"/>
  </r>
  <r>
    <x v="222"/>
    <n v="10374"/>
    <n v="333"/>
    <x v="43"/>
    <x v="13"/>
    <x v="5"/>
    <x v="55"/>
    <n v="42"/>
    <n v="75.19"/>
    <n v="49"/>
    <n v="3157.98"/>
    <n v="2058"/>
    <n v="1099.98"/>
    <n v="3"/>
  </r>
  <r>
    <x v="222"/>
    <n v="10374"/>
    <n v="333"/>
    <x v="43"/>
    <x v="13"/>
    <x v="6"/>
    <x v="76"/>
    <n v="22"/>
    <n v="48.46"/>
    <n v="24.23"/>
    <n v="1066.1199999999999"/>
    <n v="533.05999999999995"/>
    <n v="533.05999999999995"/>
    <n v="3"/>
  </r>
  <r>
    <x v="222"/>
    <n v="10374"/>
    <n v="333"/>
    <x v="43"/>
    <x v="13"/>
    <x v="6"/>
    <x v="77"/>
    <n v="38"/>
    <n v="112.7"/>
    <n v="60.86"/>
    <n v="4282.6000000000004"/>
    <n v="2312.6799999999998"/>
    <n v="1969.92"/>
    <n v="3"/>
  </r>
  <r>
    <x v="222"/>
    <n v="10374"/>
    <n v="333"/>
    <x v="43"/>
    <x v="13"/>
    <x v="5"/>
    <x v="58"/>
    <n v="46"/>
    <n v="107.23"/>
    <n v="66.739999999999995"/>
    <n v="4932.58"/>
    <n v="3070.04"/>
    <n v="1862.54"/>
    <n v="3"/>
  </r>
  <r>
    <x v="223"/>
    <n v="10375"/>
    <n v="119"/>
    <x v="93"/>
    <x v="9"/>
    <x v="6"/>
    <x v="72"/>
    <n v="21"/>
    <n v="76.56"/>
    <n v="48.81"/>
    <n v="1607.76"/>
    <n v="1025.01"/>
    <n v="582.75"/>
    <n v="3"/>
  </r>
  <r>
    <x v="223"/>
    <n v="10375"/>
    <n v="119"/>
    <x v="93"/>
    <x v="9"/>
    <x v="1"/>
    <x v="80"/>
    <n v="45"/>
    <n v="184.84"/>
    <n v="95.34"/>
    <n v="8317.7999999999993"/>
    <n v="4290.3"/>
    <n v="4027.5"/>
    <n v="3"/>
  </r>
  <r>
    <x v="223"/>
    <n v="10375"/>
    <n v="119"/>
    <x v="93"/>
    <x v="9"/>
    <x v="6"/>
    <x v="75"/>
    <n v="49"/>
    <n v="150.62"/>
    <n v="66.27"/>
    <n v="7380.38"/>
    <n v="3247.23"/>
    <n v="4133.1499999999996"/>
    <n v="3"/>
  </r>
  <r>
    <x v="223"/>
    <n v="10375"/>
    <n v="119"/>
    <x v="93"/>
    <x v="9"/>
    <x v="6"/>
    <x v="78"/>
    <n v="23"/>
    <n v="67.03"/>
    <n v="37.32"/>
    <n v="1541.69"/>
    <n v="858.36"/>
    <n v="683.33"/>
    <n v="3"/>
  </r>
  <r>
    <x v="223"/>
    <n v="10375"/>
    <n v="119"/>
    <x v="93"/>
    <x v="9"/>
    <x v="6"/>
    <x v="89"/>
    <n v="20"/>
    <n v="60.26"/>
    <n v="47.1"/>
    <n v="1205.2"/>
    <n v="942"/>
    <n v="263.2"/>
    <n v="3"/>
  </r>
  <r>
    <x v="223"/>
    <n v="10375"/>
    <n v="119"/>
    <x v="93"/>
    <x v="9"/>
    <x v="5"/>
    <x v="62"/>
    <n v="43"/>
    <n v="60.13"/>
    <n v="36.229999999999997"/>
    <n v="2585.59"/>
    <n v="1557.89"/>
    <n v="1027.7"/>
    <n v="3"/>
  </r>
  <r>
    <x v="223"/>
    <n v="10375"/>
    <n v="119"/>
    <x v="93"/>
    <x v="9"/>
    <x v="6"/>
    <x v="79"/>
    <n v="37"/>
    <n v="87.9"/>
    <n v="66.92"/>
    <n v="3252.3"/>
    <n v="2476.04"/>
    <n v="776.26"/>
    <n v="3"/>
  </r>
  <r>
    <x v="223"/>
    <n v="10375"/>
    <n v="119"/>
    <x v="93"/>
    <x v="9"/>
    <x v="0"/>
    <x v="63"/>
    <n v="44"/>
    <n v="59.85"/>
    <n v="33.020000000000003"/>
    <n v="2633.4"/>
    <n v="1452.88"/>
    <n v="1180.52"/>
    <n v="3"/>
  </r>
  <r>
    <x v="223"/>
    <n v="10375"/>
    <n v="119"/>
    <x v="93"/>
    <x v="9"/>
    <x v="6"/>
    <x v="94"/>
    <n v="41"/>
    <n v="96.95"/>
    <n v="56.13"/>
    <n v="3974.95"/>
    <n v="2301.33"/>
    <n v="1673.62"/>
    <n v="3"/>
  </r>
  <r>
    <x v="223"/>
    <n v="10375"/>
    <n v="119"/>
    <x v="93"/>
    <x v="9"/>
    <x v="0"/>
    <x v="64"/>
    <n v="49"/>
    <n v="36.22"/>
    <n v="27.06"/>
    <n v="1774.78"/>
    <n v="1325.94"/>
    <n v="448.84"/>
    <n v="3"/>
  </r>
  <r>
    <x v="223"/>
    <n v="10375"/>
    <n v="119"/>
    <x v="93"/>
    <x v="9"/>
    <x v="6"/>
    <x v="95"/>
    <n v="49"/>
    <n v="69.16"/>
    <n v="34.17"/>
    <n v="3388.84"/>
    <n v="1674.33"/>
    <n v="1714.51"/>
    <n v="3"/>
  </r>
  <r>
    <x v="223"/>
    <n v="10375"/>
    <n v="119"/>
    <x v="93"/>
    <x v="9"/>
    <x v="5"/>
    <x v="65"/>
    <n v="37"/>
    <n v="86.77"/>
    <n v="51.15"/>
    <n v="3210.49"/>
    <n v="1892.55"/>
    <n v="1317.94"/>
    <n v="3"/>
  </r>
  <r>
    <x v="223"/>
    <n v="10375"/>
    <n v="119"/>
    <x v="93"/>
    <x v="9"/>
    <x v="5"/>
    <x v="67"/>
    <n v="33"/>
    <n v="94.73"/>
    <n v="68.8"/>
    <n v="3126.09"/>
    <n v="2270.4"/>
    <n v="855.69"/>
    <n v="3"/>
  </r>
  <r>
    <x v="223"/>
    <n v="10375"/>
    <n v="119"/>
    <x v="93"/>
    <x v="9"/>
    <x v="5"/>
    <x v="68"/>
    <n v="25"/>
    <n v="98.48"/>
    <n v="59.33"/>
    <n v="2462"/>
    <n v="1483.25"/>
    <n v="978.75"/>
    <n v="3"/>
  </r>
  <r>
    <x v="223"/>
    <n v="10375"/>
    <n v="119"/>
    <x v="93"/>
    <x v="9"/>
    <x v="5"/>
    <x v="69"/>
    <n v="44"/>
    <n v="69.599999999999994"/>
    <n v="54.4"/>
    <n v="3062.4"/>
    <n v="2393.6"/>
    <n v="668.8"/>
    <n v="3"/>
  </r>
  <r>
    <x v="224"/>
    <n v="10376"/>
    <n v="219"/>
    <x v="44"/>
    <x v="0"/>
    <x v="1"/>
    <x v="81"/>
    <n v="35"/>
    <n v="98.65"/>
    <n v="75.16"/>
    <n v="3452.75"/>
    <n v="2630.6"/>
    <n v="822.15"/>
    <n v="2"/>
  </r>
  <r>
    <x v="225"/>
    <n v="10377"/>
    <n v="186"/>
    <x v="46"/>
    <x v="15"/>
    <x v="1"/>
    <x v="82"/>
    <n v="24"/>
    <n v="65.44"/>
    <n v="31.92"/>
    <n v="1570.56"/>
    <n v="766.08"/>
    <n v="804.48"/>
    <n v="3"/>
  </r>
  <r>
    <x v="225"/>
    <n v="10377"/>
    <n v="186"/>
    <x v="46"/>
    <x v="15"/>
    <x v="1"/>
    <x v="83"/>
    <n v="50"/>
    <n v="112.86"/>
    <n v="58.73"/>
    <n v="5643"/>
    <n v="2936.5"/>
    <n v="2706.5"/>
    <n v="3"/>
  </r>
  <r>
    <x v="225"/>
    <n v="10377"/>
    <n v="186"/>
    <x v="46"/>
    <x v="15"/>
    <x v="1"/>
    <x v="96"/>
    <n v="35"/>
    <n v="124.56"/>
    <n v="83.51"/>
    <n v="4359.6000000000004"/>
    <n v="2922.85"/>
    <n v="1436.75"/>
    <n v="3"/>
  </r>
  <r>
    <x v="225"/>
    <n v="10377"/>
    <n v="186"/>
    <x v="46"/>
    <x v="15"/>
    <x v="1"/>
    <x v="84"/>
    <n v="31"/>
    <n v="61.6"/>
    <n v="53.9"/>
    <n v="1909.6"/>
    <n v="1670.9"/>
    <n v="238.7"/>
    <n v="3"/>
  </r>
  <r>
    <x v="225"/>
    <n v="10377"/>
    <n v="186"/>
    <x v="46"/>
    <x v="15"/>
    <x v="1"/>
    <x v="97"/>
    <n v="36"/>
    <n v="125.18"/>
    <n v="93.89"/>
    <n v="4506.4799999999996"/>
    <n v="3380.04"/>
    <n v="1126.44"/>
    <n v="3"/>
  </r>
  <r>
    <x v="225"/>
    <n v="10377"/>
    <n v="186"/>
    <x v="46"/>
    <x v="15"/>
    <x v="1"/>
    <x v="30"/>
    <n v="39"/>
    <n v="143.94"/>
    <n v="77.900000000000006"/>
    <n v="5613.66"/>
    <n v="3038.1"/>
    <n v="2575.56"/>
    <n v="3"/>
  </r>
  <r>
    <x v="226"/>
    <n v="10378"/>
    <n v="141"/>
    <x v="4"/>
    <x v="3"/>
    <x v="1"/>
    <x v="101"/>
    <n v="34"/>
    <n v="121.95"/>
    <n v="65.959999999999994"/>
    <n v="4146.3"/>
    <n v="2242.64"/>
    <n v="1903.66"/>
    <n v="18"/>
  </r>
  <r>
    <x v="226"/>
    <n v="10378"/>
    <n v="141"/>
    <x v="4"/>
    <x v="3"/>
    <x v="1"/>
    <x v="85"/>
    <n v="22"/>
    <n v="66.739999999999995"/>
    <n v="49.05"/>
    <n v="1468.28"/>
    <n v="1079.0999999999999"/>
    <n v="389.18"/>
    <n v="18"/>
  </r>
  <r>
    <x v="226"/>
    <n v="10378"/>
    <n v="141"/>
    <x v="4"/>
    <x v="3"/>
    <x v="1"/>
    <x v="86"/>
    <n v="43"/>
    <n v="146.99"/>
    <n v="73.489999999999995"/>
    <n v="6320.57"/>
    <n v="3160.07"/>
    <n v="3160.5"/>
    <n v="18"/>
  </r>
  <r>
    <x v="226"/>
    <n v="10378"/>
    <n v="141"/>
    <x v="4"/>
    <x v="3"/>
    <x v="6"/>
    <x v="87"/>
    <n v="28"/>
    <n v="60.3"/>
    <n v="32.950000000000003"/>
    <n v="1688.4"/>
    <n v="922.6"/>
    <n v="765.8"/>
    <n v="18"/>
  </r>
  <r>
    <x v="226"/>
    <n v="10378"/>
    <n v="141"/>
    <x v="4"/>
    <x v="3"/>
    <x v="1"/>
    <x v="88"/>
    <n v="49"/>
    <n v="122.02"/>
    <n v="69.930000000000007"/>
    <n v="5978.98"/>
    <n v="3426.57"/>
    <n v="2552.41"/>
    <n v="18"/>
  </r>
  <r>
    <x v="226"/>
    <n v="10378"/>
    <n v="141"/>
    <x v="4"/>
    <x v="3"/>
    <x v="1"/>
    <x v="100"/>
    <n v="41"/>
    <n v="30.59"/>
    <n v="16.239999999999998"/>
    <n v="1254.19"/>
    <n v="665.84"/>
    <n v="588.35"/>
    <n v="18"/>
  </r>
  <r>
    <x v="226"/>
    <n v="10378"/>
    <n v="141"/>
    <x v="4"/>
    <x v="3"/>
    <x v="1"/>
    <x v="90"/>
    <n v="46"/>
    <n v="52.66"/>
    <n v="38.58"/>
    <n v="2422.36"/>
    <n v="1774.68"/>
    <n v="647.67999999999995"/>
    <n v="18"/>
  </r>
  <r>
    <x v="226"/>
    <n v="10378"/>
    <n v="141"/>
    <x v="4"/>
    <x v="3"/>
    <x v="1"/>
    <x v="91"/>
    <n v="33"/>
    <n v="129.19999999999999"/>
    <n v="98.3"/>
    <n v="4263.6000000000004"/>
    <n v="3243.9"/>
    <n v="1019.7"/>
    <n v="18"/>
  </r>
  <r>
    <x v="226"/>
    <n v="10378"/>
    <n v="141"/>
    <x v="4"/>
    <x v="3"/>
    <x v="1"/>
    <x v="92"/>
    <n v="41"/>
    <n v="80.84"/>
    <n v="32.33"/>
    <n v="3314.44"/>
    <n v="1325.53"/>
    <n v="1988.91"/>
    <n v="18"/>
  </r>
  <r>
    <x v="226"/>
    <n v="10378"/>
    <n v="141"/>
    <x v="4"/>
    <x v="3"/>
    <x v="6"/>
    <x v="93"/>
    <n v="40"/>
    <n v="35.799999999999997"/>
    <n v="24.14"/>
    <n v="1432"/>
    <n v="965.6"/>
    <n v="466.4"/>
    <n v="18"/>
  </r>
  <r>
    <x v="226"/>
    <n v="10379"/>
    <n v="141"/>
    <x v="4"/>
    <x v="3"/>
    <x v="0"/>
    <x v="0"/>
    <n v="39"/>
    <n v="156.4"/>
    <n v="86.7"/>
    <n v="6099.6"/>
    <n v="3381.3"/>
    <n v="2718.3"/>
    <n v="18"/>
  </r>
  <r>
    <x v="226"/>
    <n v="10379"/>
    <n v="141"/>
    <x v="4"/>
    <x v="3"/>
    <x v="0"/>
    <x v="1"/>
    <n v="27"/>
    <n v="50.85"/>
    <n v="33.299999999999997"/>
    <n v="1372.95"/>
    <n v="899.1"/>
    <n v="473.85"/>
    <n v="18"/>
  </r>
  <r>
    <x v="226"/>
    <n v="10379"/>
    <n v="141"/>
    <x v="4"/>
    <x v="3"/>
    <x v="1"/>
    <x v="98"/>
    <n v="29"/>
    <n v="113.52"/>
    <n v="56.76"/>
    <n v="3292.08"/>
    <n v="1646.04"/>
    <n v="1646.04"/>
    <n v="18"/>
  </r>
  <r>
    <x v="226"/>
    <n v="10379"/>
    <n v="141"/>
    <x v="4"/>
    <x v="3"/>
    <x v="1"/>
    <x v="99"/>
    <n v="32"/>
    <n v="134.22"/>
    <n v="62.16"/>
    <n v="4295.04"/>
    <n v="1989.12"/>
    <n v="2305.92"/>
    <n v="18"/>
  </r>
  <r>
    <x v="226"/>
    <n v="10379"/>
    <n v="141"/>
    <x v="4"/>
    <x v="3"/>
    <x v="1"/>
    <x v="104"/>
    <n v="32"/>
    <n v="48.8"/>
    <n v="29.18"/>
    <n v="1561.6"/>
    <n v="933.76"/>
    <n v="627.84"/>
    <n v="18"/>
  </r>
  <r>
    <x v="227"/>
    <n v="10380"/>
    <n v="141"/>
    <x v="4"/>
    <x v="3"/>
    <x v="0"/>
    <x v="8"/>
    <n v="27"/>
    <n v="88.36"/>
    <n v="60.62"/>
    <n v="2385.7199999999998"/>
    <n v="1636.74"/>
    <n v="748.98"/>
    <n v="19"/>
  </r>
  <r>
    <x v="227"/>
    <n v="10380"/>
    <n v="141"/>
    <x v="4"/>
    <x v="3"/>
    <x v="0"/>
    <x v="4"/>
    <n v="40"/>
    <n v="119.5"/>
    <n v="58.48"/>
    <n v="4780"/>
    <n v="2339.1999999999998"/>
    <n v="2440.8000000000002"/>
    <n v="19"/>
  </r>
  <r>
    <x v="227"/>
    <n v="10380"/>
    <n v="141"/>
    <x v="4"/>
    <x v="3"/>
    <x v="0"/>
    <x v="5"/>
    <n v="21"/>
    <n v="156.94"/>
    <n v="72.56"/>
    <n v="3295.74"/>
    <n v="1523.76"/>
    <n v="1771.98"/>
    <n v="19"/>
  </r>
  <r>
    <x v="227"/>
    <n v="10380"/>
    <n v="141"/>
    <x v="4"/>
    <x v="3"/>
    <x v="0"/>
    <x v="2"/>
    <n v="32"/>
    <n v="78.23"/>
    <n v="43.26"/>
    <n v="2503.36"/>
    <n v="1384.32"/>
    <n v="1119.04"/>
    <n v="19"/>
  </r>
  <r>
    <x v="227"/>
    <n v="10380"/>
    <n v="141"/>
    <x v="4"/>
    <x v="3"/>
    <x v="1"/>
    <x v="102"/>
    <n v="24"/>
    <n v="66.989999999999995"/>
    <n v="34.21"/>
    <n v="1607.76"/>
    <n v="821.04"/>
    <n v="786.72"/>
    <n v="19"/>
  </r>
  <r>
    <x v="227"/>
    <n v="10380"/>
    <n v="141"/>
    <x v="4"/>
    <x v="3"/>
    <x v="1"/>
    <x v="103"/>
    <n v="34"/>
    <n v="66.88"/>
    <n v="49.24"/>
    <n v="2273.92"/>
    <n v="1674.16"/>
    <n v="599.76"/>
    <n v="19"/>
  </r>
  <r>
    <x v="227"/>
    <n v="10380"/>
    <n v="141"/>
    <x v="4"/>
    <x v="3"/>
    <x v="0"/>
    <x v="6"/>
    <n v="32"/>
    <n v="29.87"/>
    <n v="22.57"/>
    <n v="955.84"/>
    <n v="722.24"/>
    <n v="233.6"/>
    <n v="19"/>
  </r>
  <r>
    <x v="227"/>
    <n v="10380"/>
    <n v="141"/>
    <x v="4"/>
    <x v="3"/>
    <x v="0"/>
    <x v="7"/>
    <n v="27"/>
    <n v="37.630000000000003"/>
    <n v="20.61"/>
    <n v="1016.01"/>
    <n v="556.47"/>
    <n v="459.54"/>
    <n v="19"/>
  </r>
  <r>
    <x v="227"/>
    <n v="10380"/>
    <n v="141"/>
    <x v="4"/>
    <x v="3"/>
    <x v="1"/>
    <x v="105"/>
    <n v="36"/>
    <n v="77.239999999999995"/>
    <n v="47.25"/>
    <n v="2780.64"/>
    <n v="1701"/>
    <n v="1079.6400000000001"/>
    <n v="19"/>
  </r>
  <r>
    <x v="227"/>
    <n v="10380"/>
    <n v="141"/>
    <x v="4"/>
    <x v="3"/>
    <x v="1"/>
    <x v="106"/>
    <n v="44"/>
    <n v="111.57"/>
    <n v="72.819999999999993"/>
    <n v="4909.08"/>
    <n v="3204.08"/>
    <n v="1705"/>
    <n v="19"/>
  </r>
  <r>
    <x v="227"/>
    <n v="10380"/>
    <n v="141"/>
    <x v="4"/>
    <x v="3"/>
    <x v="1"/>
    <x v="107"/>
    <n v="44"/>
    <n v="77.05"/>
    <n v="50.51"/>
    <n v="3390.2"/>
    <n v="2222.44"/>
    <n v="1167.76"/>
    <n v="19"/>
  </r>
  <r>
    <x v="227"/>
    <n v="10380"/>
    <n v="141"/>
    <x v="4"/>
    <x v="3"/>
    <x v="1"/>
    <x v="108"/>
    <n v="34"/>
    <n v="91.02"/>
    <n v="62.11"/>
    <n v="3094.68"/>
    <n v="2111.7399999999998"/>
    <n v="982.94"/>
    <n v="19"/>
  </r>
  <r>
    <x v="227"/>
    <n v="10380"/>
    <n v="141"/>
    <x v="4"/>
    <x v="3"/>
    <x v="0"/>
    <x v="3"/>
    <n v="43"/>
    <n v="32.82"/>
    <n v="21.75"/>
    <n v="1411.26"/>
    <n v="935.25"/>
    <n v="476.01"/>
    <n v="19"/>
  </r>
  <r>
    <x v="228"/>
    <n v="10382"/>
    <n v="124"/>
    <x v="13"/>
    <x v="0"/>
    <x v="1"/>
    <x v="40"/>
    <n v="34"/>
    <n v="166.24"/>
    <n v="95.59"/>
    <n v="5652.16"/>
    <n v="3250.06"/>
    <n v="2402.1"/>
    <n v="13"/>
  </r>
  <r>
    <x v="228"/>
    <n v="10382"/>
    <n v="124"/>
    <x v="13"/>
    <x v="0"/>
    <x v="1"/>
    <x v="26"/>
    <n v="37"/>
    <n v="145.04"/>
    <n v="89.14"/>
    <n v="5366.48"/>
    <n v="3298.18"/>
    <n v="2068.3000000000002"/>
    <n v="13"/>
  </r>
  <r>
    <x v="228"/>
    <n v="10382"/>
    <n v="124"/>
    <x v="13"/>
    <x v="0"/>
    <x v="1"/>
    <x v="41"/>
    <n v="34"/>
    <n v="143.61000000000001"/>
    <n v="83.05"/>
    <n v="4882.74"/>
    <n v="2823.7"/>
    <n v="2059.04"/>
    <n v="13"/>
  </r>
  <r>
    <x v="228"/>
    <n v="10382"/>
    <n v="124"/>
    <x v="13"/>
    <x v="0"/>
    <x v="2"/>
    <x v="27"/>
    <n v="32"/>
    <n v="103.1"/>
    <n v="55.7"/>
    <n v="3299.2"/>
    <n v="1782.4"/>
    <n v="1516.8"/>
    <n v="13"/>
  </r>
  <r>
    <x v="228"/>
    <n v="10382"/>
    <n v="124"/>
    <x v="13"/>
    <x v="0"/>
    <x v="1"/>
    <x v="28"/>
    <n v="25"/>
    <n v="160.46"/>
    <n v="101.51"/>
    <n v="4011.5"/>
    <n v="2537.75"/>
    <n v="1473.75"/>
    <n v="13"/>
  </r>
  <r>
    <x v="228"/>
    <n v="10382"/>
    <n v="124"/>
    <x v="13"/>
    <x v="0"/>
    <x v="0"/>
    <x v="18"/>
    <n v="50"/>
    <n v="84.33"/>
    <n v="57.54"/>
    <n v="4216.5"/>
    <n v="2877"/>
    <n v="1339.5"/>
    <n v="13"/>
  </r>
  <r>
    <x v="228"/>
    <n v="10382"/>
    <n v="124"/>
    <x v="13"/>
    <x v="0"/>
    <x v="2"/>
    <x v="19"/>
    <n v="39"/>
    <n v="115.03"/>
    <n v="84.76"/>
    <n v="4486.17"/>
    <n v="3305.64"/>
    <n v="1180.53"/>
    <n v="13"/>
  </r>
  <r>
    <x v="228"/>
    <n v="10382"/>
    <n v="124"/>
    <x v="13"/>
    <x v="0"/>
    <x v="0"/>
    <x v="20"/>
    <n v="39"/>
    <n v="46.29"/>
    <n v="23.14"/>
    <n v="1805.31"/>
    <n v="902.46"/>
    <n v="902.85"/>
    <n v="13"/>
  </r>
  <r>
    <x v="228"/>
    <n v="10382"/>
    <n v="124"/>
    <x v="13"/>
    <x v="0"/>
    <x v="2"/>
    <x v="21"/>
    <n v="20"/>
    <n v="120.12"/>
    <n v="61.34"/>
    <n v="2402.4"/>
    <n v="1226.8"/>
    <n v="1175.5999999999999"/>
    <n v="13"/>
  </r>
  <r>
    <x v="228"/>
    <n v="10382"/>
    <n v="124"/>
    <x v="13"/>
    <x v="0"/>
    <x v="0"/>
    <x v="22"/>
    <n v="33"/>
    <n v="97.39"/>
    <n v="57.46"/>
    <n v="3213.87"/>
    <n v="1896.18"/>
    <n v="1317.69"/>
    <n v="13"/>
  </r>
  <r>
    <x v="228"/>
    <n v="10382"/>
    <n v="124"/>
    <x v="13"/>
    <x v="0"/>
    <x v="2"/>
    <x v="23"/>
    <n v="26"/>
    <n v="85.72"/>
    <n v="53.93"/>
    <n v="2228.7199999999998"/>
    <n v="1402.18"/>
    <n v="826.54"/>
    <n v="13"/>
  </r>
  <r>
    <x v="228"/>
    <n v="10382"/>
    <n v="124"/>
    <x v="13"/>
    <x v="0"/>
    <x v="2"/>
    <x v="24"/>
    <n v="48"/>
    <n v="57.53"/>
    <n v="33.61"/>
    <n v="2761.44"/>
    <n v="1613.28"/>
    <n v="1148.1600000000001"/>
    <n v="13"/>
  </r>
  <r>
    <x v="228"/>
    <n v="10382"/>
    <n v="124"/>
    <x v="13"/>
    <x v="0"/>
    <x v="1"/>
    <x v="25"/>
    <n v="34"/>
    <n v="101.15"/>
    <n v="46.53"/>
    <n v="3439.1"/>
    <n v="1582.02"/>
    <n v="1857.08"/>
    <n v="13"/>
  </r>
  <r>
    <x v="228"/>
    <n v="10381"/>
    <n v="321"/>
    <x v="49"/>
    <x v="0"/>
    <x v="1"/>
    <x v="10"/>
    <n v="36"/>
    <n v="182.16"/>
    <n v="98.58"/>
    <n v="6557.76"/>
    <n v="3548.88"/>
    <n v="3008.88"/>
    <n v="3"/>
  </r>
  <r>
    <x v="228"/>
    <n v="10381"/>
    <n v="321"/>
    <x v="49"/>
    <x v="0"/>
    <x v="1"/>
    <x v="11"/>
    <n v="37"/>
    <n v="138.88"/>
    <n v="103.42"/>
    <n v="5138.5600000000004"/>
    <n v="3826.54"/>
    <n v="1312.02"/>
    <n v="3"/>
  </r>
  <r>
    <x v="228"/>
    <n v="10381"/>
    <n v="321"/>
    <x v="49"/>
    <x v="0"/>
    <x v="2"/>
    <x v="12"/>
    <n v="20"/>
    <n v="132.57"/>
    <n v="77.900000000000006"/>
    <n v="2651.4"/>
    <n v="1558"/>
    <n v="1093.4000000000001"/>
    <n v="3"/>
  </r>
  <r>
    <x v="228"/>
    <n v="10381"/>
    <n v="321"/>
    <x v="49"/>
    <x v="0"/>
    <x v="2"/>
    <x v="13"/>
    <n v="48"/>
    <n v="114.34"/>
    <n v="58.33"/>
    <n v="5488.32"/>
    <n v="2799.84"/>
    <n v="2688.48"/>
    <n v="3"/>
  </r>
  <r>
    <x v="228"/>
    <n v="10381"/>
    <n v="321"/>
    <x v="49"/>
    <x v="0"/>
    <x v="0"/>
    <x v="9"/>
    <n v="25"/>
    <n v="49.6"/>
    <n v="24.26"/>
    <n v="1240"/>
    <n v="606.5"/>
    <n v="633.5"/>
    <n v="3"/>
  </r>
  <r>
    <x v="228"/>
    <n v="10381"/>
    <n v="321"/>
    <x v="49"/>
    <x v="0"/>
    <x v="2"/>
    <x v="14"/>
    <n v="35"/>
    <n v="60.77"/>
    <n v="24.92"/>
    <n v="2126.9499999999998"/>
    <n v="872.2"/>
    <n v="1254.75"/>
    <n v="3"/>
  </r>
  <r>
    <x v="228"/>
    <n v="10381"/>
    <n v="321"/>
    <x v="49"/>
    <x v="0"/>
    <x v="0"/>
    <x v="15"/>
    <n v="41"/>
    <n v="100.3"/>
    <n v="60.78"/>
    <n v="4112.3"/>
    <n v="2491.98"/>
    <n v="1620.32"/>
    <n v="3"/>
  </r>
  <r>
    <x v="228"/>
    <n v="10381"/>
    <n v="321"/>
    <x v="49"/>
    <x v="0"/>
    <x v="0"/>
    <x v="16"/>
    <n v="40"/>
    <n v="51.22"/>
    <n v="34.35"/>
    <n v="2048.8000000000002"/>
    <n v="1374"/>
    <n v="674.8"/>
    <n v="3"/>
  </r>
  <r>
    <x v="228"/>
    <n v="10381"/>
    <n v="321"/>
    <x v="49"/>
    <x v="0"/>
    <x v="0"/>
    <x v="17"/>
    <n v="35"/>
    <n v="93.2"/>
    <n v="60.74"/>
    <n v="3262"/>
    <n v="2125.9"/>
    <n v="1136.0999999999999"/>
    <n v="3"/>
  </r>
  <r>
    <x v="229"/>
    <n v="10383"/>
    <n v="141"/>
    <x v="4"/>
    <x v="3"/>
    <x v="2"/>
    <x v="29"/>
    <n v="27"/>
    <n v="119.05"/>
    <n v="74.86"/>
    <n v="3214.35"/>
    <n v="2021.22"/>
    <n v="1193.1300000000001"/>
    <n v="20"/>
  </r>
  <r>
    <x v="229"/>
    <n v="10383"/>
    <n v="141"/>
    <x v="4"/>
    <x v="3"/>
    <x v="0"/>
    <x v="42"/>
    <n v="24"/>
    <n v="125.66"/>
    <n v="68.3"/>
    <n v="3015.84"/>
    <n v="1639.2"/>
    <n v="1376.64"/>
    <n v="20"/>
  </r>
  <r>
    <x v="229"/>
    <n v="10383"/>
    <n v="141"/>
    <x v="4"/>
    <x v="3"/>
    <x v="1"/>
    <x v="30"/>
    <n v="47"/>
    <n v="155.79"/>
    <n v="77.900000000000006"/>
    <n v="7322.13"/>
    <n v="3661.3"/>
    <n v="3660.83"/>
    <n v="20"/>
  </r>
  <r>
    <x v="229"/>
    <n v="10383"/>
    <n v="141"/>
    <x v="4"/>
    <x v="3"/>
    <x v="3"/>
    <x v="43"/>
    <n v="26"/>
    <n v="83.7"/>
    <n v="67.56"/>
    <n v="2176.1999999999998"/>
    <n v="1756.56"/>
    <n v="419.64"/>
    <n v="20"/>
  </r>
  <r>
    <x v="229"/>
    <n v="10383"/>
    <n v="141"/>
    <x v="4"/>
    <x v="3"/>
    <x v="1"/>
    <x v="31"/>
    <n v="38"/>
    <n v="137.88"/>
    <n v="91.92"/>
    <n v="5239.4399999999996"/>
    <n v="3492.96"/>
    <n v="1746.48"/>
    <n v="20"/>
  </r>
  <r>
    <x v="229"/>
    <n v="10383"/>
    <n v="141"/>
    <x v="4"/>
    <x v="3"/>
    <x v="0"/>
    <x v="44"/>
    <n v="28"/>
    <n v="77.239999999999995"/>
    <n v="52.66"/>
    <n v="2162.7199999999998"/>
    <n v="1474.48"/>
    <n v="688.24"/>
    <n v="20"/>
  </r>
  <r>
    <x v="229"/>
    <n v="10383"/>
    <n v="141"/>
    <x v="4"/>
    <x v="3"/>
    <x v="1"/>
    <x v="32"/>
    <n v="22"/>
    <n v="52.6"/>
    <n v="32.369999999999997"/>
    <n v="1157.2"/>
    <n v="712.14"/>
    <n v="445.06"/>
    <n v="20"/>
  </r>
  <r>
    <x v="229"/>
    <n v="10383"/>
    <n v="141"/>
    <x v="4"/>
    <x v="3"/>
    <x v="1"/>
    <x v="33"/>
    <n v="40"/>
    <n v="33.24"/>
    <n v="15.91"/>
    <n v="1329.6"/>
    <n v="636.4"/>
    <n v="693.2"/>
    <n v="20"/>
  </r>
  <r>
    <x v="229"/>
    <n v="10383"/>
    <n v="141"/>
    <x v="4"/>
    <x v="3"/>
    <x v="1"/>
    <x v="34"/>
    <n v="21"/>
    <n v="117.1"/>
    <n v="69.78"/>
    <n v="2459.1"/>
    <n v="1465.38"/>
    <n v="993.72"/>
    <n v="20"/>
  </r>
  <r>
    <x v="229"/>
    <n v="10383"/>
    <n v="141"/>
    <x v="4"/>
    <x v="3"/>
    <x v="2"/>
    <x v="35"/>
    <n v="32"/>
    <n v="53.57"/>
    <n v="25.98"/>
    <n v="1714.24"/>
    <n v="831.36"/>
    <n v="882.88"/>
    <n v="20"/>
  </r>
  <r>
    <x v="229"/>
    <n v="10383"/>
    <n v="141"/>
    <x v="4"/>
    <x v="3"/>
    <x v="3"/>
    <x v="36"/>
    <n v="44"/>
    <n v="55.93"/>
    <n v="26.72"/>
    <n v="2460.92"/>
    <n v="1175.68"/>
    <n v="1285.24"/>
    <n v="20"/>
  </r>
  <r>
    <x v="229"/>
    <n v="10383"/>
    <n v="141"/>
    <x v="4"/>
    <x v="3"/>
    <x v="2"/>
    <x v="37"/>
    <n v="29"/>
    <n v="94.92"/>
    <n v="68.290000000000006"/>
    <n v="2752.68"/>
    <n v="1980.41"/>
    <n v="772.27"/>
    <n v="20"/>
  </r>
  <r>
    <x v="229"/>
    <n v="10383"/>
    <n v="141"/>
    <x v="4"/>
    <x v="3"/>
    <x v="3"/>
    <x v="38"/>
    <n v="38"/>
    <n v="48.62"/>
    <n v="37.49"/>
    <n v="1847.56"/>
    <n v="1424.62"/>
    <n v="422.94"/>
    <n v="20"/>
  </r>
  <r>
    <x v="230"/>
    <n v="10384"/>
    <n v="321"/>
    <x v="49"/>
    <x v="0"/>
    <x v="1"/>
    <x v="39"/>
    <n v="34"/>
    <n v="129.19999999999999"/>
    <n v="85.68"/>
    <n v="4392.8"/>
    <n v="2913.12"/>
    <n v="1479.68"/>
    <n v="4"/>
  </r>
  <r>
    <x v="230"/>
    <n v="10384"/>
    <n v="321"/>
    <x v="49"/>
    <x v="0"/>
    <x v="4"/>
    <x v="45"/>
    <n v="28"/>
    <n v="114.29"/>
    <n v="82.34"/>
    <n v="3200.12"/>
    <n v="2305.52"/>
    <n v="894.6"/>
    <n v="4"/>
  </r>
  <r>
    <x v="230"/>
    <n v="10384"/>
    <n v="321"/>
    <x v="49"/>
    <x v="0"/>
    <x v="0"/>
    <x v="46"/>
    <n v="43"/>
    <n v="71.69"/>
    <n v="46.91"/>
    <n v="3082.67"/>
    <n v="2017.13"/>
    <n v="1065.54"/>
    <n v="4"/>
  </r>
  <r>
    <x v="230"/>
    <n v="10384"/>
    <n v="321"/>
    <x v="49"/>
    <x v="0"/>
    <x v="4"/>
    <x v="49"/>
    <n v="49"/>
    <n v="71.02"/>
    <n v="43.3"/>
    <n v="3479.98"/>
    <n v="2121.6999999999998"/>
    <n v="1358.28"/>
    <n v="4"/>
  </r>
  <r>
    <x v="231"/>
    <n v="10385"/>
    <n v="124"/>
    <x v="13"/>
    <x v="0"/>
    <x v="0"/>
    <x v="47"/>
    <n v="37"/>
    <n v="78.83"/>
    <n v="48.64"/>
    <n v="2916.71"/>
    <n v="1799.68"/>
    <n v="1117.03"/>
    <n v="14"/>
  </r>
  <r>
    <x v="231"/>
    <n v="10385"/>
    <n v="124"/>
    <x v="13"/>
    <x v="0"/>
    <x v="4"/>
    <x v="48"/>
    <n v="25"/>
    <n v="62"/>
    <n v="34"/>
    <n v="1550"/>
    <n v="850"/>
    <n v="700"/>
    <n v="14"/>
  </r>
  <r>
    <x v="232"/>
    <n v="10386"/>
    <n v="141"/>
    <x v="4"/>
    <x v="3"/>
    <x v="5"/>
    <x v="54"/>
    <n v="25"/>
    <n v="130.88"/>
    <n v="77.27"/>
    <n v="3272"/>
    <n v="1931.75"/>
    <n v="1340.25"/>
    <n v="21"/>
  </r>
  <r>
    <x v="232"/>
    <n v="10386"/>
    <n v="141"/>
    <x v="4"/>
    <x v="3"/>
    <x v="5"/>
    <x v="55"/>
    <n v="21"/>
    <n v="72.650000000000006"/>
    <n v="49"/>
    <n v="1525.65"/>
    <n v="1029"/>
    <n v="496.65"/>
    <n v="21"/>
  </r>
  <r>
    <x v="232"/>
    <n v="10386"/>
    <n v="141"/>
    <x v="4"/>
    <x v="3"/>
    <x v="4"/>
    <x v="56"/>
    <n v="37"/>
    <n v="73.12"/>
    <n v="51.61"/>
    <n v="2705.44"/>
    <n v="1909.57"/>
    <n v="795.87"/>
    <n v="21"/>
  </r>
  <r>
    <x v="232"/>
    <n v="10386"/>
    <n v="141"/>
    <x v="4"/>
    <x v="3"/>
    <x v="0"/>
    <x v="57"/>
    <n v="22"/>
    <n v="100.58"/>
    <n v="64.58"/>
    <n v="2212.7600000000002"/>
    <n v="1420.76"/>
    <n v="792"/>
    <n v="21"/>
  </r>
  <r>
    <x v="232"/>
    <n v="10386"/>
    <n v="141"/>
    <x v="4"/>
    <x v="3"/>
    <x v="5"/>
    <x v="58"/>
    <n v="33"/>
    <n v="101.76"/>
    <n v="66.739999999999995"/>
    <n v="3358.08"/>
    <n v="2202.42"/>
    <n v="1155.6600000000001"/>
    <n v="21"/>
  </r>
  <r>
    <x v="232"/>
    <n v="10386"/>
    <n v="141"/>
    <x v="4"/>
    <x v="3"/>
    <x v="5"/>
    <x v="59"/>
    <n v="39"/>
    <n v="56.86"/>
    <n v="34.25"/>
    <n v="2217.54"/>
    <n v="1335.75"/>
    <n v="881.79"/>
    <n v="21"/>
  </r>
  <r>
    <x v="232"/>
    <n v="10386"/>
    <n v="141"/>
    <x v="4"/>
    <x v="3"/>
    <x v="0"/>
    <x v="60"/>
    <n v="35"/>
    <n v="54.57"/>
    <n v="26.3"/>
    <n v="1909.95"/>
    <n v="920.5"/>
    <n v="989.45"/>
    <n v="21"/>
  </r>
  <r>
    <x v="232"/>
    <n v="10386"/>
    <n v="141"/>
    <x v="4"/>
    <x v="3"/>
    <x v="5"/>
    <x v="61"/>
    <n v="41"/>
    <n v="55.96"/>
    <n v="29.34"/>
    <n v="2294.36"/>
    <n v="1202.94"/>
    <n v="1091.42"/>
    <n v="21"/>
  </r>
  <r>
    <x v="232"/>
    <n v="10386"/>
    <n v="141"/>
    <x v="4"/>
    <x v="3"/>
    <x v="5"/>
    <x v="62"/>
    <n v="50"/>
    <n v="71.73"/>
    <n v="36.229999999999997"/>
    <n v="3586.5"/>
    <n v="1811.5"/>
    <n v="1775"/>
    <n v="21"/>
  </r>
  <r>
    <x v="232"/>
    <n v="10386"/>
    <n v="141"/>
    <x v="4"/>
    <x v="3"/>
    <x v="4"/>
    <x v="66"/>
    <n v="29"/>
    <n v="85.09"/>
    <n v="39.83"/>
    <n v="2467.61"/>
    <n v="1155.07"/>
    <n v="1312.54"/>
    <n v="21"/>
  </r>
  <r>
    <x v="232"/>
    <n v="10386"/>
    <n v="141"/>
    <x v="4"/>
    <x v="3"/>
    <x v="5"/>
    <x v="67"/>
    <n v="37"/>
    <n v="90.75"/>
    <n v="68.8"/>
    <n v="3357.75"/>
    <n v="2545.6"/>
    <n v="812.15"/>
    <n v="21"/>
  </r>
  <r>
    <x v="232"/>
    <n v="10386"/>
    <n v="141"/>
    <x v="4"/>
    <x v="3"/>
    <x v="4"/>
    <x v="50"/>
    <n v="37"/>
    <n v="67.22"/>
    <n v="33.97"/>
    <n v="2487.14"/>
    <n v="1256.8900000000001"/>
    <n v="1230.25"/>
    <n v="21"/>
  </r>
  <r>
    <x v="232"/>
    <n v="10386"/>
    <n v="141"/>
    <x v="4"/>
    <x v="3"/>
    <x v="5"/>
    <x v="69"/>
    <n v="32"/>
    <n v="68"/>
    <n v="54.4"/>
    <n v="2176"/>
    <n v="1740.8"/>
    <n v="435.2"/>
    <n v="21"/>
  </r>
  <r>
    <x v="232"/>
    <n v="10386"/>
    <n v="141"/>
    <x v="4"/>
    <x v="3"/>
    <x v="4"/>
    <x v="51"/>
    <n v="45"/>
    <n v="83.14"/>
    <n v="51.09"/>
    <n v="3741.3"/>
    <n v="2299.0500000000002"/>
    <n v="1442.25"/>
    <n v="21"/>
  </r>
  <r>
    <x v="232"/>
    <n v="10386"/>
    <n v="141"/>
    <x v="4"/>
    <x v="3"/>
    <x v="4"/>
    <x v="52"/>
    <n v="30"/>
    <n v="80.44"/>
    <n v="53.63"/>
    <n v="2413.1999999999998"/>
    <n v="1608.9"/>
    <n v="804.3"/>
    <n v="21"/>
  </r>
  <r>
    <x v="232"/>
    <n v="10386"/>
    <n v="141"/>
    <x v="4"/>
    <x v="3"/>
    <x v="5"/>
    <x v="70"/>
    <n v="44"/>
    <n v="59.22"/>
    <n v="36.270000000000003"/>
    <n v="2605.6799999999998"/>
    <n v="1595.88"/>
    <n v="1009.8"/>
    <n v="21"/>
  </r>
  <r>
    <x v="232"/>
    <n v="10386"/>
    <n v="141"/>
    <x v="4"/>
    <x v="3"/>
    <x v="5"/>
    <x v="71"/>
    <n v="50"/>
    <n v="47.67"/>
    <n v="32.770000000000003"/>
    <n v="2383.5"/>
    <n v="1638.5"/>
    <n v="745"/>
    <n v="21"/>
  </r>
  <r>
    <x v="232"/>
    <n v="10386"/>
    <n v="141"/>
    <x v="4"/>
    <x v="3"/>
    <x v="4"/>
    <x v="53"/>
    <n v="43"/>
    <n v="52.42"/>
    <n v="33.299999999999997"/>
    <n v="2254.06"/>
    <n v="1431.9"/>
    <n v="822.16"/>
    <n v="21"/>
  </r>
  <r>
    <x v="233"/>
    <n v="10387"/>
    <n v="148"/>
    <x v="17"/>
    <x v="11"/>
    <x v="6"/>
    <x v="79"/>
    <n v="44"/>
    <n v="79.91"/>
    <n v="66.92"/>
    <n v="3516.04"/>
    <n v="2944.48"/>
    <n v="571.55999999999995"/>
    <n v="5"/>
  </r>
  <r>
    <x v="234"/>
    <n v="10389"/>
    <n v="448"/>
    <x v="54"/>
    <x v="8"/>
    <x v="1"/>
    <x v="80"/>
    <n v="26"/>
    <n v="182.9"/>
    <n v="95.34"/>
    <n v="4755.3999999999996"/>
    <n v="2478.84"/>
    <n v="2276.56"/>
    <n v="3"/>
  </r>
  <r>
    <x v="234"/>
    <n v="10389"/>
    <n v="448"/>
    <x v="54"/>
    <x v="8"/>
    <x v="1"/>
    <x v="81"/>
    <n v="25"/>
    <n v="95.13"/>
    <n v="75.16"/>
    <n v="2378.25"/>
    <n v="1879"/>
    <n v="499.25"/>
    <n v="3"/>
  </r>
  <r>
    <x v="234"/>
    <n v="10389"/>
    <n v="448"/>
    <x v="54"/>
    <x v="8"/>
    <x v="1"/>
    <x v="82"/>
    <n v="36"/>
    <n v="76.61"/>
    <n v="31.92"/>
    <n v="2757.96"/>
    <n v="1149.1199999999999"/>
    <n v="1608.84"/>
    <n v="3"/>
  </r>
  <r>
    <x v="234"/>
    <n v="10389"/>
    <n v="448"/>
    <x v="54"/>
    <x v="8"/>
    <x v="1"/>
    <x v="83"/>
    <n v="47"/>
    <n v="102.49"/>
    <n v="58.73"/>
    <n v="4817.03"/>
    <n v="2760.31"/>
    <n v="2056.7199999999998"/>
    <n v="3"/>
  </r>
  <r>
    <x v="234"/>
    <n v="10389"/>
    <n v="448"/>
    <x v="54"/>
    <x v="8"/>
    <x v="1"/>
    <x v="84"/>
    <n v="49"/>
    <n v="63.91"/>
    <n v="53.9"/>
    <n v="3131.59"/>
    <n v="2641.1"/>
    <n v="490.49"/>
    <n v="3"/>
  </r>
  <r>
    <x v="234"/>
    <n v="10389"/>
    <n v="448"/>
    <x v="54"/>
    <x v="8"/>
    <x v="6"/>
    <x v="76"/>
    <n v="39"/>
    <n v="52.09"/>
    <n v="24.23"/>
    <n v="2031.51"/>
    <n v="944.97"/>
    <n v="1086.54"/>
    <n v="3"/>
  </r>
  <r>
    <x v="234"/>
    <n v="10389"/>
    <n v="448"/>
    <x v="54"/>
    <x v="8"/>
    <x v="6"/>
    <x v="77"/>
    <n v="45"/>
    <n v="112.7"/>
    <n v="60.86"/>
    <n v="5071.5"/>
    <n v="2738.7"/>
    <n v="2332.8000000000002"/>
    <n v="3"/>
  </r>
  <r>
    <x v="234"/>
    <n v="10389"/>
    <n v="448"/>
    <x v="54"/>
    <x v="8"/>
    <x v="6"/>
    <x v="78"/>
    <n v="49"/>
    <n v="61.7"/>
    <n v="37.32"/>
    <n v="3023.3"/>
    <n v="1828.68"/>
    <n v="1194.6199999999999"/>
    <n v="3"/>
  </r>
  <r>
    <x v="234"/>
    <n v="10388"/>
    <n v="462"/>
    <x v="53"/>
    <x v="0"/>
    <x v="6"/>
    <x v="72"/>
    <n v="42"/>
    <n v="80.39"/>
    <n v="48.81"/>
    <n v="3376.38"/>
    <n v="2050.02"/>
    <n v="1326.36"/>
    <n v="3"/>
  </r>
  <r>
    <x v="234"/>
    <n v="10388"/>
    <n v="462"/>
    <x v="53"/>
    <x v="0"/>
    <x v="6"/>
    <x v="73"/>
    <n v="50"/>
    <n v="118.94"/>
    <n v="68.989999999999995"/>
    <n v="5947"/>
    <n v="3449.5"/>
    <n v="2497.5"/>
    <n v="3"/>
  </r>
  <r>
    <x v="234"/>
    <n v="10388"/>
    <n v="462"/>
    <x v="53"/>
    <x v="0"/>
    <x v="6"/>
    <x v="74"/>
    <n v="21"/>
    <n v="156.86000000000001"/>
    <n v="91.02"/>
    <n v="3294.06"/>
    <n v="1911.42"/>
    <n v="1382.64"/>
    <n v="3"/>
  </r>
  <r>
    <x v="234"/>
    <n v="10388"/>
    <n v="462"/>
    <x v="53"/>
    <x v="0"/>
    <x v="6"/>
    <x v="75"/>
    <n v="44"/>
    <n v="125.01"/>
    <n v="66.27"/>
    <n v="5500.44"/>
    <n v="2915.88"/>
    <n v="2584.56"/>
    <n v="3"/>
  </r>
  <r>
    <x v="234"/>
    <n v="10388"/>
    <n v="462"/>
    <x v="53"/>
    <x v="0"/>
    <x v="0"/>
    <x v="63"/>
    <n v="35"/>
    <n v="58.47"/>
    <n v="33.020000000000003"/>
    <n v="2046.45"/>
    <n v="1155.7"/>
    <n v="890.75"/>
    <n v="3"/>
  </r>
  <r>
    <x v="234"/>
    <n v="10388"/>
    <n v="462"/>
    <x v="53"/>
    <x v="0"/>
    <x v="0"/>
    <x v="64"/>
    <n v="27"/>
    <n v="41.02"/>
    <n v="27.06"/>
    <n v="1107.54"/>
    <n v="730.62"/>
    <n v="376.92"/>
    <n v="3"/>
  </r>
  <r>
    <x v="234"/>
    <n v="10388"/>
    <n v="462"/>
    <x v="53"/>
    <x v="0"/>
    <x v="5"/>
    <x v="65"/>
    <n v="46"/>
    <n v="74.900000000000006"/>
    <n v="51.15"/>
    <n v="3445.4"/>
    <n v="2352.9"/>
    <n v="1092.5"/>
    <n v="3"/>
  </r>
  <r>
    <x v="234"/>
    <n v="10388"/>
    <n v="462"/>
    <x v="53"/>
    <x v="0"/>
    <x v="5"/>
    <x v="68"/>
    <n v="50"/>
    <n v="111.53"/>
    <n v="59.33"/>
    <n v="5576.5"/>
    <n v="2966.5"/>
    <n v="2610"/>
    <n v="3"/>
  </r>
  <r>
    <x v="235"/>
    <n v="10390"/>
    <n v="124"/>
    <x v="13"/>
    <x v="0"/>
    <x v="1"/>
    <x v="96"/>
    <n v="36"/>
    <n v="117.48"/>
    <n v="83.51"/>
    <n v="4229.28"/>
    <n v="3006.36"/>
    <n v="1222.92"/>
    <n v="15"/>
  </r>
  <r>
    <x v="235"/>
    <n v="10390"/>
    <n v="124"/>
    <x v="13"/>
    <x v="0"/>
    <x v="1"/>
    <x v="97"/>
    <n v="34"/>
    <n v="132.29"/>
    <n v="93.89"/>
    <n v="4497.8599999999997"/>
    <n v="3192.26"/>
    <n v="1305.5999999999999"/>
    <n v="15"/>
  </r>
  <r>
    <x v="235"/>
    <n v="10390"/>
    <n v="124"/>
    <x v="13"/>
    <x v="0"/>
    <x v="0"/>
    <x v="4"/>
    <n v="31"/>
    <n v="102.98"/>
    <n v="58.48"/>
    <n v="3192.38"/>
    <n v="1812.88"/>
    <n v="1379.5"/>
    <n v="15"/>
  </r>
  <r>
    <x v="235"/>
    <n v="10390"/>
    <n v="124"/>
    <x v="13"/>
    <x v="0"/>
    <x v="0"/>
    <x v="5"/>
    <n v="26"/>
    <n v="162"/>
    <n v="72.56"/>
    <n v="4212"/>
    <n v="1886.56"/>
    <n v="2325.44"/>
    <n v="15"/>
  </r>
  <r>
    <x v="235"/>
    <n v="10390"/>
    <n v="124"/>
    <x v="13"/>
    <x v="0"/>
    <x v="1"/>
    <x v="85"/>
    <n v="40"/>
    <n v="75.59"/>
    <n v="49.05"/>
    <n v="3023.6"/>
    <n v="1962"/>
    <n v="1061.5999999999999"/>
    <n v="15"/>
  </r>
  <r>
    <x v="235"/>
    <n v="10390"/>
    <n v="124"/>
    <x v="13"/>
    <x v="0"/>
    <x v="1"/>
    <x v="86"/>
    <n v="50"/>
    <n v="135.22999999999999"/>
    <n v="73.489999999999995"/>
    <n v="6761.5"/>
    <n v="3674.5"/>
    <n v="3087"/>
    <n v="15"/>
  </r>
  <r>
    <x v="235"/>
    <n v="10390"/>
    <n v="124"/>
    <x v="13"/>
    <x v="0"/>
    <x v="6"/>
    <x v="87"/>
    <n v="36"/>
    <n v="54.09"/>
    <n v="32.950000000000003"/>
    <n v="1947.24"/>
    <n v="1186.2"/>
    <n v="761.04"/>
    <n v="15"/>
  </r>
  <r>
    <x v="235"/>
    <n v="10390"/>
    <n v="124"/>
    <x v="13"/>
    <x v="0"/>
    <x v="1"/>
    <x v="88"/>
    <n v="49"/>
    <n v="122.02"/>
    <n v="69.930000000000007"/>
    <n v="5978.98"/>
    <n v="3426.57"/>
    <n v="2552.41"/>
    <n v="15"/>
  </r>
  <r>
    <x v="235"/>
    <n v="10390"/>
    <n v="124"/>
    <x v="13"/>
    <x v="0"/>
    <x v="6"/>
    <x v="89"/>
    <n v="35"/>
    <n v="67.87"/>
    <n v="47.1"/>
    <n v="2375.4499999999998"/>
    <n v="1648.5"/>
    <n v="726.95"/>
    <n v="15"/>
  </r>
  <r>
    <x v="235"/>
    <n v="10390"/>
    <n v="124"/>
    <x v="13"/>
    <x v="0"/>
    <x v="1"/>
    <x v="100"/>
    <n v="37"/>
    <n v="35.869999999999997"/>
    <n v="16.239999999999998"/>
    <n v="1327.19"/>
    <n v="600.88"/>
    <n v="726.31"/>
    <n v="15"/>
  </r>
  <r>
    <x v="235"/>
    <n v="10390"/>
    <n v="124"/>
    <x v="13"/>
    <x v="0"/>
    <x v="1"/>
    <x v="90"/>
    <n v="46"/>
    <n v="51.43"/>
    <n v="38.58"/>
    <n v="2365.7800000000002"/>
    <n v="1774.68"/>
    <n v="591.1"/>
    <n v="15"/>
  </r>
  <r>
    <x v="235"/>
    <n v="10390"/>
    <n v="124"/>
    <x v="13"/>
    <x v="0"/>
    <x v="1"/>
    <x v="91"/>
    <n v="45"/>
    <n v="134.81"/>
    <n v="98.3"/>
    <n v="6066.45"/>
    <n v="4423.5"/>
    <n v="1642.95"/>
    <n v="15"/>
  </r>
  <r>
    <x v="235"/>
    <n v="10390"/>
    <n v="124"/>
    <x v="13"/>
    <x v="0"/>
    <x v="1"/>
    <x v="92"/>
    <n v="30"/>
    <n v="66.290000000000006"/>
    <n v="32.33"/>
    <n v="1988.7"/>
    <n v="969.9"/>
    <n v="1018.8"/>
    <n v="15"/>
  </r>
  <r>
    <x v="235"/>
    <n v="10390"/>
    <n v="124"/>
    <x v="13"/>
    <x v="0"/>
    <x v="6"/>
    <x v="93"/>
    <n v="41"/>
    <n v="39.020000000000003"/>
    <n v="24.14"/>
    <n v="1599.82"/>
    <n v="989.74"/>
    <n v="610.08000000000004"/>
    <n v="15"/>
  </r>
  <r>
    <x v="235"/>
    <n v="10390"/>
    <n v="124"/>
    <x v="13"/>
    <x v="0"/>
    <x v="6"/>
    <x v="94"/>
    <n v="45"/>
    <n v="101.03"/>
    <n v="56.13"/>
    <n v="4546.3500000000004"/>
    <n v="2525.85"/>
    <n v="2020.5"/>
    <n v="15"/>
  </r>
  <r>
    <x v="235"/>
    <n v="10390"/>
    <n v="124"/>
    <x v="13"/>
    <x v="0"/>
    <x v="6"/>
    <x v="95"/>
    <n v="22"/>
    <n v="81.36"/>
    <n v="34.17"/>
    <n v="1789.92"/>
    <n v="751.74"/>
    <n v="1038.18"/>
    <n v="15"/>
  </r>
  <r>
    <x v="236"/>
    <n v="10391"/>
    <n v="276"/>
    <x v="40"/>
    <x v="13"/>
    <x v="1"/>
    <x v="10"/>
    <n v="24"/>
    <n v="195.01"/>
    <n v="98.58"/>
    <n v="4680.24"/>
    <n v="2365.92"/>
    <n v="2314.3200000000002"/>
    <n v="4"/>
  </r>
  <r>
    <x v="236"/>
    <n v="10391"/>
    <n v="276"/>
    <x v="40"/>
    <x v="13"/>
    <x v="1"/>
    <x v="11"/>
    <n v="37"/>
    <n v="121.15"/>
    <n v="103.42"/>
    <n v="4482.55"/>
    <n v="3826.54"/>
    <n v="656.01"/>
    <n v="4"/>
  </r>
  <r>
    <x v="236"/>
    <n v="10391"/>
    <n v="276"/>
    <x v="40"/>
    <x v="13"/>
    <x v="2"/>
    <x v="12"/>
    <n v="39"/>
    <n v="110.7"/>
    <n v="77.900000000000006"/>
    <n v="4317.3"/>
    <n v="3038.1"/>
    <n v="1279.2"/>
    <n v="4"/>
  </r>
  <r>
    <x v="236"/>
    <n v="10391"/>
    <n v="276"/>
    <x v="40"/>
    <x v="13"/>
    <x v="2"/>
    <x v="13"/>
    <n v="29"/>
    <n v="114.34"/>
    <n v="58.33"/>
    <n v="3315.86"/>
    <n v="1691.57"/>
    <n v="1624.29"/>
    <n v="4"/>
  </r>
  <r>
    <x v="236"/>
    <n v="10391"/>
    <n v="276"/>
    <x v="40"/>
    <x v="13"/>
    <x v="0"/>
    <x v="8"/>
    <n v="35"/>
    <n v="102.74"/>
    <n v="60.62"/>
    <n v="3595.9"/>
    <n v="2121.6999999999998"/>
    <n v="1474.2"/>
    <n v="4"/>
  </r>
  <r>
    <x v="236"/>
    <n v="10391"/>
    <n v="276"/>
    <x v="40"/>
    <x v="13"/>
    <x v="0"/>
    <x v="9"/>
    <n v="42"/>
    <n v="47.44"/>
    <n v="24.26"/>
    <n v="1992.48"/>
    <n v="1018.92"/>
    <n v="973.56"/>
    <n v="4"/>
  </r>
  <r>
    <x v="236"/>
    <n v="10391"/>
    <n v="276"/>
    <x v="40"/>
    <x v="13"/>
    <x v="2"/>
    <x v="14"/>
    <n v="44"/>
    <n v="57.73"/>
    <n v="24.92"/>
    <n v="2540.12"/>
    <n v="1096.48"/>
    <n v="1443.64"/>
    <n v="4"/>
  </r>
  <r>
    <x v="236"/>
    <n v="10391"/>
    <n v="276"/>
    <x v="40"/>
    <x v="13"/>
    <x v="0"/>
    <x v="15"/>
    <n v="32"/>
    <n v="99.28"/>
    <n v="60.78"/>
    <n v="3176.96"/>
    <n v="1944.96"/>
    <n v="1232"/>
    <n v="4"/>
  </r>
  <r>
    <x v="236"/>
    <n v="10391"/>
    <n v="276"/>
    <x v="40"/>
    <x v="13"/>
    <x v="0"/>
    <x v="6"/>
    <n v="33"/>
    <n v="26.55"/>
    <n v="22.57"/>
    <n v="876.15"/>
    <n v="744.81"/>
    <n v="131.34"/>
    <n v="4"/>
  </r>
  <r>
    <x v="236"/>
    <n v="10391"/>
    <n v="276"/>
    <x v="40"/>
    <x v="13"/>
    <x v="0"/>
    <x v="7"/>
    <n v="24"/>
    <n v="36.29"/>
    <n v="20.61"/>
    <n v="870.96"/>
    <n v="494.64"/>
    <n v="376.32"/>
    <n v="4"/>
  </r>
  <r>
    <x v="237"/>
    <n v="10392"/>
    <n v="452"/>
    <x v="52"/>
    <x v="12"/>
    <x v="0"/>
    <x v="16"/>
    <n v="37"/>
    <n v="61.21"/>
    <n v="34.35"/>
    <n v="2264.77"/>
    <n v="1270.95"/>
    <n v="993.82"/>
    <n v="3"/>
  </r>
  <r>
    <x v="237"/>
    <n v="10392"/>
    <n v="452"/>
    <x v="52"/>
    <x v="12"/>
    <x v="0"/>
    <x v="17"/>
    <n v="29"/>
    <n v="103.67"/>
    <n v="60.74"/>
    <n v="3006.43"/>
    <n v="1761.46"/>
    <n v="1244.97"/>
    <n v="3"/>
  </r>
  <r>
    <x v="237"/>
    <n v="10392"/>
    <n v="452"/>
    <x v="52"/>
    <x v="12"/>
    <x v="0"/>
    <x v="18"/>
    <n v="36"/>
    <n v="98.22"/>
    <n v="57.54"/>
    <n v="3535.92"/>
    <n v="2071.44"/>
    <n v="1464.48"/>
    <n v="3"/>
  </r>
  <r>
    <x v="238"/>
    <n v="10393"/>
    <n v="323"/>
    <x v="30"/>
    <x v="14"/>
    <x v="1"/>
    <x v="26"/>
    <n v="35"/>
    <n v="145.04"/>
    <n v="89.14"/>
    <n v="5076.3999999999996"/>
    <n v="3119.9"/>
    <n v="1956.5"/>
    <n v="4"/>
  </r>
  <r>
    <x v="238"/>
    <n v="10393"/>
    <n v="323"/>
    <x v="30"/>
    <x v="14"/>
    <x v="2"/>
    <x v="27"/>
    <n v="32"/>
    <n v="99.54"/>
    <n v="55.7"/>
    <n v="3185.28"/>
    <n v="1782.4"/>
    <n v="1402.88"/>
    <n v="4"/>
  </r>
  <r>
    <x v="238"/>
    <n v="10393"/>
    <n v="323"/>
    <x v="30"/>
    <x v="14"/>
    <x v="1"/>
    <x v="28"/>
    <n v="20"/>
    <n v="137.53"/>
    <n v="101.51"/>
    <n v="2750.6"/>
    <n v="2030.2"/>
    <n v="720.4"/>
    <n v="4"/>
  </r>
  <r>
    <x v="238"/>
    <n v="10393"/>
    <n v="323"/>
    <x v="30"/>
    <x v="14"/>
    <x v="2"/>
    <x v="29"/>
    <n v="38"/>
    <n v="104.32"/>
    <n v="74.86"/>
    <n v="3964.16"/>
    <n v="2844.68"/>
    <n v="1119.48"/>
    <n v="4"/>
  </r>
  <r>
    <x v="238"/>
    <n v="10393"/>
    <n v="323"/>
    <x v="30"/>
    <x v="14"/>
    <x v="2"/>
    <x v="19"/>
    <n v="30"/>
    <n v="106.55"/>
    <n v="84.76"/>
    <n v="3196.5"/>
    <n v="2542.8000000000002"/>
    <n v="653.70000000000005"/>
    <n v="4"/>
  </r>
  <r>
    <x v="238"/>
    <n v="10393"/>
    <n v="323"/>
    <x v="30"/>
    <x v="14"/>
    <x v="0"/>
    <x v="20"/>
    <n v="44"/>
    <n v="41.76"/>
    <n v="23.14"/>
    <n v="1837.44"/>
    <n v="1018.16"/>
    <n v="819.28"/>
    <n v="4"/>
  </r>
  <r>
    <x v="238"/>
    <n v="10393"/>
    <n v="323"/>
    <x v="30"/>
    <x v="14"/>
    <x v="2"/>
    <x v="21"/>
    <n v="33"/>
    <n v="112.46"/>
    <n v="61.34"/>
    <n v="3711.18"/>
    <n v="2024.22"/>
    <n v="1686.96"/>
    <n v="4"/>
  </r>
  <r>
    <x v="238"/>
    <n v="10393"/>
    <n v="323"/>
    <x v="30"/>
    <x v="14"/>
    <x v="0"/>
    <x v="22"/>
    <n v="33"/>
    <n v="88.62"/>
    <n v="57.46"/>
    <n v="2924.46"/>
    <n v="1896.18"/>
    <n v="1028.28"/>
    <n v="4"/>
  </r>
  <r>
    <x v="238"/>
    <n v="10393"/>
    <n v="323"/>
    <x v="30"/>
    <x v="14"/>
    <x v="2"/>
    <x v="23"/>
    <n v="38"/>
    <n v="84.75"/>
    <n v="53.93"/>
    <n v="3220.5"/>
    <n v="2049.34"/>
    <n v="1171.1600000000001"/>
    <n v="4"/>
  </r>
  <r>
    <x v="238"/>
    <n v="10393"/>
    <n v="323"/>
    <x v="30"/>
    <x v="14"/>
    <x v="2"/>
    <x v="24"/>
    <n v="31"/>
    <n v="63.35"/>
    <n v="33.61"/>
    <n v="1963.85"/>
    <n v="1041.9100000000001"/>
    <n v="921.94"/>
    <n v="4"/>
  </r>
  <r>
    <x v="238"/>
    <n v="10393"/>
    <n v="323"/>
    <x v="30"/>
    <x v="14"/>
    <x v="1"/>
    <x v="25"/>
    <n v="21"/>
    <n v="83.95"/>
    <n v="46.53"/>
    <n v="1762.95"/>
    <n v="977.13"/>
    <n v="785.82"/>
    <n v="4"/>
  </r>
  <r>
    <x v="239"/>
    <n v="10394"/>
    <n v="141"/>
    <x v="4"/>
    <x v="3"/>
    <x v="1"/>
    <x v="30"/>
    <n v="22"/>
    <n v="135.47"/>
    <n v="77.900000000000006"/>
    <n v="2980.34"/>
    <n v="1713.8"/>
    <n v="1266.54"/>
    <n v="22"/>
  </r>
  <r>
    <x v="239"/>
    <n v="10394"/>
    <n v="141"/>
    <x v="4"/>
    <x v="3"/>
    <x v="1"/>
    <x v="31"/>
    <n v="37"/>
    <n v="124.95"/>
    <n v="91.92"/>
    <n v="4623.1499999999996"/>
    <n v="3401.04"/>
    <n v="1222.1099999999999"/>
    <n v="22"/>
  </r>
  <r>
    <x v="239"/>
    <n v="10394"/>
    <n v="141"/>
    <x v="4"/>
    <x v="3"/>
    <x v="1"/>
    <x v="32"/>
    <n v="31"/>
    <n v="53.18"/>
    <n v="32.369999999999997"/>
    <n v="1648.58"/>
    <n v="1003.47"/>
    <n v="645.11"/>
    <n v="22"/>
  </r>
  <r>
    <x v="239"/>
    <n v="10394"/>
    <n v="141"/>
    <x v="4"/>
    <x v="3"/>
    <x v="1"/>
    <x v="33"/>
    <n v="46"/>
    <n v="35.36"/>
    <n v="15.91"/>
    <n v="1626.56"/>
    <n v="731.86"/>
    <n v="894.7"/>
    <n v="22"/>
  </r>
  <r>
    <x v="239"/>
    <n v="10394"/>
    <n v="141"/>
    <x v="4"/>
    <x v="3"/>
    <x v="1"/>
    <x v="34"/>
    <n v="37"/>
    <n v="104.09"/>
    <n v="69.78"/>
    <n v="3851.33"/>
    <n v="2581.86"/>
    <n v="1269.47"/>
    <n v="22"/>
  </r>
  <r>
    <x v="239"/>
    <n v="10394"/>
    <n v="141"/>
    <x v="4"/>
    <x v="3"/>
    <x v="2"/>
    <x v="35"/>
    <n v="36"/>
    <n v="47.08"/>
    <n v="25.98"/>
    <n v="1694.88"/>
    <n v="935.28"/>
    <n v="759.6"/>
    <n v="22"/>
  </r>
  <r>
    <x v="239"/>
    <n v="10394"/>
    <n v="141"/>
    <x v="4"/>
    <x v="3"/>
    <x v="3"/>
    <x v="36"/>
    <n v="30"/>
    <n v="55.93"/>
    <n v="26.72"/>
    <n v="1677.9"/>
    <n v="801.6"/>
    <n v="876.3"/>
    <n v="22"/>
  </r>
  <r>
    <x v="240"/>
    <n v="10395"/>
    <n v="250"/>
    <x v="31"/>
    <x v="9"/>
    <x v="1"/>
    <x v="39"/>
    <n v="32"/>
    <n v="125.12"/>
    <n v="85.68"/>
    <n v="4003.84"/>
    <n v="2741.76"/>
    <n v="1262.08"/>
    <n v="3"/>
  </r>
  <r>
    <x v="240"/>
    <n v="10395"/>
    <n v="250"/>
    <x v="31"/>
    <x v="9"/>
    <x v="1"/>
    <x v="40"/>
    <n v="33"/>
    <n v="205.72"/>
    <n v="95.59"/>
    <n v="6788.76"/>
    <n v="3154.47"/>
    <n v="3634.29"/>
    <n v="3"/>
  </r>
  <r>
    <x v="240"/>
    <n v="10395"/>
    <n v="250"/>
    <x v="31"/>
    <x v="9"/>
    <x v="2"/>
    <x v="37"/>
    <n v="46"/>
    <n v="98.39"/>
    <n v="68.290000000000006"/>
    <n v="4525.9399999999996"/>
    <n v="3141.34"/>
    <n v="1384.6"/>
    <n v="3"/>
  </r>
  <r>
    <x v="240"/>
    <n v="10395"/>
    <n v="250"/>
    <x v="31"/>
    <x v="9"/>
    <x v="3"/>
    <x v="38"/>
    <n v="45"/>
    <n v="57.99"/>
    <n v="37.49"/>
    <n v="2609.5500000000002"/>
    <n v="1687.05"/>
    <n v="922.5"/>
    <n v="3"/>
  </r>
  <r>
    <x v="241"/>
    <n v="10396"/>
    <n v="124"/>
    <x v="13"/>
    <x v="0"/>
    <x v="1"/>
    <x v="41"/>
    <n v="33"/>
    <n v="155.72"/>
    <n v="83.05"/>
    <n v="5138.76"/>
    <n v="2740.65"/>
    <n v="2398.11"/>
    <n v="16"/>
  </r>
  <r>
    <x v="241"/>
    <n v="10396"/>
    <n v="124"/>
    <x v="13"/>
    <x v="0"/>
    <x v="0"/>
    <x v="42"/>
    <n v="33"/>
    <n v="129.76"/>
    <n v="68.3"/>
    <n v="4282.08"/>
    <n v="2253.9"/>
    <n v="2028.18"/>
    <n v="16"/>
  </r>
  <r>
    <x v="241"/>
    <n v="10396"/>
    <n v="124"/>
    <x v="13"/>
    <x v="0"/>
    <x v="3"/>
    <x v="43"/>
    <n v="24"/>
    <n v="91.76"/>
    <n v="67.56"/>
    <n v="2202.2399999999998"/>
    <n v="1621.44"/>
    <n v="580.79999999999995"/>
    <n v="16"/>
  </r>
  <r>
    <x v="241"/>
    <n v="10396"/>
    <n v="124"/>
    <x v="13"/>
    <x v="0"/>
    <x v="0"/>
    <x v="44"/>
    <n v="45"/>
    <n v="83.38"/>
    <n v="52.66"/>
    <n v="3752.1"/>
    <n v="2369.6999999999998"/>
    <n v="1382.4"/>
    <n v="16"/>
  </r>
  <r>
    <x v="241"/>
    <n v="10396"/>
    <n v="124"/>
    <x v="13"/>
    <x v="0"/>
    <x v="4"/>
    <x v="45"/>
    <n v="49"/>
    <n v="100.77"/>
    <n v="82.34"/>
    <n v="4937.7299999999996"/>
    <n v="4034.66"/>
    <n v="903.07"/>
    <n v="16"/>
  </r>
  <r>
    <x v="241"/>
    <n v="10396"/>
    <n v="124"/>
    <x v="13"/>
    <x v="0"/>
    <x v="0"/>
    <x v="46"/>
    <n v="27"/>
    <n v="77"/>
    <n v="46.91"/>
    <n v="2079"/>
    <n v="1266.57"/>
    <n v="812.43"/>
    <n v="16"/>
  </r>
  <r>
    <x v="241"/>
    <n v="10396"/>
    <n v="124"/>
    <x v="13"/>
    <x v="0"/>
    <x v="0"/>
    <x v="47"/>
    <n v="37"/>
    <n v="77.989999999999995"/>
    <n v="48.64"/>
    <n v="2885.63"/>
    <n v="1799.68"/>
    <n v="1085.95"/>
    <n v="16"/>
  </r>
  <r>
    <x v="241"/>
    <n v="10396"/>
    <n v="124"/>
    <x v="13"/>
    <x v="0"/>
    <x v="4"/>
    <x v="48"/>
    <n v="39"/>
    <n v="62"/>
    <n v="34"/>
    <n v="2418"/>
    <n v="1326"/>
    <n v="1092"/>
    <n v="16"/>
  </r>
  <r>
    <x v="242"/>
    <n v="10397"/>
    <n v="242"/>
    <x v="32"/>
    <x v="9"/>
    <x v="4"/>
    <x v="49"/>
    <n v="32"/>
    <n v="69.290000000000006"/>
    <n v="43.3"/>
    <n v="2217.2800000000002"/>
    <n v="1385.6"/>
    <n v="831.68"/>
    <n v="3"/>
  </r>
  <r>
    <x v="242"/>
    <n v="10397"/>
    <n v="242"/>
    <x v="32"/>
    <x v="9"/>
    <x v="4"/>
    <x v="50"/>
    <n v="22"/>
    <n v="62.88"/>
    <n v="33.97"/>
    <n v="1383.36"/>
    <n v="747.34"/>
    <n v="636.02"/>
    <n v="3"/>
  </r>
  <r>
    <x v="242"/>
    <n v="10397"/>
    <n v="242"/>
    <x v="32"/>
    <x v="9"/>
    <x v="4"/>
    <x v="51"/>
    <n v="48"/>
    <n v="86.15"/>
    <n v="51.09"/>
    <n v="4135.2"/>
    <n v="2452.3200000000002"/>
    <n v="1682.88"/>
    <n v="3"/>
  </r>
  <r>
    <x v="242"/>
    <n v="10397"/>
    <n v="242"/>
    <x v="32"/>
    <x v="9"/>
    <x v="4"/>
    <x v="52"/>
    <n v="36"/>
    <n v="80.44"/>
    <n v="53.63"/>
    <n v="2895.84"/>
    <n v="1930.68"/>
    <n v="965.16"/>
    <n v="3"/>
  </r>
  <r>
    <x v="242"/>
    <n v="10397"/>
    <n v="242"/>
    <x v="32"/>
    <x v="9"/>
    <x v="4"/>
    <x v="53"/>
    <n v="34"/>
    <n v="52.96"/>
    <n v="33.299999999999997"/>
    <n v="1800.64"/>
    <n v="1132.2"/>
    <n v="668.44"/>
    <n v="3"/>
  </r>
  <r>
    <x v="243"/>
    <n v="10398"/>
    <n v="353"/>
    <x v="21"/>
    <x v="9"/>
    <x v="5"/>
    <x v="54"/>
    <n v="33"/>
    <n v="130.88"/>
    <n v="77.27"/>
    <n v="4319.04"/>
    <n v="2549.91"/>
    <n v="1769.13"/>
    <n v="5"/>
  </r>
  <r>
    <x v="243"/>
    <n v="10398"/>
    <n v="353"/>
    <x v="21"/>
    <x v="9"/>
    <x v="5"/>
    <x v="55"/>
    <n v="34"/>
    <n v="82.79"/>
    <n v="49"/>
    <n v="2814.86"/>
    <n v="1666"/>
    <n v="1148.8599999999999"/>
    <n v="5"/>
  </r>
  <r>
    <x v="243"/>
    <n v="10398"/>
    <n v="353"/>
    <x v="21"/>
    <x v="9"/>
    <x v="4"/>
    <x v="56"/>
    <n v="28"/>
    <n v="70.540000000000006"/>
    <n v="51.61"/>
    <n v="1975.12"/>
    <n v="1445.08"/>
    <n v="530.04"/>
    <n v="5"/>
  </r>
  <r>
    <x v="243"/>
    <n v="10398"/>
    <n v="353"/>
    <x v="21"/>
    <x v="9"/>
    <x v="0"/>
    <x v="57"/>
    <n v="45"/>
    <n v="92.11"/>
    <n v="64.58"/>
    <n v="4144.95"/>
    <n v="2906.1"/>
    <n v="1238.8499999999999"/>
    <n v="5"/>
  </r>
  <r>
    <x v="243"/>
    <n v="10398"/>
    <n v="353"/>
    <x v="21"/>
    <x v="9"/>
    <x v="5"/>
    <x v="58"/>
    <n v="43"/>
    <n v="100.67"/>
    <n v="66.739999999999995"/>
    <n v="4328.8100000000004"/>
    <n v="2869.82"/>
    <n v="1458.99"/>
    <n v="5"/>
  </r>
  <r>
    <x v="243"/>
    <n v="10398"/>
    <n v="353"/>
    <x v="21"/>
    <x v="9"/>
    <x v="5"/>
    <x v="59"/>
    <n v="28"/>
    <n v="60.29"/>
    <n v="34.25"/>
    <n v="1688.12"/>
    <n v="959"/>
    <n v="729.12"/>
    <n v="5"/>
  </r>
  <r>
    <x v="243"/>
    <n v="10398"/>
    <n v="353"/>
    <x v="21"/>
    <x v="9"/>
    <x v="0"/>
    <x v="60"/>
    <n v="34"/>
    <n v="61.15"/>
    <n v="26.3"/>
    <n v="2079.1"/>
    <n v="894.2"/>
    <n v="1184.9000000000001"/>
    <n v="5"/>
  </r>
  <r>
    <x v="243"/>
    <n v="10398"/>
    <n v="353"/>
    <x v="21"/>
    <x v="9"/>
    <x v="5"/>
    <x v="61"/>
    <n v="41"/>
    <n v="56.64"/>
    <n v="29.34"/>
    <n v="2322.2399999999998"/>
    <n v="1202.94"/>
    <n v="1119.3"/>
    <n v="5"/>
  </r>
  <r>
    <x v="243"/>
    <n v="10398"/>
    <n v="353"/>
    <x v="21"/>
    <x v="9"/>
    <x v="5"/>
    <x v="62"/>
    <n v="45"/>
    <n v="65.930000000000007"/>
    <n v="36.229999999999997"/>
    <n v="2966.85"/>
    <n v="1630.35"/>
    <n v="1336.5"/>
    <n v="5"/>
  </r>
  <r>
    <x v="243"/>
    <n v="10398"/>
    <n v="353"/>
    <x v="21"/>
    <x v="9"/>
    <x v="0"/>
    <x v="63"/>
    <n v="22"/>
    <n v="60.54"/>
    <n v="33.020000000000003"/>
    <n v="1331.88"/>
    <n v="726.44"/>
    <n v="605.44000000000005"/>
    <n v="5"/>
  </r>
  <r>
    <x v="243"/>
    <n v="10398"/>
    <n v="353"/>
    <x v="21"/>
    <x v="9"/>
    <x v="0"/>
    <x v="64"/>
    <n v="49"/>
    <n v="38.840000000000003"/>
    <n v="27.06"/>
    <n v="1903.16"/>
    <n v="1325.94"/>
    <n v="577.22"/>
    <n v="5"/>
  </r>
  <r>
    <x v="243"/>
    <n v="10398"/>
    <n v="353"/>
    <x v="21"/>
    <x v="9"/>
    <x v="5"/>
    <x v="65"/>
    <n v="47"/>
    <n v="78.55"/>
    <n v="51.15"/>
    <n v="3691.85"/>
    <n v="2404.0500000000002"/>
    <n v="1287.8"/>
    <n v="5"/>
  </r>
  <r>
    <x v="243"/>
    <n v="10398"/>
    <n v="353"/>
    <x v="21"/>
    <x v="9"/>
    <x v="4"/>
    <x v="66"/>
    <n v="36"/>
    <n v="75.13"/>
    <n v="39.83"/>
    <n v="2704.68"/>
    <n v="1433.88"/>
    <n v="1270.8"/>
    <n v="5"/>
  </r>
  <r>
    <x v="243"/>
    <n v="10398"/>
    <n v="353"/>
    <x v="21"/>
    <x v="9"/>
    <x v="5"/>
    <x v="67"/>
    <n v="22"/>
    <n v="98.72"/>
    <n v="68.8"/>
    <n v="2171.84"/>
    <n v="1513.6"/>
    <n v="658.24"/>
    <n v="5"/>
  </r>
  <r>
    <x v="243"/>
    <n v="10398"/>
    <n v="353"/>
    <x v="21"/>
    <x v="9"/>
    <x v="5"/>
    <x v="68"/>
    <n v="23"/>
    <n v="102.04"/>
    <n v="59.33"/>
    <n v="2346.92"/>
    <n v="1364.59"/>
    <n v="982.33"/>
    <n v="5"/>
  </r>
  <r>
    <x v="243"/>
    <n v="10398"/>
    <n v="353"/>
    <x v="21"/>
    <x v="9"/>
    <x v="5"/>
    <x v="69"/>
    <n v="29"/>
    <n v="76.8"/>
    <n v="54.4"/>
    <n v="2227.1999999999998"/>
    <n v="1577.6"/>
    <n v="649.6"/>
    <n v="5"/>
  </r>
  <r>
    <x v="243"/>
    <n v="10398"/>
    <n v="353"/>
    <x v="21"/>
    <x v="9"/>
    <x v="5"/>
    <x v="70"/>
    <n v="36"/>
    <n v="62.19"/>
    <n v="36.270000000000003"/>
    <n v="2238.84"/>
    <n v="1305.72"/>
    <n v="933.12"/>
    <n v="5"/>
  </r>
  <r>
    <x v="243"/>
    <n v="10398"/>
    <n v="353"/>
    <x v="21"/>
    <x v="9"/>
    <x v="5"/>
    <x v="71"/>
    <n v="34"/>
    <n v="41.22"/>
    <n v="32.770000000000003"/>
    <n v="1401.48"/>
    <n v="1114.18"/>
    <n v="287.3"/>
    <n v="5"/>
  </r>
  <r>
    <x v="244"/>
    <n v="10400"/>
    <n v="450"/>
    <x v="89"/>
    <x v="0"/>
    <x v="1"/>
    <x v="39"/>
    <n v="64"/>
    <n v="134.63999999999999"/>
    <n v="85.68"/>
    <n v="8616.9599999999991"/>
    <n v="5483.52"/>
    <n v="3133.44"/>
    <n v="3"/>
  </r>
  <r>
    <x v="244"/>
    <n v="10400"/>
    <n v="450"/>
    <x v="89"/>
    <x v="0"/>
    <x v="5"/>
    <x v="54"/>
    <n v="34"/>
    <n v="129.31"/>
    <n v="77.27"/>
    <n v="4396.54"/>
    <n v="2627.18"/>
    <n v="1769.36"/>
    <n v="3"/>
  </r>
  <r>
    <x v="244"/>
    <n v="10400"/>
    <n v="450"/>
    <x v="89"/>
    <x v="0"/>
    <x v="4"/>
    <x v="56"/>
    <n v="30"/>
    <n v="74.84"/>
    <n v="51.61"/>
    <n v="2245.1999999999998"/>
    <n v="1548.3"/>
    <n v="696.9"/>
    <n v="3"/>
  </r>
  <r>
    <x v="244"/>
    <n v="10400"/>
    <n v="450"/>
    <x v="89"/>
    <x v="0"/>
    <x v="0"/>
    <x v="57"/>
    <n v="58"/>
    <n v="88.93"/>
    <n v="64.58"/>
    <n v="5157.9399999999996"/>
    <n v="3745.64"/>
    <n v="1412.3"/>
    <n v="3"/>
  </r>
  <r>
    <x v="244"/>
    <n v="10400"/>
    <n v="450"/>
    <x v="89"/>
    <x v="0"/>
    <x v="5"/>
    <x v="59"/>
    <n v="24"/>
    <n v="55.49"/>
    <n v="34.25"/>
    <n v="1331.76"/>
    <n v="822"/>
    <n v="509.76"/>
    <n v="3"/>
  </r>
  <r>
    <x v="244"/>
    <n v="10400"/>
    <n v="450"/>
    <x v="89"/>
    <x v="0"/>
    <x v="0"/>
    <x v="60"/>
    <n v="38"/>
    <n v="59.18"/>
    <n v="26.3"/>
    <n v="2248.84"/>
    <n v="999.4"/>
    <n v="1249.44"/>
    <n v="3"/>
  </r>
  <r>
    <x v="244"/>
    <n v="10400"/>
    <n v="450"/>
    <x v="89"/>
    <x v="0"/>
    <x v="0"/>
    <x v="47"/>
    <n v="42"/>
    <n v="74.64"/>
    <n v="48.64"/>
    <n v="3134.88"/>
    <n v="2042.88"/>
    <n v="1092"/>
    <n v="3"/>
  </r>
  <r>
    <x v="244"/>
    <n v="10400"/>
    <n v="450"/>
    <x v="89"/>
    <x v="0"/>
    <x v="4"/>
    <x v="66"/>
    <n v="46"/>
    <n v="82.37"/>
    <n v="39.83"/>
    <n v="3789.02"/>
    <n v="1832.18"/>
    <n v="1956.84"/>
    <n v="3"/>
  </r>
  <r>
    <x v="244"/>
    <n v="10400"/>
    <n v="450"/>
    <x v="89"/>
    <x v="0"/>
    <x v="5"/>
    <x v="71"/>
    <n v="20"/>
    <n v="41.71"/>
    <n v="32.770000000000003"/>
    <n v="834.2"/>
    <n v="655.4"/>
    <n v="178.8"/>
    <n v="3"/>
  </r>
  <r>
    <x v="244"/>
    <n v="10399"/>
    <n v="496"/>
    <x v="33"/>
    <x v="14"/>
    <x v="6"/>
    <x v="72"/>
    <n v="40"/>
    <n v="77.52"/>
    <n v="48.81"/>
    <n v="3100.8"/>
    <n v="1952.4"/>
    <n v="1148.4000000000001"/>
    <n v="4"/>
  </r>
  <r>
    <x v="244"/>
    <n v="10399"/>
    <n v="496"/>
    <x v="33"/>
    <x v="14"/>
    <x v="6"/>
    <x v="73"/>
    <n v="51"/>
    <n v="99.91"/>
    <n v="68.989999999999995"/>
    <n v="5095.41"/>
    <n v="3518.49"/>
    <n v="1576.92"/>
    <n v="4"/>
  </r>
  <r>
    <x v="244"/>
    <n v="10399"/>
    <n v="496"/>
    <x v="33"/>
    <x v="14"/>
    <x v="6"/>
    <x v="74"/>
    <n v="22"/>
    <n v="156.86000000000001"/>
    <n v="91.02"/>
    <n v="3450.92"/>
    <n v="2002.44"/>
    <n v="1448.48"/>
    <n v="4"/>
  </r>
  <r>
    <x v="244"/>
    <n v="10399"/>
    <n v="496"/>
    <x v="33"/>
    <x v="14"/>
    <x v="6"/>
    <x v="75"/>
    <n v="29"/>
    <n v="123.51"/>
    <n v="66.27"/>
    <n v="3581.79"/>
    <n v="1921.83"/>
    <n v="1659.96"/>
    <n v="4"/>
  </r>
  <r>
    <x v="244"/>
    <n v="10399"/>
    <n v="496"/>
    <x v="33"/>
    <x v="14"/>
    <x v="6"/>
    <x v="76"/>
    <n v="30"/>
    <n v="51.48"/>
    <n v="24.23"/>
    <n v="1544.4"/>
    <n v="726.9"/>
    <n v="817.5"/>
    <n v="4"/>
  </r>
  <r>
    <x v="244"/>
    <n v="10399"/>
    <n v="496"/>
    <x v="33"/>
    <x v="14"/>
    <x v="6"/>
    <x v="77"/>
    <n v="57"/>
    <n v="104.81"/>
    <n v="60.86"/>
    <n v="5974.17"/>
    <n v="3469.02"/>
    <n v="2505.15"/>
    <n v="4"/>
  </r>
  <r>
    <x v="244"/>
    <n v="10399"/>
    <n v="496"/>
    <x v="33"/>
    <x v="14"/>
    <x v="6"/>
    <x v="78"/>
    <n v="58"/>
    <n v="75.41"/>
    <n v="37.32"/>
    <n v="4373.78"/>
    <n v="2164.56"/>
    <n v="2209.2199999999998"/>
    <n v="4"/>
  </r>
  <r>
    <x v="244"/>
    <n v="10399"/>
    <n v="496"/>
    <x v="33"/>
    <x v="14"/>
    <x v="6"/>
    <x v="79"/>
    <n v="32"/>
    <n v="97.89"/>
    <n v="66.92"/>
    <n v="3132.48"/>
    <n v="2141.44"/>
    <n v="991.04"/>
    <n v="4"/>
  </r>
  <r>
    <x v="245"/>
    <n v="10401"/>
    <n v="328"/>
    <x v="84"/>
    <x v="0"/>
    <x v="5"/>
    <x v="55"/>
    <n v="42"/>
    <n v="75.19"/>
    <n v="49"/>
    <n v="3157.98"/>
    <n v="2058"/>
    <n v="1099.98"/>
    <n v="3"/>
  </r>
  <r>
    <x v="245"/>
    <n v="10401"/>
    <n v="328"/>
    <x v="84"/>
    <x v="0"/>
    <x v="5"/>
    <x v="58"/>
    <n v="38"/>
    <n v="87.54"/>
    <n v="66.739999999999995"/>
    <n v="3326.52"/>
    <n v="2536.12"/>
    <n v="790.4"/>
    <n v="3"/>
  </r>
  <r>
    <x v="245"/>
    <n v="10401"/>
    <n v="328"/>
    <x v="84"/>
    <x v="0"/>
    <x v="5"/>
    <x v="61"/>
    <n v="64"/>
    <n v="59.37"/>
    <n v="29.34"/>
    <n v="3799.68"/>
    <n v="1877.76"/>
    <n v="1921.92"/>
    <n v="3"/>
  </r>
  <r>
    <x v="245"/>
    <n v="10401"/>
    <n v="328"/>
    <x v="84"/>
    <x v="0"/>
    <x v="5"/>
    <x v="62"/>
    <n v="52"/>
    <n v="65.930000000000007"/>
    <n v="36.229999999999997"/>
    <n v="3428.36"/>
    <n v="1883.96"/>
    <n v="1544.4"/>
    <n v="3"/>
  </r>
  <r>
    <x v="245"/>
    <n v="10401"/>
    <n v="328"/>
    <x v="84"/>
    <x v="0"/>
    <x v="6"/>
    <x v="79"/>
    <n v="49"/>
    <n v="81.91"/>
    <n v="66.92"/>
    <n v="4013.59"/>
    <n v="3279.08"/>
    <n v="734.51"/>
    <n v="3"/>
  </r>
  <r>
    <x v="245"/>
    <n v="10401"/>
    <n v="328"/>
    <x v="84"/>
    <x v="0"/>
    <x v="0"/>
    <x v="63"/>
    <n v="62"/>
    <n v="62.6"/>
    <n v="33.020000000000003"/>
    <n v="3881.2"/>
    <n v="2047.24"/>
    <n v="1833.96"/>
    <n v="3"/>
  </r>
  <r>
    <x v="245"/>
    <n v="10401"/>
    <n v="328"/>
    <x v="84"/>
    <x v="0"/>
    <x v="0"/>
    <x v="64"/>
    <n v="56"/>
    <n v="41.46"/>
    <n v="27.06"/>
    <n v="2321.7600000000002"/>
    <n v="1515.36"/>
    <n v="806.4"/>
    <n v="3"/>
  </r>
  <r>
    <x v="245"/>
    <n v="10401"/>
    <n v="328"/>
    <x v="84"/>
    <x v="0"/>
    <x v="5"/>
    <x v="65"/>
    <n v="11"/>
    <n v="77.64"/>
    <n v="51.15"/>
    <n v="854.04"/>
    <n v="562.65"/>
    <n v="291.39"/>
    <n v="3"/>
  </r>
  <r>
    <x v="245"/>
    <n v="10401"/>
    <n v="328"/>
    <x v="84"/>
    <x v="0"/>
    <x v="5"/>
    <x v="67"/>
    <n v="85"/>
    <n v="98.72"/>
    <n v="68.8"/>
    <n v="8391.2000000000007"/>
    <n v="5848"/>
    <n v="2543.1999999999998"/>
    <n v="3"/>
  </r>
  <r>
    <x v="245"/>
    <n v="10401"/>
    <n v="328"/>
    <x v="84"/>
    <x v="0"/>
    <x v="5"/>
    <x v="68"/>
    <n v="21"/>
    <n v="96.11"/>
    <n v="59.33"/>
    <n v="2018.31"/>
    <n v="1245.93"/>
    <n v="772.38"/>
    <n v="3"/>
  </r>
  <r>
    <x v="245"/>
    <n v="10401"/>
    <n v="328"/>
    <x v="84"/>
    <x v="0"/>
    <x v="5"/>
    <x v="69"/>
    <n v="77"/>
    <n v="73.599999999999994"/>
    <n v="54.4"/>
    <n v="5667.2"/>
    <n v="4188.8"/>
    <n v="1478.4"/>
    <n v="3"/>
  </r>
  <r>
    <x v="245"/>
    <n v="10401"/>
    <n v="328"/>
    <x v="84"/>
    <x v="0"/>
    <x v="5"/>
    <x v="70"/>
    <n v="40"/>
    <n v="66.63"/>
    <n v="36.270000000000003"/>
    <n v="2665.2"/>
    <n v="1450.8"/>
    <n v="1214.4000000000001"/>
    <n v="3"/>
  </r>
  <r>
    <x v="246"/>
    <n v="10402"/>
    <n v="406"/>
    <x v="75"/>
    <x v="9"/>
    <x v="6"/>
    <x v="73"/>
    <n v="45"/>
    <n v="118.94"/>
    <n v="68.989999999999995"/>
    <n v="5352.3"/>
    <n v="3104.55"/>
    <n v="2247.75"/>
    <n v="3"/>
  </r>
  <r>
    <x v="246"/>
    <n v="10402"/>
    <n v="406"/>
    <x v="75"/>
    <x v="9"/>
    <x v="6"/>
    <x v="76"/>
    <n v="55"/>
    <n v="58.15"/>
    <n v="24.23"/>
    <n v="3198.25"/>
    <n v="1332.65"/>
    <n v="1865.6"/>
    <n v="3"/>
  </r>
  <r>
    <x v="246"/>
    <n v="10402"/>
    <n v="406"/>
    <x v="75"/>
    <x v="9"/>
    <x v="6"/>
    <x v="78"/>
    <n v="59"/>
    <n v="61.7"/>
    <n v="37.32"/>
    <n v="3640.3"/>
    <n v="2201.88"/>
    <n v="1438.42"/>
    <n v="3"/>
  </r>
  <r>
    <x v="247"/>
    <n v="10404"/>
    <n v="323"/>
    <x v="30"/>
    <x v="14"/>
    <x v="1"/>
    <x v="80"/>
    <n v="64"/>
    <n v="163.44"/>
    <n v="95.34"/>
    <n v="10460.16"/>
    <n v="6101.76"/>
    <n v="4358.3999999999996"/>
    <n v="5"/>
  </r>
  <r>
    <x v="247"/>
    <n v="10404"/>
    <n v="323"/>
    <x v="30"/>
    <x v="14"/>
    <x v="1"/>
    <x v="81"/>
    <n v="43"/>
    <n v="102.17"/>
    <n v="75.16"/>
    <n v="4393.3100000000004"/>
    <n v="3231.88"/>
    <n v="1161.43"/>
    <n v="5"/>
  </r>
  <r>
    <x v="247"/>
    <n v="10404"/>
    <n v="323"/>
    <x v="30"/>
    <x v="14"/>
    <x v="1"/>
    <x v="82"/>
    <n v="77"/>
    <n v="67.03"/>
    <n v="31.92"/>
    <n v="5161.3100000000004"/>
    <n v="2457.84"/>
    <n v="2703.47"/>
    <n v="5"/>
  </r>
  <r>
    <x v="247"/>
    <n v="10404"/>
    <n v="323"/>
    <x v="30"/>
    <x v="14"/>
    <x v="1"/>
    <x v="85"/>
    <n v="90"/>
    <n v="67.540000000000006"/>
    <n v="49.05"/>
    <n v="6078.6"/>
    <n v="4414.5"/>
    <n v="1664.1"/>
    <n v="5"/>
  </r>
  <r>
    <x v="247"/>
    <n v="10404"/>
    <n v="323"/>
    <x v="30"/>
    <x v="14"/>
    <x v="1"/>
    <x v="86"/>
    <n v="28"/>
    <n v="127.88"/>
    <n v="73.489999999999995"/>
    <n v="3580.64"/>
    <n v="2057.7199999999998"/>
    <n v="1522.92"/>
    <n v="5"/>
  </r>
  <r>
    <x v="247"/>
    <n v="10404"/>
    <n v="323"/>
    <x v="30"/>
    <x v="14"/>
    <x v="1"/>
    <x v="88"/>
    <n v="48"/>
    <n v="124.99"/>
    <n v="69.930000000000007"/>
    <n v="5999.52"/>
    <n v="3356.64"/>
    <n v="2642.88"/>
    <n v="5"/>
  </r>
  <r>
    <x v="247"/>
    <n v="10404"/>
    <n v="323"/>
    <x v="30"/>
    <x v="14"/>
    <x v="1"/>
    <x v="90"/>
    <n v="49"/>
    <n v="53.27"/>
    <n v="38.58"/>
    <n v="2610.23"/>
    <n v="1890.42"/>
    <n v="719.81"/>
    <n v="5"/>
  </r>
  <r>
    <x v="247"/>
    <n v="10404"/>
    <n v="323"/>
    <x v="30"/>
    <x v="14"/>
    <x v="1"/>
    <x v="92"/>
    <n v="48"/>
    <n v="65.48"/>
    <n v="32.33"/>
    <n v="3143.04"/>
    <n v="1551.84"/>
    <n v="1591.2"/>
    <n v="5"/>
  </r>
  <r>
    <x v="247"/>
    <n v="10403"/>
    <n v="201"/>
    <x v="47"/>
    <x v="7"/>
    <x v="6"/>
    <x v="72"/>
    <n v="24"/>
    <n v="85.17"/>
    <n v="48.81"/>
    <n v="2044.08"/>
    <n v="1171.44"/>
    <n v="872.64"/>
    <n v="3"/>
  </r>
  <r>
    <x v="247"/>
    <n v="10403"/>
    <n v="201"/>
    <x v="47"/>
    <x v="7"/>
    <x v="6"/>
    <x v="74"/>
    <n v="66"/>
    <n v="174.29"/>
    <n v="91.02"/>
    <n v="11503.14"/>
    <n v="6007.32"/>
    <n v="5495.82"/>
    <n v="3"/>
  </r>
  <r>
    <x v="247"/>
    <n v="10403"/>
    <n v="201"/>
    <x v="47"/>
    <x v="7"/>
    <x v="6"/>
    <x v="75"/>
    <n v="66"/>
    <n v="122"/>
    <n v="66.27"/>
    <n v="8052"/>
    <n v="4373.82"/>
    <n v="3678.18"/>
    <n v="3"/>
  </r>
  <r>
    <x v="247"/>
    <n v="10403"/>
    <n v="201"/>
    <x v="47"/>
    <x v="7"/>
    <x v="6"/>
    <x v="87"/>
    <n v="36"/>
    <n v="55.33"/>
    <n v="32.950000000000003"/>
    <n v="1991.88"/>
    <n v="1186.2"/>
    <n v="805.68"/>
    <n v="3"/>
  </r>
  <r>
    <x v="247"/>
    <n v="10403"/>
    <n v="201"/>
    <x v="47"/>
    <x v="7"/>
    <x v="6"/>
    <x v="77"/>
    <n v="46"/>
    <n v="109.32"/>
    <n v="60.86"/>
    <n v="5028.72"/>
    <n v="2799.56"/>
    <n v="2229.16"/>
    <n v="3"/>
  </r>
  <r>
    <x v="247"/>
    <n v="10403"/>
    <n v="201"/>
    <x v="47"/>
    <x v="7"/>
    <x v="6"/>
    <x v="89"/>
    <n v="27"/>
    <n v="57.49"/>
    <n v="47.1"/>
    <n v="1552.23"/>
    <n v="1271.7"/>
    <n v="280.52999999999997"/>
    <n v="3"/>
  </r>
  <r>
    <x v="247"/>
    <n v="10403"/>
    <n v="201"/>
    <x v="47"/>
    <x v="7"/>
    <x v="6"/>
    <x v="93"/>
    <n v="30"/>
    <n v="35.799999999999997"/>
    <n v="24.14"/>
    <n v="1074"/>
    <n v="724.2"/>
    <n v="349.8"/>
    <n v="3"/>
  </r>
  <r>
    <x v="247"/>
    <n v="10403"/>
    <n v="201"/>
    <x v="47"/>
    <x v="7"/>
    <x v="6"/>
    <x v="94"/>
    <n v="45"/>
    <n v="88.78"/>
    <n v="56.13"/>
    <n v="3995.1"/>
    <n v="2525.85"/>
    <n v="1469.25"/>
    <n v="3"/>
  </r>
  <r>
    <x v="247"/>
    <n v="10403"/>
    <n v="201"/>
    <x v="47"/>
    <x v="7"/>
    <x v="6"/>
    <x v="95"/>
    <n v="31"/>
    <n v="65.09"/>
    <n v="34.17"/>
    <n v="2017.79"/>
    <n v="1059.27"/>
    <n v="958.52"/>
    <n v="3"/>
  </r>
  <r>
    <x v="248"/>
    <n v="10405"/>
    <n v="209"/>
    <x v="87"/>
    <x v="9"/>
    <x v="1"/>
    <x v="83"/>
    <n v="97"/>
    <n v="115.16"/>
    <n v="58.73"/>
    <n v="11170.52"/>
    <n v="5696.81"/>
    <n v="5473.71"/>
    <n v="3"/>
  </r>
  <r>
    <x v="248"/>
    <n v="10405"/>
    <n v="209"/>
    <x v="87"/>
    <x v="9"/>
    <x v="1"/>
    <x v="84"/>
    <n v="61"/>
    <n v="72.38"/>
    <n v="53.9"/>
    <n v="4415.18"/>
    <n v="3287.9"/>
    <n v="1127.28"/>
    <n v="3"/>
  </r>
  <r>
    <x v="248"/>
    <n v="10405"/>
    <n v="209"/>
    <x v="87"/>
    <x v="9"/>
    <x v="1"/>
    <x v="30"/>
    <n v="55"/>
    <n v="147.33000000000001"/>
    <n v="77.900000000000006"/>
    <n v="8103.15"/>
    <n v="4284.5"/>
    <n v="3818.65"/>
    <n v="3"/>
  </r>
  <r>
    <x v="248"/>
    <n v="10405"/>
    <n v="209"/>
    <x v="87"/>
    <x v="9"/>
    <x v="1"/>
    <x v="100"/>
    <n v="47"/>
    <n v="37.380000000000003"/>
    <n v="16.239999999999998"/>
    <n v="1756.86"/>
    <n v="763.28"/>
    <n v="993.58"/>
    <n v="3"/>
  </r>
  <r>
    <x v="248"/>
    <n v="10405"/>
    <n v="209"/>
    <x v="87"/>
    <x v="9"/>
    <x v="1"/>
    <x v="91"/>
    <n v="76"/>
    <n v="127.79"/>
    <n v="98.3"/>
    <n v="9712.0400000000009"/>
    <n v="7470.8"/>
    <n v="2241.2399999999998"/>
    <n v="3"/>
  </r>
  <r>
    <x v="249"/>
    <n v="10406"/>
    <n v="145"/>
    <x v="5"/>
    <x v="4"/>
    <x v="1"/>
    <x v="96"/>
    <n v="61"/>
    <n v="124.56"/>
    <n v="83.51"/>
    <n v="7598.16"/>
    <n v="5094.1099999999997"/>
    <n v="2504.0500000000002"/>
    <n v="5"/>
  </r>
  <r>
    <x v="249"/>
    <n v="10406"/>
    <n v="145"/>
    <x v="5"/>
    <x v="4"/>
    <x v="1"/>
    <x v="97"/>
    <n v="48"/>
    <n v="133.72"/>
    <n v="93.89"/>
    <n v="6418.56"/>
    <n v="4506.72"/>
    <n v="1911.84"/>
    <n v="5"/>
  </r>
  <r>
    <x v="249"/>
    <n v="10406"/>
    <n v="145"/>
    <x v="5"/>
    <x v="4"/>
    <x v="1"/>
    <x v="99"/>
    <n v="65"/>
    <n v="117.26"/>
    <n v="62.16"/>
    <n v="7621.9"/>
    <n v="4040.4"/>
    <n v="3581.5"/>
    <n v="5"/>
  </r>
  <r>
    <x v="250"/>
    <n v="10408"/>
    <n v="398"/>
    <x v="90"/>
    <x v="18"/>
    <x v="0"/>
    <x v="3"/>
    <n v="15"/>
    <n v="41.03"/>
    <n v="21.75"/>
    <n v="615.45000000000005"/>
    <n v="326.25"/>
    <n v="289.2"/>
    <n v="4"/>
  </r>
  <r>
    <x v="250"/>
    <n v="10407"/>
    <n v="450"/>
    <x v="89"/>
    <x v="0"/>
    <x v="1"/>
    <x v="101"/>
    <n v="59"/>
    <n v="114.48"/>
    <n v="65.959999999999994"/>
    <n v="6754.32"/>
    <n v="3891.64"/>
    <n v="2862.68"/>
    <n v="4"/>
  </r>
  <r>
    <x v="250"/>
    <n v="10407"/>
    <n v="450"/>
    <x v="89"/>
    <x v="0"/>
    <x v="0"/>
    <x v="0"/>
    <n v="76"/>
    <n v="141.1"/>
    <n v="86.7"/>
    <n v="10723.6"/>
    <n v="6589.2"/>
    <n v="4134.3999999999996"/>
    <n v="4"/>
  </r>
  <r>
    <x v="250"/>
    <n v="10407"/>
    <n v="450"/>
    <x v="89"/>
    <x v="0"/>
    <x v="0"/>
    <x v="1"/>
    <n v="42"/>
    <n v="58.12"/>
    <n v="33.299999999999997"/>
    <n v="2441.04"/>
    <n v="1398.6"/>
    <n v="1042.44"/>
    <n v="4"/>
  </r>
  <r>
    <x v="250"/>
    <n v="10407"/>
    <n v="450"/>
    <x v="89"/>
    <x v="0"/>
    <x v="1"/>
    <x v="98"/>
    <n v="41"/>
    <n v="132"/>
    <n v="56.76"/>
    <n v="5412"/>
    <n v="2327.16"/>
    <n v="3084.84"/>
    <n v="4"/>
  </r>
  <r>
    <x v="250"/>
    <n v="10407"/>
    <n v="450"/>
    <x v="89"/>
    <x v="0"/>
    <x v="0"/>
    <x v="2"/>
    <n v="6"/>
    <n v="91.11"/>
    <n v="43.26"/>
    <n v="546.66"/>
    <n v="259.56"/>
    <n v="287.10000000000002"/>
    <n v="4"/>
  </r>
  <r>
    <x v="250"/>
    <n v="10407"/>
    <n v="450"/>
    <x v="89"/>
    <x v="0"/>
    <x v="1"/>
    <x v="102"/>
    <n v="66"/>
    <n v="64.14"/>
    <n v="34.21"/>
    <n v="4233.24"/>
    <n v="2257.86"/>
    <n v="1975.38"/>
    <n v="4"/>
  </r>
  <r>
    <x v="250"/>
    <n v="10407"/>
    <n v="450"/>
    <x v="89"/>
    <x v="0"/>
    <x v="1"/>
    <x v="103"/>
    <n v="26"/>
    <n v="68.349999999999994"/>
    <n v="49.24"/>
    <n v="1777.1"/>
    <n v="1280.24"/>
    <n v="496.86"/>
    <n v="4"/>
  </r>
  <r>
    <x v="250"/>
    <n v="10407"/>
    <n v="450"/>
    <x v="89"/>
    <x v="0"/>
    <x v="1"/>
    <x v="104"/>
    <n v="64"/>
    <n v="45.78"/>
    <n v="29.18"/>
    <n v="2929.92"/>
    <n v="1867.52"/>
    <n v="1062.4000000000001"/>
    <n v="4"/>
  </r>
  <r>
    <x v="250"/>
    <n v="10407"/>
    <n v="450"/>
    <x v="89"/>
    <x v="0"/>
    <x v="1"/>
    <x v="105"/>
    <n v="76"/>
    <n v="81.78"/>
    <n v="47.25"/>
    <n v="6215.28"/>
    <n v="3591"/>
    <n v="2624.28"/>
    <n v="4"/>
  </r>
  <r>
    <x v="250"/>
    <n v="10407"/>
    <n v="450"/>
    <x v="89"/>
    <x v="0"/>
    <x v="1"/>
    <x v="106"/>
    <n v="59"/>
    <n v="98.65"/>
    <n v="72.819999999999993"/>
    <n v="5820.35"/>
    <n v="4296.38"/>
    <n v="1523.97"/>
    <n v="4"/>
  </r>
  <r>
    <x v="250"/>
    <n v="10407"/>
    <n v="450"/>
    <x v="89"/>
    <x v="0"/>
    <x v="1"/>
    <x v="107"/>
    <n v="13"/>
    <n v="77.05"/>
    <n v="50.51"/>
    <n v="1001.65"/>
    <n v="656.63"/>
    <n v="345.02"/>
    <n v="4"/>
  </r>
  <r>
    <x v="250"/>
    <n v="10407"/>
    <n v="450"/>
    <x v="89"/>
    <x v="0"/>
    <x v="1"/>
    <x v="108"/>
    <n v="43"/>
    <n v="101.73"/>
    <n v="62.11"/>
    <n v="4374.3900000000003"/>
    <n v="2670.73"/>
    <n v="1703.66"/>
    <n v="4"/>
  </r>
  <r>
    <x v="251"/>
    <n v="10409"/>
    <n v="166"/>
    <x v="77"/>
    <x v="11"/>
    <x v="0"/>
    <x v="4"/>
    <n v="6"/>
    <n v="104.25"/>
    <n v="58.48"/>
    <n v="625.5"/>
    <n v="350.88"/>
    <n v="274.62"/>
    <n v="4"/>
  </r>
  <r>
    <x v="251"/>
    <n v="10409"/>
    <n v="166"/>
    <x v="77"/>
    <x v="11"/>
    <x v="0"/>
    <x v="6"/>
    <n v="61"/>
    <n v="27.88"/>
    <n v="22.57"/>
    <n v="1700.68"/>
    <n v="1376.77"/>
    <n v="323.91000000000003"/>
    <n v="4"/>
  </r>
  <r>
    <x v="252"/>
    <n v="10410"/>
    <n v="357"/>
    <x v="71"/>
    <x v="14"/>
    <x v="0"/>
    <x v="8"/>
    <n v="65"/>
    <n v="99.66"/>
    <n v="60.62"/>
    <n v="6477.9"/>
    <n v="3940.3"/>
    <n v="2537.6"/>
    <n v="3"/>
  </r>
  <r>
    <x v="252"/>
    <n v="10410"/>
    <n v="357"/>
    <x v="71"/>
    <x v="14"/>
    <x v="0"/>
    <x v="9"/>
    <n v="44"/>
    <n v="51.21"/>
    <n v="24.26"/>
    <n v="2253.2399999999998"/>
    <n v="1067.44"/>
    <n v="1185.8"/>
    <n v="3"/>
  </r>
  <r>
    <x v="252"/>
    <n v="10410"/>
    <n v="357"/>
    <x v="71"/>
    <x v="14"/>
    <x v="0"/>
    <x v="5"/>
    <n v="56"/>
    <n v="145.13"/>
    <n v="72.56"/>
    <n v="8127.28"/>
    <n v="4063.36"/>
    <n v="4063.92"/>
    <n v="3"/>
  </r>
  <r>
    <x v="252"/>
    <n v="10410"/>
    <n v="357"/>
    <x v="71"/>
    <x v="14"/>
    <x v="0"/>
    <x v="15"/>
    <n v="47"/>
    <n v="93.21"/>
    <n v="60.78"/>
    <n v="4380.87"/>
    <n v="2856.66"/>
    <n v="1524.21"/>
    <n v="3"/>
  </r>
  <r>
    <x v="252"/>
    <n v="10410"/>
    <n v="357"/>
    <x v="71"/>
    <x v="14"/>
    <x v="0"/>
    <x v="16"/>
    <n v="53"/>
    <n v="49.97"/>
    <n v="34.35"/>
    <n v="2648.41"/>
    <n v="1820.55"/>
    <n v="827.86"/>
    <n v="3"/>
  </r>
  <r>
    <x v="252"/>
    <n v="10410"/>
    <n v="357"/>
    <x v="71"/>
    <x v="14"/>
    <x v="0"/>
    <x v="17"/>
    <n v="34"/>
    <n v="84.82"/>
    <n v="60.74"/>
    <n v="2883.88"/>
    <n v="2065.16"/>
    <n v="818.72"/>
    <n v="3"/>
  </r>
  <r>
    <x v="252"/>
    <n v="10410"/>
    <n v="357"/>
    <x v="71"/>
    <x v="14"/>
    <x v="0"/>
    <x v="18"/>
    <n v="44"/>
    <n v="81.349999999999994"/>
    <n v="57.54"/>
    <n v="3579.4"/>
    <n v="2531.7600000000002"/>
    <n v="1047.6400000000001"/>
    <n v="3"/>
  </r>
  <r>
    <x v="252"/>
    <n v="10410"/>
    <n v="357"/>
    <x v="71"/>
    <x v="14"/>
    <x v="0"/>
    <x v="7"/>
    <n v="31"/>
    <n v="42.56"/>
    <n v="20.61"/>
    <n v="1319.36"/>
    <n v="638.91"/>
    <n v="680.45"/>
    <n v="3"/>
  </r>
  <r>
    <x v="252"/>
    <n v="10410"/>
    <n v="357"/>
    <x v="71"/>
    <x v="14"/>
    <x v="0"/>
    <x v="22"/>
    <n v="50"/>
    <n v="95.44"/>
    <n v="57.46"/>
    <n v="4772"/>
    <n v="2873"/>
    <n v="1899"/>
    <n v="3"/>
  </r>
  <r>
    <x v="253"/>
    <n v="10411"/>
    <n v="233"/>
    <x v="56"/>
    <x v="16"/>
    <x v="1"/>
    <x v="10"/>
    <n v="23"/>
    <n v="205.73"/>
    <n v="98.58"/>
    <n v="4731.79"/>
    <n v="2267.34"/>
    <n v="2464.4499999999998"/>
    <n v="3"/>
  </r>
  <r>
    <x v="253"/>
    <n v="10411"/>
    <n v="233"/>
    <x v="56"/>
    <x v="16"/>
    <x v="1"/>
    <x v="11"/>
    <n v="27"/>
    <n v="144.79"/>
    <n v="103.42"/>
    <n v="3909.33"/>
    <n v="2792.34"/>
    <n v="1116.99"/>
    <n v="3"/>
  </r>
  <r>
    <x v="253"/>
    <n v="10411"/>
    <n v="233"/>
    <x v="56"/>
    <x v="16"/>
    <x v="2"/>
    <x v="12"/>
    <n v="40"/>
    <n v="110.7"/>
    <n v="77.900000000000006"/>
    <n v="4428"/>
    <n v="3116"/>
    <n v="1312"/>
    <n v="3"/>
  </r>
  <r>
    <x v="253"/>
    <n v="10411"/>
    <n v="233"/>
    <x v="56"/>
    <x v="16"/>
    <x v="2"/>
    <x v="13"/>
    <n v="27"/>
    <n v="109.67"/>
    <n v="58.33"/>
    <n v="2961.09"/>
    <n v="1574.91"/>
    <n v="1386.18"/>
    <n v="3"/>
  </r>
  <r>
    <x v="253"/>
    <n v="10411"/>
    <n v="233"/>
    <x v="56"/>
    <x v="16"/>
    <x v="2"/>
    <x v="19"/>
    <n v="46"/>
    <n v="106.55"/>
    <n v="84.76"/>
    <n v="4901.3"/>
    <n v="3898.96"/>
    <n v="1002.34"/>
    <n v="3"/>
  </r>
  <r>
    <x v="253"/>
    <n v="10411"/>
    <n v="233"/>
    <x v="56"/>
    <x v="16"/>
    <x v="0"/>
    <x v="20"/>
    <n v="35"/>
    <n v="41.25"/>
    <n v="23.14"/>
    <n v="1443.75"/>
    <n v="809.9"/>
    <n v="633.85"/>
    <n v="3"/>
  </r>
  <r>
    <x v="253"/>
    <n v="10411"/>
    <n v="233"/>
    <x v="56"/>
    <x v="16"/>
    <x v="2"/>
    <x v="23"/>
    <n v="26"/>
    <n v="78.010000000000005"/>
    <n v="53.93"/>
    <n v="2028.26"/>
    <n v="1402.18"/>
    <n v="626.08000000000004"/>
    <n v="3"/>
  </r>
  <r>
    <x v="253"/>
    <n v="10411"/>
    <n v="233"/>
    <x v="56"/>
    <x v="16"/>
    <x v="2"/>
    <x v="24"/>
    <n v="27"/>
    <n v="60.76"/>
    <n v="33.61"/>
    <n v="1640.52"/>
    <n v="907.47"/>
    <n v="733.05"/>
    <n v="3"/>
  </r>
  <r>
    <x v="253"/>
    <n v="10411"/>
    <n v="233"/>
    <x v="56"/>
    <x v="16"/>
    <x v="1"/>
    <x v="25"/>
    <n v="34"/>
    <n v="89.01"/>
    <n v="46.53"/>
    <n v="3026.34"/>
    <n v="1582.02"/>
    <n v="1444.32"/>
    <n v="3"/>
  </r>
  <r>
    <x v="254"/>
    <n v="10412"/>
    <n v="141"/>
    <x v="4"/>
    <x v="3"/>
    <x v="2"/>
    <x v="27"/>
    <n v="54"/>
    <n v="100.73"/>
    <n v="55.7"/>
    <n v="5439.42"/>
    <n v="3007.8"/>
    <n v="2431.62"/>
    <n v="23"/>
  </r>
  <r>
    <x v="254"/>
    <n v="10412"/>
    <n v="141"/>
    <x v="4"/>
    <x v="3"/>
    <x v="1"/>
    <x v="28"/>
    <n v="41"/>
    <n v="150.63"/>
    <n v="101.51"/>
    <n v="6175.83"/>
    <n v="4161.91"/>
    <n v="2013.92"/>
    <n v="23"/>
  </r>
  <r>
    <x v="254"/>
    <n v="10412"/>
    <n v="141"/>
    <x v="4"/>
    <x v="3"/>
    <x v="2"/>
    <x v="29"/>
    <n v="56"/>
    <n v="120.28"/>
    <n v="74.86"/>
    <n v="6735.68"/>
    <n v="4192.16"/>
    <n v="2543.52"/>
    <n v="23"/>
  </r>
  <r>
    <x v="254"/>
    <n v="10412"/>
    <n v="141"/>
    <x v="4"/>
    <x v="3"/>
    <x v="2"/>
    <x v="14"/>
    <n v="47"/>
    <n v="49.83"/>
    <n v="24.92"/>
    <n v="2342.0100000000002"/>
    <n v="1171.24"/>
    <n v="1170.77"/>
    <n v="23"/>
  </r>
  <r>
    <x v="254"/>
    <n v="10412"/>
    <n v="141"/>
    <x v="4"/>
    <x v="3"/>
    <x v="1"/>
    <x v="30"/>
    <n v="60"/>
    <n v="157.49"/>
    <n v="77.900000000000006"/>
    <n v="9449.4"/>
    <n v="4674"/>
    <n v="4775.3999999999996"/>
    <n v="23"/>
  </r>
  <r>
    <x v="254"/>
    <n v="10412"/>
    <n v="141"/>
    <x v="4"/>
    <x v="3"/>
    <x v="1"/>
    <x v="32"/>
    <n v="21"/>
    <n v="47.4"/>
    <n v="32.369999999999997"/>
    <n v="995.4"/>
    <n v="679.77"/>
    <n v="315.63"/>
    <n v="23"/>
  </r>
  <r>
    <x v="254"/>
    <n v="10412"/>
    <n v="141"/>
    <x v="4"/>
    <x v="3"/>
    <x v="2"/>
    <x v="21"/>
    <n v="70"/>
    <n v="109.9"/>
    <n v="61.34"/>
    <n v="7693"/>
    <n v="4293.8"/>
    <n v="3399.2"/>
    <n v="23"/>
  </r>
  <r>
    <x v="254"/>
    <n v="10412"/>
    <n v="141"/>
    <x v="4"/>
    <x v="3"/>
    <x v="1"/>
    <x v="33"/>
    <n v="30"/>
    <n v="32.880000000000003"/>
    <n v="15.91"/>
    <n v="986.4"/>
    <n v="477.3"/>
    <n v="509.1"/>
    <n v="23"/>
  </r>
  <r>
    <x v="254"/>
    <n v="10412"/>
    <n v="141"/>
    <x v="4"/>
    <x v="3"/>
    <x v="1"/>
    <x v="34"/>
    <n v="31"/>
    <n v="108.82"/>
    <n v="69.78"/>
    <n v="3373.42"/>
    <n v="2163.1799999999998"/>
    <n v="1210.24"/>
    <n v="23"/>
  </r>
  <r>
    <x v="254"/>
    <n v="10412"/>
    <n v="141"/>
    <x v="4"/>
    <x v="3"/>
    <x v="2"/>
    <x v="35"/>
    <n v="19"/>
    <n v="50.86"/>
    <n v="25.98"/>
    <n v="966.34"/>
    <n v="493.62"/>
    <n v="472.72"/>
    <n v="23"/>
  </r>
  <r>
    <x v="254"/>
    <n v="10412"/>
    <n v="141"/>
    <x v="4"/>
    <x v="3"/>
    <x v="2"/>
    <x v="37"/>
    <n v="26"/>
    <n v="105.33"/>
    <n v="68.290000000000006"/>
    <n v="2738.58"/>
    <n v="1775.54"/>
    <n v="963.04"/>
    <n v="23"/>
  </r>
  <r>
    <x v="255"/>
    <n v="10413"/>
    <n v="175"/>
    <x v="55"/>
    <x v="0"/>
    <x v="1"/>
    <x v="40"/>
    <n v="36"/>
    <n v="201.57"/>
    <n v="95.59"/>
    <n v="7256.52"/>
    <n v="3441.24"/>
    <n v="3815.28"/>
    <n v="3"/>
  </r>
  <r>
    <x v="255"/>
    <n v="10413"/>
    <n v="175"/>
    <x v="55"/>
    <x v="0"/>
    <x v="1"/>
    <x v="26"/>
    <n v="47"/>
    <n v="145.04"/>
    <n v="89.14"/>
    <n v="6816.88"/>
    <n v="4189.58"/>
    <n v="2627.3"/>
    <n v="3"/>
  </r>
  <r>
    <x v="255"/>
    <n v="10413"/>
    <n v="175"/>
    <x v="55"/>
    <x v="0"/>
    <x v="1"/>
    <x v="41"/>
    <n v="22"/>
    <n v="173.02"/>
    <n v="83.05"/>
    <n v="3806.44"/>
    <n v="1827.1"/>
    <n v="1979.34"/>
    <n v="3"/>
  </r>
  <r>
    <x v="255"/>
    <n v="10413"/>
    <n v="175"/>
    <x v="55"/>
    <x v="0"/>
    <x v="1"/>
    <x v="31"/>
    <n v="49"/>
    <n v="133.57"/>
    <n v="91.92"/>
    <n v="6544.93"/>
    <n v="4504.08"/>
    <n v="2040.85"/>
    <n v="3"/>
  </r>
  <r>
    <x v="255"/>
    <n v="10413"/>
    <n v="175"/>
    <x v="55"/>
    <x v="0"/>
    <x v="3"/>
    <x v="36"/>
    <n v="24"/>
    <n v="56.55"/>
    <n v="26.72"/>
    <n v="1357.2"/>
    <n v="641.28"/>
    <n v="715.92"/>
    <n v="3"/>
  </r>
  <r>
    <x v="255"/>
    <n v="10413"/>
    <n v="175"/>
    <x v="55"/>
    <x v="0"/>
    <x v="3"/>
    <x v="38"/>
    <n v="51"/>
    <n v="53.31"/>
    <n v="37.49"/>
    <n v="2718.81"/>
    <n v="1911.99"/>
    <n v="806.82"/>
    <n v="3"/>
  </r>
  <r>
    <x v="256"/>
    <n v="10414"/>
    <n v="362"/>
    <x v="91"/>
    <x v="0"/>
    <x v="1"/>
    <x v="39"/>
    <n v="49"/>
    <n v="114.24"/>
    <n v="85.68"/>
    <n v="5597.76"/>
    <n v="4198.32"/>
    <n v="1399.44"/>
    <n v="3"/>
  </r>
  <r>
    <x v="256"/>
    <n v="10414"/>
    <n v="362"/>
    <x v="91"/>
    <x v="0"/>
    <x v="4"/>
    <x v="56"/>
    <n v="44"/>
    <n v="77.42"/>
    <n v="51.61"/>
    <n v="3406.48"/>
    <n v="2270.84"/>
    <n v="1135.6400000000001"/>
    <n v="3"/>
  </r>
  <r>
    <x v="256"/>
    <n v="10414"/>
    <n v="362"/>
    <x v="91"/>
    <x v="0"/>
    <x v="0"/>
    <x v="42"/>
    <n v="41"/>
    <n v="128.38999999999999"/>
    <n v="68.3"/>
    <n v="5263.99"/>
    <n v="2800.3"/>
    <n v="2463.69"/>
    <n v="3"/>
  </r>
  <r>
    <x v="256"/>
    <n v="10414"/>
    <n v="362"/>
    <x v="91"/>
    <x v="0"/>
    <x v="3"/>
    <x v="43"/>
    <n v="48"/>
    <n v="85.71"/>
    <n v="67.56"/>
    <n v="4114.08"/>
    <n v="3242.88"/>
    <n v="871.2"/>
    <n v="3"/>
  </r>
  <r>
    <x v="256"/>
    <n v="10414"/>
    <n v="362"/>
    <x v="91"/>
    <x v="0"/>
    <x v="0"/>
    <x v="44"/>
    <n v="56"/>
    <n v="83.38"/>
    <n v="52.66"/>
    <n v="4669.28"/>
    <n v="2948.96"/>
    <n v="1720.32"/>
    <n v="3"/>
  </r>
  <r>
    <x v="256"/>
    <n v="10414"/>
    <n v="362"/>
    <x v="91"/>
    <x v="0"/>
    <x v="4"/>
    <x v="45"/>
    <n v="43"/>
    <n v="108.14"/>
    <n v="82.34"/>
    <n v="4650.0200000000004"/>
    <n v="3540.62"/>
    <n v="1109.4000000000001"/>
    <n v="3"/>
  </r>
  <r>
    <x v="256"/>
    <n v="10414"/>
    <n v="362"/>
    <x v="91"/>
    <x v="0"/>
    <x v="0"/>
    <x v="46"/>
    <n v="60"/>
    <n v="72.58"/>
    <n v="46.91"/>
    <n v="4354.8"/>
    <n v="2814.6"/>
    <n v="1540.2"/>
    <n v="3"/>
  </r>
  <r>
    <x v="256"/>
    <n v="10414"/>
    <n v="362"/>
    <x v="91"/>
    <x v="0"/>
    <x v="0"/>
    <x v="47"/>
    <n v="51"/>
    <n v="72.959999999999994"/>
    <n v="48.64"/>
    <n v="3720.96"/>
    <n v="2480.64"/>
    <n v="1240.32"/>
    <n v="3"/>
  </r>
  <r>
    <x v="256"/>
    <n v="10414"/>
    <n v="362"/>
    <x v="91"/>
    <x v="0"/>
    <x v="4"/>
    <x v="48"/>
    <n v="37"/>
    <n v="62"/>
    <n v="34"/>
    <n v="2294"/>
    <n v="1258"/>
    <n v="1036"/>
    <n v="3"/>
  </r>
  <r>
    <x v="256"/>
    <n v="10414"/>
    <n v="362"/>
    <x v="91"/>
    <x v="0"/>
    <x v="4"/>
    <x v="49"/>
    <n v="34"/>
    <n v="74.48"/>
    <n v="43.3"/>
    <n v="2532.3200000000002"/>
    <n v="1472.2"/>
    <n v="1060.1199999999999"/>
    <n v="3"/>
  </r>
  <r>
    <x v="256"/>
    <n v="10414"/>
    <n v="362"/>
    <x v="91"/>
    <x v="0"/>
    <x v="4"/>
    <x v="50"/>
    <n v="31"/>
    <n v="61.44"/>
    <n v="33.97"/>
    <n v="1904.64"/>
    <n v="1053.07"/>
    <n v="851.57"/>
    <n v="3"/>
  </r>
  <r>
    <x v="256"/>
    <n v="10414"/>
    <n v="362"/>
    <x v="91"/>
    <x v="0"/>
    <x v="4"/>
    <x v="51"/>
    <n v="28"/>
    <n v="84.14"/>
    <n v="51.09"/>
    <n v="2355.92"/>
    <n v="1430.52"/>
    <n v="925.4"/>
    <n v="3"/>
  </r>
  <r>
    <x v="256"/>
    <n v="10414"/>
    <n v="362"/>
    <x v="91"/>
    <x v="0"/>
    <x v="4"/>
    <x v="52"/>
    <n v="40"/>
    <n v="84.41"/>
    <n v="53.63"/>
    <n v="3376.4"/>
    <n v="2145.1999999999998"/>
    <n v="1231.2"/>
    <n v="3"/>
  </r>
  <r>
    <x v="256"/>
    <n v="10414"/>
    <n v="362"/>
    <x v="91"/>
    <x v="0"/>
    <x v="4"/>
    <x v="53"/>
    <n v="47"/>
    <n v="54.6"/>
    <n v="33.299999999999997"/>
    <n v="2566.1999999999998"/>
    <n v="1565.1"/>
    <n v="1001.1"/>
    <n v="3"/>
  </r>
  <r>
    <x v="257"/>
    <n v="10415"/>
    <n v="471"/>
    <x v="66"/>
    <x v="13"/>
    <x v="0"/>
    <x v="57"/>
    <n v="51"/>
    <n v="86.81"/>
    <n v="64.58"/>
    <n v="4427.3100000000004"/>
    <n v="3293.58"/>
    <n v="1133.73"/>
    <n v="3"/>
  </r>
  <r>
    <x v="257"/>
    <n v="10415"/>
    <n v="471"/>
    <x v="66"/>
    <x v="13"/>
    <x v="5"/>
    <x v="59"/>
    <n v="21"/>
    <n v="60.97"/>
    <n v="34.25"/>
    <n v="1280.3699999999999"/>
    <n v="719.25"/>
    <n v="561.12"/>
    <n v="3"/>
  </r>
  <r>
    <x v="257"/>
    <n v="10415"/>
    <n v="471"/>
    <x v="66"/>
    <x v="13"/>
    <x v="0"/>
    <x v="60"/>
    <n v="18"/>
    <n v="59.83"/>
    <n v="26.3"/>
    <n v="1076.94"/>
    <n v="473.4"/>
    <n v="603.54"/>
    <n v="3"/>
  </r>
  <r>
    <x v="257"/>
    <n v="10415"/>
    <n v="471"/>
    <x v="66"/>
    <x v="13"/>
    <x v="4"/>
    <x v="66"/>
    <n v="32"/>
    <n v="73.319999999999993"/>
    <n v="39.83"/>
    <n v="2346.2399999999998"/>
    <n v="1274.56"/>
    <n v="1071.68"/>
    <n v="3"/>
  </r>
  <r>
    <x v="257"/>
    <n v="10415"/>
    <n v="471"/>
    <x v="66"/>
    <x v="13"/>
    <x v="5"/>
    <x v="71"/>
    <n v="42"/>
    <n v="43.2"/>
    <n v="32.770000000000003"/>
    <n v="1814.4"/>
    <n v="1376.34"/>
    <n v="438.06"/>
    <n v="3"/>
  </r>
  <r>
    <x v="258"/>
    <n v="10416"/>
    <n v="386"/>
    <x v="57"/>
    <x v="5"/>
    <x v="5"/>
    <x v="54"/>
    <n v="24"/>
    <n v="129.31"/>
    <n v="77.27"/>
    <n v="3103.44"/>
    <n v="1854.48"/>
    <n v="1248.96"/>
    <n v="3"/>
  </r>
  <r>
    <x v="258"/>
    <n v="10416"/>
    <n v="386"/>
    <x v="57"/>
    <x v="5"/>
    <x v="5"/>
    <x v="55"/>
    <n v="15"/>
    <n v="70.959999999999994"/>
    <n v="49"/>
    <n v="1064.4000000000001"/>
    <n v="735"/>
    <n v="329.4"/>
    <n v="3"/>
  </r>
  <r>
    <x v="258"/>
    <n v="10416"/>
    <n v="386"/>
    <x v="57"/>
    <x v="5"/>
    <x v="5"/>
    <x v="58"/>
    <n v="47"/>
    <n v="90.82"/>
    <n v="66.739999999999995"/>
    <n v="4268.54"/>
    <n v="3136.78"/>
    <n v="1131.76"/>
    <n v="3"/>
  </r>
  <r>
    <x v="258"/>
    <n v="10416"/>
    <n v="386"/>
    <x v="57"/>
    <x v="5"/>
    <x v="6"/>
    <x v="78"/>
    <n v="32"/>
    <n v="62.46"/>
    <n v="37.32"/>
    <n v="1998.72"/>
    <n v="1194.24"/>
    <n v="804.48"/>
    <n v="3"/>
  </r>
  <r>
    <x v="258"/>
    <n v="10416"/>
    <n v="386"/>
    <x v="57"/>
    <x v="5"/>
    <x v="5"/>
    <x v="61"/>
    <n v="18"/>
    <n v="64.83"/>
    <n v="29.34"/>
    <n v="1166.94"/>
    <n v="528.12"/>
    <n v="638.82000000000005"/>
    <n v="3"/>
  </r>
  <r>
    <x v="258"/>
    <n v="10416"/>
    <n v="386"/>
    <x v="57"/>
    <x v="5"/>
    <x v="5"/>
    <x v="62"/>
    <n v="48"/>
    <n v="70.28"/>
    <n v="36.229999999999997"/>
    <n v="3373.44"/>
    <n v="1739.04"/>
    <n v="1634.4"/>
    <n v="3"/>
  </r>
  <r>
    <x v="258"/>
    <n v="10416"/>
    <n v="386"/>
    <x v="57"/>
    <x v="5"/>
    <x v="6"/>
    <x v="79"/>
    <n v="45"/>
    <n v="86.9"/>
    <n v="66.92"/>
    <n v="3910.5"/>
    <n v="3011.4"/>
    <n v="899.1"/>
    <n v="3"/>
  </r>
  <r>
    <x v="258"/>
    <n v="10416"/>
    <n v="386"/>
    <x v="57"/>
    <x v="5"/>
    <x v="0"/>
    <x v="63"/>
    <n v="26"/>
    <n v="68.099999999999994"/>
    <n v="33.020000000000003"/>
    <n v="1770.6"/>
    <n v="858.52"/>
    <n v="912.08"/>
    <n v="3"/>
  </r>
  <r>
    <x v="258"/>
    <n v="10416"/>
    <n v="386"/>
    <x v="57"/>
    <x v="5"/>
    <x v="0"/>
    <x v="64"/>
    <n v="37"/>
    <n v="39.71"/>
    <n v="27.06"/>
    <n v="1469.27"/>
    <n v="1001.22"/>
    <n v="468.05"/>
    <n v="3"/>
  </r>
  <r>
    <x v="258"/>
    <n v="10416"/>
    <n v="386"/>
    <x v="57"/>
    <x v="5"/>
    <x v="5"/>
    <x v="65"/>
    <n v="23"/>
    <n v="88.6"/>
    <n v="51.15"/>
    <n v="2037.8"/>
    <n v="1176.45"/>
    <n v="861.35"/>
    <n v="3"/>
  </r>
  <r>
    <x v="258"/>
    <n v="10416"/>
    <n v="386"/>
    <x v="57"/>
    <x v="5"/>
    <x v="5"/>
    <x v="67"/>
    <n v="22"/>
    <n v="84.76"/>
    <n v="68.8"/>
    <n v="1864.72"/>
    <n v="1513.6"/>
    <n v="351.12"/>
    <n v="3"/>
  </r>
  <r>
    <x v="258"/>
    <n v="10416"/>
    <n v="386"/>
    <x v="57"/>
    <x v="5"/>
    <x v="5"/>
    <x v="68"/>
    <n v="41"/>
    <n v="98.48"/>
    <n v="59.33"/>
    <n v="4037.68"/>
    <n v="2432.5300000000002"/>
    <n v="1605.15"/>
    <n v="3"/>
  </r>
  <r>
    <x v="258"/>
    <n v="10416"/>
    <n v="386"/>
    <x v="57"/>
    <x v="5"/>
    <x v="5"/>
    <x v="69"/>
    <n v="39"/>
    <n v="65.599999999999994"/>
    <n v="54.4"/>
    <n v="2558.4"/>
    <n v="2121.6"/>
    <n v="436.8"/>
    <n v="3"/>
  </r>
  <r>
    <x v="258"/>
    <n v="10416"/>
    <n v="386"/>
    <x v="57"/>
    <x v="5"/>
    <x v="5"/>
    <x v="70"/>
    <n v="43"/>
    <n v="63.67"/>
    <n v="36.270000000000003"/>
    <n v="2737.81"/>
    <n v="1559.61"/>
    <n v="1178.2"/>
    <n v="3"/>
  </r>
  <r>
    <x v="259"/>
    <n v="10417"/>
    <n v="141"/>
    <x v="4"/>
    <x v="3"/>
    <x v="6"/>
    <x v="72"/>
    <n v="66"/>
    <n v="79.430000000000007"/>
    <n v="48.81"/>
    <n v="5242.38"/>
    <n v="3221.46"/>
    <n v="2020.92"/>
    <n v="24"/>
  </r>
  <r>
    <x v="259"/>
    <n v="10417"/>
    <n v="141"/>
    <x v="4"/>
    <x v="3"/>
    <x v="6"/>
    <x v="73"/>
    <n v="45"/>
    <n v="116.56"/>
    <n v="68.989999999999995"/>
    <n v="5245.2"/>
    <n v="3104.55"/>
    <n v="2140.65"/>
    <n v="24"/>
  </r>
  <r>
    <x v="259"/>
    <n v="10417"/>
    <n v="141"/>
    <x v="4"/>
    <x v="3"/>
    <x v="6"/>
    <x v="74"/>
    <n v="56"/>
    <n v="162.66999999999999"/>
    <n v="91.02"/>
    <n v="9109.52"/>
    <n v="5097.12"/>
    <n v="4012.4"/>
    <n v="24"/>
  </r>
  <r>
    <x v="259"/>
    <n v="10417"/>
    <n v="141"/>
    <x v="4"/>
    <x v="3"/>
    <x v="6"/>
    <x v="75"/>
    <n v="21"/>
    <n v="144.6"/>
    <n v="66.27"/>
    <n v="3036.6"/>
    <n v="1391.67"/>
    <n v="1644.93"/>
    <n v="24"/>
  </r>
  <r>
    <x v="259"/>
    <n v="10417"/>
    <n v="141"/>
    <x v="4"/>
    <x v="3"/>
    <x v="6"/>
    <x v="76"/>
    <n v="36"/>
    <n v="58.75"/>
    <n v="24.23"/>
    <n v="2115"/>
    <n v="872.28"/>
    <n v="1242.72"/>
    <n v="24"/>
  </r>
  <r>
    <x v="259"/>
    <n v="10417"/>
    <n v="141"/>
    <x v="4"/>
    <x v="3"/>
    <x v="6"/>
    <x v="77"/>
    <n v="35"/>
    <n v="109.32"/>
    <n v="60.86"/>
    <n v="3826.2"/>
    <n v="2130.1"/>
    <n v="1696.1"/>
    <n v="24"/>
  </r>
  <r>
    <x v="260"/>
    <n v="10418"/>
    <n v="412"/>
    <x v="85"/>
    <x v="14"/>
    <x v="1"/>
    <x v="85"/>
    <n v="16"/>
    <n v="70.760000000000005"/>
    <n v="49.05"/>
    <n v="1132.1600000000001"/>
    <n v="784.8"/>
    <n v="347.36"/>
    <n v="3"/>
  </r>
  <r>
    <x v="260"/>
    <n v="10418"/>
    <n v="412"/>
    <x v="85"/>
    <x v="14"/>
    <x v="1"/>
    <x v="86"/>
    <n v="27"/>
    <n v="139.63999999999999"/>
    <n v="73.489999999999995"/>
    <n v="3770.28"/>
    <n v="1984.23"/>
    <n v="1786.05"/>
    <n v="3"/>
  </r>
  <r>
    <x v="260"/>
    <n v="10418"/>
    <n v="412"/>
    <x v="85"/>
    <x v="14"/>
    <x v="6"/>
    <x v="87"/>
    <n v="33"/>
    <n v="56.57"/>
    <n v="32.950000000000003"/>
    <n v="1866.81"/>
    <n v="1087.3499999999999"/>
    <n v="779.46"/>
    <n v="3"/>
  </r>
  <r>
    <x v="260"/>
    <n v="10418"/>
    <n v="412"/>
    <x v="85"/>
    <x v="14"/>
    <x v="1"/>
    <x v="88"/>
    <n v="28"/>
    <n v="120.53"/>
    <n v="69.930000000000007"/>
    <n v="3374.84"/>
    <n v="1958.04"/>
    <n v="1416.8"/>
    <n v="3"/>
  </r>
  <r>
    <x v="260"/>
    <n v="10418"/>
    <n v="412"/>
    <x v="85"/>
    <x v="14"/>
    <x v="6"/>
    <x v="89"/>
    <n v="52"/>
    <n v="64.41"/>
    <n v="47.1"/>
    <n v="3349.32"/>
    <n v="2449.1999999999998"/>
    <n v="900.12"/>
    <n v="3"/>
  </r>
  <r>
    <x v="260"/>
    <n v="10418"/>
    <n v="412"/>
    <x v="85"/>
    <x v="14"/>
    <x v="1"/>
    <x v="92"/>
    <n v="10"/>
    <n v="66.290000000000006"/>
    <n v="32.33"/>
    <n v="662.9"/>
    <n v="323.3"/>
    <n v="339.6"/>
    <n v="3"/>
  </r>
  <r>
    <x v="260"/>
    <n v="10418"/>
    <n v="412"/>
    <x v="85"/>
    <x v="14"/>
    <x v="6"/>
    <x v="93"/>
    <n v="43"/>
    <n v="36.61"/>
    <n v="24.14"/>
    <n v="1574.23"/>
    <n v="1038.02"/>
    <n v="536.21"/>
    <n v="3"/>
  </r>
  <r>
    <x v="260"/>
    <n v="10418"/>
    <n v="412"/>
    <x v="85"/>
    <x v="14"/>
    <x v="6"/>
    <x v="94"/>
    <n v="50"/>
    <n v="100.01"/>
    <n v="56.13"/>
    <n v="5000.5"/>
    <n v="2806.5"/>
    <n v="2194"/>
    <n v="3"/>
  </r>
  <r>
    <x v="260"/>
    <n v="10418"/>
    <n v="412"/>
    <x v="85"/>
    <x v="14"/>
    <x v="6"/>
    <x v="95"/>
    <n v="40"/>
    <n v="72.41"/>
    <n v="34.17"/>
    <n v="2896.4"/>
    <n v="1366.8"/>
    <n v="1529.6"/>
    <n v="3"/>
  </r>
  <r>
    <x v="261"/>
    <n v="10419"/>
    <n v="382"/>
    <x v="19"/>
    <x v="12"/>
    <x v="1"/>
    <x v="80"/>
    <n v="12"/>
    <n v="182.9"/>
    <n v="95.34"/>
    <n v="2194.8000000000002"/>
    <n v="1144.08"/>
    <n v="1050.72"/>
    <n v="4"/>
  </r>
  <r>
    <x v="261"/>
    <n v="10419"/>
    <n v="382"/>
    <x v="19"/>
    <x v="12"/>
    <x v="1"/>
    <x v="81"/>
    <n v="10"/>
    <n v="111.57"/>
    <n v="75.16"/>
    <n v="1115.7"/>
    <n v="751.6"/>
    <n v="364.1"/>
    <n v="4"/>
  </r>
  <r>
    <x v="261"/>
    <n v="10419"/>
    <n v="382"/>
    <x v="19"/>
    <x v="12"/>
    <x v="1"/>
    <x v="82"/>
    <n v="34"/>
    <n v="64.64"/>
    <n v="31.92"/>
    <n v="2197.7600000000002"/>
    <n v="1085.28"/>
    <n v="1112.48"/>
    <n v="4"/>
  </r>
  <r>
    <x v="261"/>
    <n v="10419"/>
    <n v="382"/>
    <x v="19"/>
    <x v="12"/>
    <x v="1"/>
    <x v="83"/>
    <n v="32"/>
    <n v="99.04"/>
    <n v="58.73"/>
    <n v="3169.28"/>
    <n v="1879.36"/>
    <n v="1289.92"/>
    <n v="4"/>
  </r>
  <r>
    <x v="261"/>
    <n v="10419"/>
    <n v="382"/>
    <x v="19"/>
    <x v="12"/>
    <x v="1"/>
    <x v="96"/>
    <n v="38"/>
    <n v="117.48"/>
    <n v="83.51"/>
    <n v="4464.24"/>
    <n v="3173.38"/>
    <n v="1290.8599999999999"/>
    <n v="4"/>
  </r>
  <r>
    <x v="261"/>
    <n v="10419"/>
    <n v="382"/>
    <x v="19"/>
    <x v="12"/>
    <x v="1"/>
    <x v="101"/>
    <n v="37"/>
    <n v="100.8"/>
    <n v="65.959999999999994"/>
    <n v="3729.6"/>
    <n v="2440.52"/>
    <n v="1289.08"/>
    <n v="4"/>
  </r>
  <r>
    <x v="261"/>
    <n v="10419"/>
    <n v="382"/>
    <x v="19"/>
    <x v="12"/>
    <x v="1"/>
    <x v="84"/>
    <n v="39"/>
    <n v="67.760000000000005"/>
    <n v="53.9"/>
    <n v="2642.64"/>
    <n v="2102.1"/>
    <n v="540.54"/>
    <n v="4"/>
  </r>
  <r>
    <x v="261"/>
    <n v="10419"/>
    <n v="382"/>
    <x v="19"/>
    <x v="12"/>
    <x v="1"/>
    <x v="97"/>
    <n v="34"/>
    <n v="133.72"/>
    <n v="93.89"/>
    <n v="4546.4799999999996"/>
    <n v="3192.26"/>
    <n v="1354.22"/>
    <n v="4"/>
  </r>
  <r>
    <x v="261"/>
    <n v="10419"/>
    <n v="382"/>
    <x v="19"/>
    <x v="12"/>
    <x v="1"/>
    <x v="98"/>
    <n v="55"/>
    <n v="116.16"/>
    <n v="56.76"/>
    <n v="6388.8"/>
    <n v="3121.8"/>
    <n v="3267"/>
    <n v="4"/>
  </r>
  <r>
    <x v="261"/>
    <n v="10419"/>
    <n v="382"/>
    <x v="19"/>
    <x v="12"/>
    <x v="1"/>
    <x v="30"/>
    <n v="35"/>
    <n v="165.95"/>
    <n v="77.900000000000006"/>
    <n v="5808.25"/>
    <n v="2726.5"/>
    <n v="3081.75"/>
    <n v="4"/>
  </r>
  <r>
    <x v="261"/>
    <n v="10419"/>
    <n v="382"/>
    <x v="19"/>
    <x v="12"/>
    <x v="1"/>
    <x v="99"/>
    <n v="43"/>
    <n v="114.44"/>
    <n v="62.16"/>
    <n v="4920.92"/>
    <n v="2672.88"/>
    <n v="2248.04"/>
    <n v="4"/>
  </r>
  <r>
    <x v="261"/>
    <n v="10419"/>
    <n v="382"/>
    <x v="19"/>
    <x v="12"/>
    <x v="1"/>
    <x v="100"/>
    <n v="15"/>
    <n v="32.1"/>
    <n v="16.239999999999998"/>
    <n v="481.5"/>
    <n v="243.6"/>
    <n v="237.9"/>
    <n v="4"/>
  </r>
  <r>
    <x v="261"/>
    <n v="10419"/>
    <n v="382"/>
    <x v="19"/>
    <x v="12"/>
    <x v="1"/>
    <x v="90"/>
    <n v="55"/>
    <n v="52.66"/>
    <n v="38.58"/>
    <n v="2896.3"/>
    <n v="2121.9"/>
    <n v="774.4"/>
    <n v="4"/>
  </r>
  <r>
    <x v="261"/>
    <n v="10419"/>
    <n v="382"/>
    <x v="19"/>
    <x v="12"/>
    <x v="1"/>
    <x v="91"/>
    <n v="70"/>
    <n v="112.34"/>
    <n v="98.3"/>
    <n v="7863.8"/>
    <n v="6881"/>
    <n v="982.8"/>
    <n v="4"/>
  </r>
  <r>
    <x v="262"/>
    <n v="10420"/>
    <n v="282"/>
    <x v="34"/>
    <x v="13"/>
    <x v="0"/>
    <x v="0"/>
    <n v="37"/>
    <n v="153"/>
    <n v="86.7"/>
    <n v="5661"/>
    <n v="3207.9"/>
    <n v="2453.1"/>
    <n v="4"/>
  </r>
  <r>
    <x v="262"/>
    <n v="10420"/>
    <n v="282"/>
    <x v="34"/>
    <x v="13"/>
    <x v="0"/>
    <x v="1"/>
    <n v="36"/>
    <n v="52.06"/>
    <n v="33.299999999999997"/>
    <n v="1874.16"/>
    <n v="1198.8"/>
    <n v="675.36"/>
    <n v="4"/>
  </r>
  <r>
    <x v="262"/>
    <n v="10420"/>
    <n v="282"/>
    <x v="34"/>
    <x v="13"/>
    <x v="0"/>
    <x v="4"/>
    <n v="45"/>
    <n v="116.96"/>
    <n v="58.48"/>
    <n v="5263.2"/>
    <n v="2631.6"/>
    <n v="2631.6"/>
    <n v="4"/>
  </r>
  <r>
    <x v="262"/>
    <n v="10420"/>
    <n v="282"/>
    <x v="34"/>
    <x v="13"/>
    <x v="0"/>
    <x v="2"/>
    <n v="66"/>
    <n v="73.62"/>
    <n v="43.26"/>
    <n v="4858.92"/>
    <n v="2855.16"/>
    <n v="2003.76"/>
    <n v="4"/>
  </r>
  <r>
    <x v="262"/>
    <n v="10420"/>
    <n v="282"/>
    <x v="34"/>
    <x v="13"/>
    <x v="1"/>
    <x v="102"/>
    <n v="36"/>
    <n v="68.42"/>
    <n v="34.21"/>
    <n v="2463.12"/>
    <n v="1231.56"/>
    <n v="1231.56"/>
    <n v="4"/>
  </r>
  <r>
    <x v="262"/>
    <n v="10420"/>
    <n v="282"/>
    <x v="34"/>
    <x v="13"/>
    <x v="1"/>
    <x v="103"/>
    <n v="60"/>
    <n v="60.26"/>
    <n v="49.24"/>
    <n v="3615.6"/>
    <n v="2954.4"/>
    <n v="661.2"/>
    <n v="4"/>
  </r>
  <r>
    <x v="262"/>
    <n v="10420"/>
    <n v="282"/>
    <x v="34"/>
    <x v="13"/>
    <x v="1"/>
    <x v="104"/>
    <n v="37"/>
    <n v="48.8"/>
    <n v="29.18"/>
    <n v="1805.6"/>
    <n v="1079.6600000000001"/>
    <n v="725.94"/>
    <n v="4"/>
  </r>
  <r>
    <x v="262"/>
    <n v="10420"/>
    <n v="282"/>
    <x v="34"/>
    <x v="13"/>
    <x v="0"/>
    <x v="6"/>
    <n v="45"/>
    <n v="32.19"/>
    <n v="22.57"/>
    <n v="1448.55"/>
    <n v="1015.65"/>
    <n v="432.9"/>
    <n v="4"/>
  </r>
  <r>
    <x v="262"/>
    <n v="10420"/>
    <n v="282"/>
    <x v="34"/>
    <x v="13"/>
    <x v="1"/>
    <x v="105"/>
    <n v="39"/>
    <n v="76.33"/>
    <n v="47.25"/>
    <n v="2976.87"/>
    <n v="1842.75"/>
    <n v="1134.1199999999999"/>
    <n v="4"/>
  </r>
  <r>
    <x v="262"/>
    <n v="10420"/>
    <n v="282"/>
    <x v="34"/>
    <x v="13"/>
    <x v="1"/>
    <x v="106"/>
    <n v="55"/>
    <n v="115.09"/>
    <n v="72.819999999999993"/>
    <n v="6329.95"/>
    <n v="4005.1"/>
    <n v="2324.85"/>
    <n v="4"/>
  </r>
  <r>
    <x v="262"/>
    <n v="10420"/>
    <n v="282"/>
    <x v="34"/>
    <x v="13"/>
    <x v="1"/>
    <x v="107"/>
    <n v="35"/>
    <n v="77.05"/>
    <n v="50.51"/>
    <n v="2696.75"/>
    <n v="1767.85"/>
    <n v="928.9"/>
    <n v="4"/>
  </r>
  <r>
    <x v="262"/>
    <n v="10420"/>
    <n v="282"/>
    <x v="34"/>
    <x v="13"/>
    <x v="1"/>
    <x v="108"/>
    <n v="26"/>
    <n v="104.94"/>
    <n v="62.11"/>
    <n v="2728.44"/>
    <n v="1614.86"/>
    <n v="1113.58"/>
    <n v="4"/>
  </r>
  <r>
    <x v="262"/>
    <n v="10420"/>
    <n v="282"/>
    <x v="34"/>
    <x v="13"/>
    <x v="0"/>
    <x v="3"/>
    <n v="15"/>
    <n v="35.29"/>
    <n v="21.75"/>
    <n v="529.35"/>
    <n v="326.25"/>
    <n v="203.1"/>
    <n v="4"/>
  </r>
  <r>
    <x v="262"/>
    <n v="10421"/>
    <n v="124"/>
    <x v="13"/>
    <x v="0"/>
    <x v="0"/>
    <x v="5"/>
    <n v="35"/>
    <n v="167.06"/>
    <n v="72.56"/>
    <n v="5847.1"/>
    <n v="2539.6"/>
    <n v="3307.5"/>
    <n v="17"/>
  </r>
  <r>
    <x v="262"/>
    <n v="10421"/>
    <n v="124"/>
    <x v="13"/>
    <x v="0"/>
    <x v="0"/>
    <x v="7"/>
    <n v="40"/>
    <n v="44.8"/>
    <n v="20.61"/>
    <n v="1792"/>
    <n v="824.4"/>
    <n v="967.6"/>
    <n v="17"/>
  </r>
  <r>
    <x v="263"/>
    <n v="10422"/>
    <n v="157"/>
    <x v="92"/>
    <x v="0"/>
    <x v="0"/>
    <x v="8"/>
    <n v="51"/>
    <n v="91.44"/>
    <n v="60.62"/>
    <n v="4663.4399999999996"/>
    <n v="3091.62"/>
    <n v="1571.82"/>
    <n v="4"/>
  </r>
  <r>
    <x v="263"/>
    <n v="10422"/>
    <n v="157"/>
    <x v="92"/>
    <x v="0"/>
    <x v="0"/>
    <x v="9"/>
    <n v="25"/>
    <n v="47.44"/>
    <n v="24.26"/>
    <n v="1186"/>
    <n v="606.5"/>
    <n v="579.5"/>
    <n v="4"/>
  </r>
  <r>
    <x v="263"/>
    <n v="10423"/>
    <n v="314"/>
    <x v="79"/>
    <x v="10"/>
    <x v="0"/>
    <x v="15"/>
    <n v="10"/>
    <n v="89.15"/>
    <n v="60.78"/>
    <n v="891.5"/>
    <n v="607.79999999999995"/>
    <n v="283.7"/>
    <n v="3"/>
  </r>
  <r>
    <x v="263"/>
    <n v="10423"/>
    <n v="314"/>
    <x v="79"/>
    <x v="10"/>
    <x v="0"/>
    <x v="16"/>
    <n v="31"/>
    <n v="56.21"/>
    <n v="34.35"/>
    <n v="1742.51"/>
    <n v="1064.8499999999999"/>
    <n v="677.66"/>
    <n v="3"/>
  </r>
  <r>
    <x v="263"/>
    <n v="10423"/>
    <n v="314"/>
    <x v="79"/>
    <x v="10"/>
    <x v="0"/>
    <x v="17"/>
    <n v="21"/>
    <n v="98.44"/>
    <n v="60.74"/>
    <n v="2067.2399999999998"/>
    <n v="1275.54"/>
    <n v="791.7"/>
    <n v="3"/>
  </r>
  <r>
    <x v="263"/>
    <n v="10423"/>
    <n v="314"/>
    <x v="79"/>
    <x v="10"/>
    <x v="0"/>
    <x v="18"/>
    <n v="21"/>
    <n v="80.36"/>
    <n v="57.54"/>
    <n v="1687.56"/>
    <n v="1208.3399999999999"/>
    <n v="479.22"/>
    <n v="3"/>
  </r>
  <r>
    <x v="263"/>
    <n v="10423"/>
    <n v="314"/>
    <x v="79"/>
    <x v="10"/>
    <x v="0"/>
    <x v="22"/>
    <n v="28"/>
    <n v="78.89"/>
    <n v="57.46"/>
    <n v="2208.92"/>
    <n v="1608.88"/>
    <n v="600.04"/>
    <n v="3"/>
  </r>
  <r>
    <x v="264"/>
    <n v="10425"/>
    <n v="119"/>
    <x v="93"/>
    <x v="9"/>
    <x v="1"/>
    <x v="11"/>
    <n v="38"/>
    <n v="131.49"/>
    <n v="103.42"/>
    <n v="4996.62"/>
    <n v="3929.96"/>
    <n v="1066.6600000000001"/>
    <n v="4"/>
  </r>
  <r>
    <x v="264"/>
    <n v="10425"/>
    <n v="119"/>
    <x v="93"/>
    <x v="9"/>
    <x v="2"/>
    <x v="27"/>
    <n v="33"/>
    <n v="95.99"/>
    <n v="55.7"/>
    <n v="3167.67"/>
    <n v="1838.1"/>
    <n v="1329.57"/>
    <n v="4"/>
  </r>
  <r>
    <x v="264"/>
    <n v="10425"/>
    <n v="119"/>
    <x v="93"/>
    <x v="9"/>
    <x v="1"/>
    <x v="28"/>
    <n v="28"/>
    <n v="147.36000000000001"/>
    <n v="101.51"/>
    <n v="4126.08"/>
    <n v="2842.28"/>
    <n v="1283.8"/>
    <n v="4"/>
  </r>
  <r>
    <x v="264"/>
    <n v="10425"/>
    <n v="119"/>
    <x v="93"/>
    <x v="9"/>
    <x v="2"/>
    <x v="29"/>
    <n v="38"/>
    <n v="117.82"/>
    <n v="74.86"/>
    <n v="4477.16"/>
    <n v="2844.68"/>
    <n v="1632.48"/>
    <n v="4"/>
  </r>
  <r>
    <x v="264"/>
    <n v="10425"/>
    <n v="119"/>
    <x v="93"/>
    <x v="9"/>
    <x v="2"/>
    <x v="14"/>
    <n v="19"/>
    <n v="48.62"/>
    <n v="24.92"/>
    <n v="923.78"/>
    <n v="473.48"/>
    <n v="450.3"/>
    <n v="4"/>
  </r>
  <r>
    <x v="264"/>
    <n v="10425"/>
    <n v="119"/>
    <x v="93"/>
    <x v="9"/>
    <x v="1"/>
    <x v="30"/>
    <n v="28"/>
    <n v="140.55000000000001"/>
    <n v="77.900000000000006"/>
    <n v="3935.4"/>
    <n v="2181.1999999999998"/>
    <n v="1754.2"/>
    <n v="4"/>
  </r>
  <r>
    <x v="264"/>
    <n v="10425"/>
    <n v="119"/>
    <x v="93"/>
    <x v="9"/>
    <x v="2"/>
    <x v="19"/>
    <n v="38"/>
    <n v="107.76"/>
    <n v="84.76"/>
    <n v="4094.88"/>
    <n v="3220.88"/>
    <n v="874"/>
    <n v="4"/>
  </r>
  <r>
    <x v="264"/>
    <n v="10425"/>
    <n v="119"/>
    <x v="93"/>
    <x v="9"/>
    <x v="1"/>
    <x v="32"/>
    <n v="55"/>
    <n v="53.75"/>
    <n v="32.369999999999997"/>
    <n v="2956.25"/>
    <n v="1780.35"/>
    <n v="1175.9000000000001"/>
    <n v="4"/>
  </r>
  <r>
    <x v="264"/>
    <n v="10425"/>
    <n v="119"/>
    <x v="93"/>
    <x v="9"/>
    <x v="2"/>
    <x v="21"/>
    <n v="49"/>
    <n v="127.79"/>
    <n v="61.34"/>
    <n v="6261.71"/>
    <n v="3005.66"/>
    <n v="3256.05"/>
    <n v="4"/>
  </r>
  <r>
    <x v="264"/>
    <n v="10425"/>
    <n v="119"/>
    <x v="93"/>
    <x v="9"/>
    <x v="1"/>
    <x v="33"/>
    <n v="31"/>
    <n v="31.82"/>
    <n v="15.91"/>
    <n v="986.42"/>
    <n v="493.21"/>
    <n v="493.21"/>
    <n v="4"/>
  </r>
  <r>
    <x v="264"/>
    <n v="10425"/>
    <n v="119"/>
    <x v="93"/>
    <x v="9"/>
    <x v="2"/>
    <x v="23"/>
    <n v="41"/>
    <n v="83.79"/>
    <n v="53.93"/>
    <n v="3435.39"/>
    <n v="2211.13"/>
    <n v="1224.26"/>
    <n v="4"/>
  </r>
  <r>
    <x v="264"/>
    <n v="10425"/>
    <n v="119"/>
    <x v="93"/>
    <x v="9"/>
    <x v="2"/>
    <x v="35"/>
    <n v="11"/>
    <n v="50.32"/>
    <n v="25.98"/>
    <n v="553.52"/>
    <n v="285.77999999999997"/>
    <n v="267.74"/>
    <n v="4"/>
  </r>
  <r>
    <x v="264"/>
    <n v="10425"/>
    <n v="119"/>
    <x v="93"/>
    <x v="9"/>
    <x v="2"/>
    <x v="37"/>
    <n v="18"/>
    <n v="94.92"/>
    <n v="68.290000000000006"/>
    <n v="1708.56"/>
    <n v="1229.22"/>
    <n v="479.34"/>
    <n v="4"/>
  </r>
  <r>
    <x v="264"/>
    <n v="10424"/>
    <n v="141"/>
    <x v="4"/>
    <x v="3"/>
    <x v="1"/>
    <x v="10"/>
    <n v="50"/>
    <n v="201.44"/>
    <n v="98.58"/>
    <n v="10072"/>
    <n v="4929"/>
    <n v="5143"/>
    <n v="25"/>
  </r>
  <r>
    <x v="264"/>
    <n v="10424"/>
    <n v="141"/>
    <x v="4"/>
    <x v="3"/>
    <x v="2"/>
    <x v="12"/>
    <n v="49"/>
    <n v="121.64"/>
    <n v="77.900000000000006"/>
    <n v="5960.36"/>
    <n v="3817.1"/>
    <n v="2143.2600000000002"/>
    <n v="25"/>
  </r>
  <r>
    <x v="264"/>
    <n v="10424"/>
    <n v="141"/>
    <x v="4"/>
    <x v="3"/>
    <x v="2"/>
    <x v="13"/>
    <n v="54"/>
    <n v="108.5"/>
    <n v="58.33"/>
    <n v="5859"/>
    <n v="3149.82"/>
    <n v="2709.18"/>
    <n v="25"/>
  </r>
  <r>
    <x v="264"/>
    <n v="10424"/>
    <n v="141"/>
    <x v="4"/>
    <x v="3"/>
    <x v="0"/>
    <x v="20"/>
    <n v="26"/>
    <n v="40.25"/>
    <n v="23.14"/>
    <n v="1046.5"/>
    <n v="601.64"/>
    <n v="444.86"/>
    <n v="25"/>
  </r>
  <r>
    <x v="264"/>
    <n v="10424"/>
    <n v="141"/>
    <x v="4"/>
    <x v="3"/>
    <x v="2"/>
    <x v="24"/>
    <n v="44"/>
    <n v="54.94"/>
    <n v="33.61"/>
    <n v="2417.36"/>
    <n v="1478.84"/>
    <n v="938.52"/>
    <n v="25"/>
  </r>
  <r>
    <x v="264"/>
    <n v="10424"/>
    <n v="141"/>
    <x v="4"/>
    <x v="3"/>
    <x v="1"/>
    <x v="25"/>
    <n v="46"/>
    <n v="85.98"/>
    <n v="46.53"/>
    <n v="3955.08"/>
    <n v="2140.38"/>
    <n v="1814.7"/>
    <n v="2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A6D84CB-08A0-409D-B9F6-A564C90AE7E0}" name="PivotTable4" cacheId="0" dataOnRows="1" applyNumberFormats="0" applyBorderFormats="0" applyFontFormats="0" applyPatternFormats="0" applyAlignmentFormats="0" applyWidthHeightFormats="1" dataCaption="Key metrics Values" updatedVersion="8" minRefreshableVersion="3" useAutoFormatting="1" itemPrintTitles="1" createdVersion="8" indent="0" outline="1" outlineData="1" multipleFieldFilters="0">
  <location ref="A3:B6" firstHeaderRow="1" firstDataRow="1"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showAll="0"/>
    <pivotField showAll="0">
      <items count="23">
        <item x="13"/>
        <item x="12"/>
        <item x="10"/>
        <item x="16"/>
        <item x="4"/>
        <item x="15"/>
        <item x="9"/>
        <item x="1"/>
        <item x="17"/>
        <item x="19"/>
        <item x="5"/>
        <item x="18"/>
        <item x="14"/>
        <item x="2"/>
        <item m="1" x="21"/>
        <item x="6"/>
        <item x="11"/>
        <item x="3"/>
        <item x="8"/>
        <item x="20"/>
        <item x="7"/>
        <item x="0"/>
        <item t="default"/>
      </items>
    </pivotField>
    <pivotField showAll="0"/>
    <pivotField showAll="0"/>
    <pivotField dataField="1" showAll="0"/>
    <pivotField numFmtId="164" showAll="0"/>
    <pivotField numFmtId="164" showAll="0"/>
    <pivotField dataField="1" numFmtId="164" showAll="0"/>
    <pivotField numFmtId="164"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2"/>
  </rowFields>
  <rowItems count="3">
    <i>
      <x/>
    </i>
    <i i="1">
      <x v="1"/>
    </i>
    <i i="2">
      <x v="2"/>
    </i>
  </rowItems>
  <colItems count="1">
    <i/>
  </colItems>
  <dataFields count="3">
    <dataField name="Total Profit" fld="12" baseField="0" baseItem="0" numFmtId="164"/>
    <dataField name="Sum of Sales" fld="10" baseField="0" baseItem="0" numFmtId="164"/>
    <dataField name="Sum of quantityOrdered"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E57A120-5280-4786-AEBB-DF538A30E33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102:B108" firstHeaderRow="1" firstDataRow="1"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axis="axisRow" showAll="0" measureFilter="1">
      <items count="99">
        <item x="32"/>
        <item x="95"/>
        <item x="40"/>
        <item x="23"/>
        <item x="66"/>
        <item x="20"/>
        <item x="43"/>
        <item x="76"/>
        <item x="75"/>
        <item x="29"/>
        <item x="10"/>
        <item x="3"/>
        <item x="97"/>
        <item x="1"/>
        <item x="44"/>
        <item x="58"/>
        <item x="82"/>
        <item x="72"/>
        <item x="61"/>
        <item x="15"/>
        <item x="78"/>
        <item x="80"/>
        <item x="39"/>
        <item x="49"/>
        <item x="25"/>
        <item x="8"/>
        <item x="59"/>
        <item x="5"/>
        <item x="92"/>
        <item x="73"/>
        <item x="63"/>
        <item x="30"/>
        <item x="17"/>
        <item x="18"/>
        <item x="4"/>
        <item x="85"/>
        <item x="48"/>
        <item x="53"/>
        <item x="55"/>
        <item x="28"/>
        <item x="91"/>
        <item x="83"/>
        <item x="71"/>
        <item x="77"/>
        <item x="51"/>
        <item x="60"/>
        <item x="62"/>
        <item x="33"/>
        <item x="64"/>
        <item x="14"/>
        <item x="93"/>
        <item x="7"/>
        <item x="57"/>
        <item x="31"/>
        <item x="22"/>
        <item x="96"/>
        <item x="50"/>
        <item x="88"/>
        <item x="52"/>
        <item x="87"/>
        <item x="67"/>
        <item x="37"/>
        <item x="13"/>
        <item x="12"/>
        <item x="9"/>
        <item x="26"/>
        <item x="45"/>
        <item x="0"/>
        <item x="94"/>
        <item x="74"/>
        <item x="42"/>
        <item x="79"/>
        <item x="56"/>
        <item x="21"/>
        <item x="6"/>
        <item x="86"/>
        <item x="16"/>
        <item x="19"/>
        <item x="68"/>
        <item x="54"/>
        <item x="41"/>
        <item x="24"/>
        <item x="34"/>
        <item x="27"/>
        <item x="36"/>
        <item x="69"/>
        <item x="35"/>
        <item x="84"/>
        <item x="89"/>
        <item x="90"/>
        <item x="65"/>
        <item x="46"/>
        <item x="38"/>
        <item x="47"/>
        <item x="81"/>
        <item x="2"/>
        <item x="11"/>
        <item x="70"/>
        <item t="default"/>
      </items>
    </pivotField>
    <pivotField showAll="0">
      <items count="23">
        <item x="13"/>
        <item x="12"/>
        <item x="10"/>
        <item x="16"/>
        <item x="4"/>
        <item x="15"/>
        <item x="9"/>
        <item x="1"/>
        <item x="17"/>
        <item x="19"/>
        <item x="5"/>
        <item x="18"/>
        <item x="14"/>
        <item x="2"/>
        <item m="1" x="21"/>
        <item x="6"/>
        <item x="11"/>
        <item x="3"/>
        <item x="8"/>
        <item x="20"/>
        <item x="7"/>
        <item x="0"/>
        <item t="default"/>
      </items>
    </pivotField>
    <pivotField showAll="0"/>
    <pivotField showAll="0"/>
    <pivotField showAll="0"/>
    <pivotField numFmtId="164" showAll="0"/>
    <pivotField numFmtId="164" showAll="0"/>
    <pivotField numFmtId="164" showAll="0"/>
    <pivotField numFmtId="164" showAll="0"/>
    <pivotField numFmtId="164" showAll="0"/>
    <pivotField dataField="1" showAll="0"/>
    <pivotField showAll="0" defaultSubtotal="0">
      <items count="14">
        <item x="0"/>
        <item x="1"/>
        <item x="2"/>
        <item x="3"/>
        <item x="4"/>
        <item x="5"/>
        <item x="6"/>
        <item x="7"/>
        <item x="8"/>
        <item x="9"/>
        <item x="10"/>
        <item x="11"/>
        <item x="12"/>
        <item x="13"/>
      </items>
    </pivotField>
    <pivotField showAll="0" defaultSubtotal="0"/>
    <pivotField showAll="0" defaultSubtotal="0">
      <items count="5">
        <item x="0"/>
        <item x="1"/>
        <item x="2"/>
        <item x="3"/>
        <item x="4"/>
      </items>
    </pivotField>
  </pivotFields>
  <rowFields count="1">
    <field x="3"/>
  </rowFields>
  <rowItems count="6">
    <i>
      <x v="5"/>
    </i>
    <i>
      <x v="10"/>
    </i>
    <i>
      <x v="34"/>
    </i>
    <i>
      <x v="50"/>
    </i>
    <i>
      <x v="62"/>
    </i>
    <i t="grand">
      <x/>
    </i>
  </rowItems>
  <colItems count="1">
    <i/>
  </colItems>
  <dataFields count="1">
    <dataField name="Count of purchaseNumber" fld="13" subtotal="count" baseField="3"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387C7A-7215-4DE7-A546-DD5392F5CE4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24:B35" firstHeaderRow="1" firstDataRow="1"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showAll="0"/>
    <pivotField showAll="0">
      <items count="23">
        <item x="13"/>
        <item x="12"/>
        <item x="10"/>
        <item x="16"/>
        <item x="4"/>
        <item x="15"/>
        <item x="9"/>
        <item x="1"/>
        <item x="17"/>
        <item x="19"/>
        <item x="5"/>
        <item x="18"/>
        <item x="14"/>
        <item x="2"/>
        <item m="1" x="21"/>
        <item x="6"/>
        <item x="11"/>
        <item x="3"/>
        <item x="8"/>
        <item x="20"/>
        <item x="7"/>
        <item x="0"/>
        <item t="default"/>
      </items>
    </pivotField>
    <pivotField showAll="0"/>
    <pivotField axis="axisRow" showAll="0" measureFilter="1">
      <items count="110">
        <item x="45"/>
        <item x="17"/>
        <item x="59"/>
        <item x="62"/>
        <item x="42"/>
        <item x="44"/>
        <item x="1"/>
        <item x="46"/>
        <item x="15"/>
        <item x="0"/>
        <item x="18"/>
        <item x="14"/>
        <item x="58"/>
        <item x="63"/>
        <item x="5"/>
        <item x="64"/>
        <item x="2"/>
        <item x="4"/>
        <item x="16"/>
        <item x="22"/>
        <item x="76"/>
        <item x="3"/>
        <item x="9"/>
        <item x="60"/>
        <item x="8"/>
        <item x="7"/>
        <item x="20"/>
        <item x="6"/>
        <item x="47"/>
        <item x="13"/>
        <item x="19"/>
        <item x="57"/>
        <item x="84"/>
        <item x="99"/>
        <item x="105"/>
        <item x="36"/>
        <item x="10"/>
        <item x="106"/>
        <item x="35"/>
        <item x="91"/>
        <item x="27"/>
        <item x="88"/>
        <item x="102"/>
        <item x="87"/>
        <item x="33"/>
        <item x="12"/>
        <item x="78"/>
        <item x="92"/>
        <item x="38"/>
        <item x="11"/>
        <item x="21"/>
        <item x="29"/>
        <item x="101"/>
        <item x="104"/>
        <item x="81"/>
        <item x="80"/>
        <item x="107"/>
        <item x="26"/>
        <item x="83"/>
        <item x="85"/>
        <item x="41"/>
        <item x="72"/>
        <item x="103"/>
        <item x="32"/>
        <item x="82"/>
        <item x="31"/>
        <item x="90"/>
        <item x="39"/>
        <item x="94"/>
        <item x="86"/>
        <item x="23"/>
        <item x="54"/>
        <item x="25"/>
        <item x="89"/>
        <item x="93"/>
        <item x="100"/>
        <item x="30"/>
        <item x="34"/>
        <item x="96"/>
        <item x="97"/>
        <item x="73"/>
        <item x="24"/>
        <item x="79"/>
        <item x="77"/>
        <item x="28"/>
        <item x="98"/>
        <item x="56"/>
        <item x="40"/>
        <item x="108"/>
        <item x="75"/>
        <item x="95"/>
        <item x="74"/>
        <item x="67"/>
        <item x="65"/>
        <item x="70"/>
        <item x="68"/>
        <item x="71"/>
        <item x="43"/>
        <item x="61"/>
        <item x="37"/>
        <item x="69"/>
        <item x="66"/>
        <item x="55"/>
        <item x="53"/>
        <item x="49"/>
        <item x="52"/>
        <item x="48"/>
        <item x="51"/>
        <item x="50"/>
        <item t="default"/>
      </items>
    </pivotField>
    <pivotField dataField="1" showAll="0"/>
    <pivotField numFmtId="164" showAll="0"/>
    <pivotField numFmtId="164" showAll="0"/>
    <pivotField numFmtId="164"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11">
    <i>
      <x v="15"/>
    </i>
    <i>
      <x v="24"/>
    </i>
    <i>
      <x v="30"/>
    </i>
    <i>
      <x v="31"/>
    </i>
    <i>
      <x v="39"/>
    </i>
    <i>
      <x v="40"/>
    </i>
    <i>
      <x v="51"/>
    </i>
    <i>
      <x v="61"/>
    </i>
    <i>
      <x v="76"/>
    </i>
    <i>
      <x v="94"/>
    </i>
    <i t="grand">
      <x/>
    </i>
  </rowItems>
  <colItems count="1">
    <i/>
  </colItems>
  <dataFields count="1">
    <dataField name="Sum of quantityOrdered" fld="7"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F102D41-A014-4C6D-9EC4-0095638DAF0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6:C78" firstHeaderRow="0" firstDataRow="1"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showAll="0"/>
    <pivotField axis="axisRow" showAll="0" sortType="descending">
      <items count="23">
        <item x="13"/>
        <item x="12"/>
        <item x="10"/>
        <item x="16"/>
        <item x="4"/>
        <item x="15"/>
        <item x="9"/>
        <item x="1"/>
        <item x="17"/>
        <item x="19"/>
        <item x="5"/>
        <item x="18"/>
        <item x="14"/>
        <item x="2"/>
        <item m="1" x="21"/>
        <item x="6"/>
        <item x="11"/>
        <item x="3"/>
        <item x="8"/>
        <item x="20"/>
        <item x="7"/>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numFmtId="164" showAll="0"/>
    <pivotField numFmtId="164" showAll="0"/>
    <pivotField numFmtId="164" showAll="0"/>
    <pivotField numFmtId="164" showAll="0"/>
    <pivotField dataField="1"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22">
    <i>
      <x v="21"/>
    </i>
    <i>
      <x v="17"/>
    </i>
    <i>
      <x v="6"/>
    </i>
    <i>
      <x/>
    </i>
    <i>
      <x v="12"/>
    </i>
    <i>
      <x v="20"/>
    </i>
    <i>
      <x v="10"/>
    </i>
    <i>
      <x v="5"/>
    </i>
    <i>
      <x v="13"/>
    </i>
    <i>
      <x v="16"/>
    </i>
    <i>
      <x v="4"/>
    </i>
    <i>
      <x v="3"/>
    </i>
    <i>
      <x v="7"/>
    </i>
    <i>
      <x v="1"/>
    </i>
    <i>
      <x v="18"/>
    </i>
    <i>
      <x v="11"/>
    </i>
    <i>
      <x v="19"/>
    </i>
    <i>
      <x v="2"/>
    </i>
    <i>
      <x v="15"/>
    </i>
    <i>
      <x v="9"/>
    </i>
    <i>
      <x v="8"/>
    </i>
    <i t="grand">
      <x/>
    </i>
  </rowItems>
  <colFields count="1">
    <field x="-2"/>
  </colFields>
  <colItems count="2">
    <i>
      <x/>
    </i>
    <i i="1">
      <x v="1"/>
    </i>
  </colItems>
  <dataFields count="2">
    <dataField name="Sum of Profit" fld="12" baseField="0" baseItem="0" numFmtId="164"/>
    <dataField name="Sum of Profit2" fld="12" baseField="4" baseItem="0" numFmtId="10">
      <extLst>
        <ext xmlns:x14="http://schemas.microsoft.com/office/spreadsheetml/2009/9/main" uri="{E15A36E0-9728-4e99-A89B-3F7291B0FE68}">
          <x14:dataField pivotShowAs="percentOfRunningTotal"/>
        </ext>
      </extLst>
    </dataField>
  </dataFields>
  <formats count="1">
    <format dxfId="7">
      <pivotArea collapsedLevelsAreSubtotals="1" fieldPosition="0">
        <references count="2">
          <reference field="4294967294" count="1" selected="0">
            <x v="1"/>
          </reference>
          <reference field="4" count="0"/>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F58B9C-6389-4736-9B21-98763FADF2E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39:E53" firstHeaderRow="1" firstDataRow="2"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showAll="0"/>
    <pivotField showAll="0">
      <items count="23">
        <item x="13"/>
        <item x="12"/>
        <item x="10"/>
        <item x="16"/>
        <item x="4"/>
        <item x="15"/>
        <item x="9"/>
        <item x="1"/>
        <item x="17"/>
        <item x="19"/>
        <item x="5"/>
        <item x="18"/>
        <item x="14"/>
        <item x="2"/>
        <item m="1" x="21"/>
        <item x="6"/>
        <item x="11"/>
        <item x="3"/>
        <item x="8"/>
        <item x="20"/>
        <item x="7"/>
        <item x="0"/>
        <item t="default"/>
      </items>
    </pivotField>
    <pivotField showAll="0"/>
    <pivotField showAll="0"/>
    <pivotField showAll="0"/>
    <pivotField numFmtId="164" showAll="0"/>
    <pivotField numFmtId="164" showAll="0"/>
    <pivotField dataField="1" numFmtId="164" showAll="0"/>
    <pivotField numFmtId="164" showAll="0"/>
    <pivotField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4"/>
  </rowFields>
  <rowItems count="13">
    <i>
      <x v="1"/>
    </i>
    <i>
      <x v="2"/>
    </i>
    <i>
      <x v="3"/>
    </i>
    <i>
      <x v="4"/>
    </i>
    <i>
      <x v="5"/>
    </i>
    <i>
      <x v="6"/>
    </i>
    <i>
      <x v="7"/>
    </i>
    <i>
      <x v="8"/>
    </i>
    <i>
      <x v="9"/>
    </i>
    <i>
      <x v="10"/>
    </i>
    <i>
      <x v="11"/>
    </i>
    <i>
      <x v="12"/>
    </i>
    <i t="grand">
      <x/>
    </i>
  </rowItems>
  <colFields count="1">
    <field x="16"/>
  </colFields>
  <colItems count="4">
    <i>
      <x v="1"/>
    </i>
    <i>
      <x v="2"/>
    </i>
    <i>
      <x v="3"/>
    </i>
    <i t="grand">
      <x/>
    </i>
  </colItems>
  <dataFields count="1">
    <dataField name="Sum of Sales" fld="10" baseField="0" baseItem="0" numFmtId="164"/>
  </dataFields>
  <formats count="1">
    <format dxfId="8">
      <pivotArea collapsedLevelsAreSubtotals="1" fieldPosition="0">
        <references count="1">
          <reference field="14" count="12">
            <x v="1"/>
            <x v="2"/>
            <x v="3"/>
            <x v="4"/>
            <x v="5"/>
            <x v="6"/>
            <x v="7"/>
            <x v="8"/>
            <x v="9"/>
            <x v="10"/>
            <x v="11"/>
            <x v="12"/>
          </reference>
        </references>
      </pivotArea>
    </format>
  </formats>
  <chartFormats count="8">
    <chartFormat chart="1"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6" series="1">
      <pivotArea type="data" outline="0" fieldPosition="0">
        <references count="2">
          <reference field="4294967294" count="1" selected="0">
            <x v="0"/>
          </reference>
          <reference field="16" count="1" selected="0">
            <x v="2"/>
          </reference>
        </references>
      </pivotArea>
    </chartFormat>
    <chartFormat chart="4" format="8" series="1">
      <pivotArea type="data" outline="0" fieldPosition="0">
        <references count="2">
          <reference field="4294967294" count="1" selected="0">
            <x v="0"/>
          </reference>
          <reference field="16" count="1" selected="0">
            <x v="3"/>
          </reference>
        </references>
      </pivotArea>
    </chartFormat>
    <chartFormat chart="1" format="2" series="1">
      <pivotArea type="data" outline="0" fieldPosition="0">
        <references count="2">
          <reference field="4294967294" count="1" selected="0">
            <x v="0"/>
          </reference>
          <reference field="16" count="1" selected="0">
            <x v="2"/>
          </reference>
        </references>
      </pivotArea>
    </chartFormat>
    <chartFormat chart="1" format="4" series="1">
      <pivotArea type="data" outline="0" fieldPosition="0">
        <references count="2">
          <reference field="4294967294" count="1" selected="0">
            <x v="0"/>
          </reference>
          <reference field="16" count="1" selected="0">
            <x v="3"/>
          </reference>
        </references>
      </pivotArea>
    </chartFormat>
    <chartFormat chart="4" format="10" series="1">
      <pivotArea type="data" outline="0" fieldPosition="0">
        <references count="2">
          <reference field="4294967294" count="1" selected="0">
            <x v="0"/>
          </reference>
          <reference field="16" count="1" selected="0">
            <x v="1"/>
          </reference>
        </references>
      </pivotArea>
    </chartFormat>
    <chartFormat chart="1" format="6" series="1">
      <pivotArea type="data" outline="0" fieldPosition="0">
        <references count="2">
          <reference field="4294967294" count="1" selected="0">
            <x v="0"/>
          </reference>
          <reference field="1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D72F22D-76F2-4D77-96CC-5CD6DC98407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84:B97" firstHeaderRow="1" firstDataRow="1"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showAll="0"/>
    <pivotField showAll="0">
      <items count="23">
        <item x="13"/>
        <item x="12"/>
        <item x="10"/>
        <item x="16"/>
        <item x="4"/>
        <item x="15"/>
        <item x="9"/>
        <item x="1"/>
        <item x="17"/>
        <item x="19"/>
        <item x="5"/>
        <item x="18"/>
        <item x="14"/>
        <item x="2"/>
        <item m="1" x="21"/>
        <item x="6"/>
        <item x="11"/>
        <item x="3"/>
        <item x="8"/>
        <item x="20"/>
        <item x="7"/>
        <item x="0"/>
        <item t="default"/>
      </items>
    </pivotField>
    <pivotField showAll="0"/>
    <pivotField showAll="0"/>
    <pivotField showAll="0"/>
    <pivotField numFmtId="164" showAll="0"/>
    <pivotField numFmtId="164" showAll="0"/>
    <pivotField numFmtId="164" showAll="0"/>
    <pivotField numFmtId="164" showAll="0"/>
    <pivotField dataField="1" numFmtId="164"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6">
        <item sd="0" x="0"/>
        <item sd="0" x="1"/>
        <item sd="0" x="2"/>
        <item sd="0" x="3"/>
        <item sd="0" x="4"/>
        <item t="default"/>
      </items>
    </pivotField>
  </pivotFields>
  <rowFields count="2">
    <field x="14"/>
    <field x="16"/>
  </rowFields>
  <rowItems count="13">
    <i>
      <x v="1"/>
    </i>
    <i>
      <x v="2"/>
    </i>
    <i>
      <x v="3"/>
    </i>
    <i>
      <x v="4"/>
    </i>
    <i>
      <x v="5"/>
    </i>
    <i>
      <x v="6"/>
    </i>
    <i>
      <x v="7"/>
    </i>
    <i>
      <x v="8"/>
    </i>
    <i>
      <x v="9"/>
    </i>
    <i>
      <x v="10"/>
    </i>
    <i>
      <x v="11"/>
    </i>
    <i>
      <x v="12"/>
    </i>
    <i t="grand">
      <x/>
    </i>
  </rowItems>
  <colItems count="1">
    <i/>
  </colItems>
  <dataFields count="1">
    <dataField name="Sum of Profit" fld="12" baseField="14" baseItem="1" numFmtId="164"/>
  </dataFields>
  <formats count="1">
    <format dxfId="9">
      <pivotArea outline="0" collapsedLevelsAreSubtotals="1" fieldPosition="0"/>
    </format>
  </formats>
  <chartFormats count="5">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1" format="1" series="1">
      <pivotArea type="data" outline="0" fieldPosition="0">
        <references count="2">
          <reference field="4294967294" count="1" selected="0">
            <x v="0"/>
          </reference>
          <reference field="16" count="1" selected="0">
            <x v="2"/>
          </reference>
        </references>
      </pivotArea>
    </chartFormat>
    <chartFormat chart="1" format="2" series="1">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4D94199-6D82-4D5D-9B5C-18F64962D07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13:B21" firstHeaderRow="1" firstDataRow="1" firstDataCol="1"/>
  <pivotFields count="17">
    <pivotField numFmtId="14" showAll="0">
      <items count="2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t="default"/>
      </items>
    </pivotField>
    <pivotField showAll="0"/>
    <pivotField showAll="0"/>
    <pivotField showAll="0"/>
    <pivotField showAll="0">
      <items count="23">
        <item x="13"/>
        <item x="12"/>
        <item x="10"/>
        <item x="16"/>
        <item x="4"/>
        <item x="15"/>
        <item x="9"/>
        <item x="1"/>
        <item x="17"/>
        <item x="19"/>
        <item x="5"/>
        <item x="18"/>
        <item x="14"/>
        <item x="2"/>
        <item m="1" x="21"/>
        <item x="6"/>
        <item x="11"/>
        <item x="3"/>
        <item x="8"/>
        <item x="20"/>
        <item x="7"/>
        <item x="0"/>
        <item t="default"/>
      </items>
    </pivotField>
    <pivotField axis="axisRow" showAll="0">
      <items count="8">
        <item x="1"/>
        <item x="6"/>
        <item x="5"/>
        <item x="4"/>
        <item x="3"/>
        <item x="2"/>
        <item x="0"/>
        <item t="default"/>
      </items>
    </pivotField>
    <pivotField showAll="0"/>
    <pivotField dataField="1" showAll="0"/>
    <pivotField numFmtId="164" showAll="0"/>
    <pivotField numFmtId="164" showAll="0"/>
    <pivotField numFmtId="164" showAll="0"/>
    <pivotField numFmtId="164" showAll="0"/>
    <pivotField numFmtId="164"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8">
    <i>
      <x/>
    </i>
    <i>
      <x v="1"/>
    </i>
    <i>
      <x v="2"/>
    </i>
    <i>
      <x v="3"/>
    </i>
    <i>
      <x v="4"/>
    </i>
    <i>
      <x v="5"/>
    </i>
    <i>
      <x v="6"/>
    </i>
    <i t="grand">
      <x/>
    </i>
  </rowItems>
  <colItems count="1">
    <i/>
  </colItems>
  <dataFields count="1">
    <dataField name="Sum of quantityOrdered" fld="7" showDataAs="percentOfCol" baseField="0" baseItem="0" numFmtId="10"/>
  </dataFields>
  <formats count="1">
    <format dxfId="10">
      <pivotArea collapsedLevelsAreSubtotals="1" fieldPosition="0">
        <references count="2">
          <reference field="4294967294" count="1" selected="0">
            <x v="0"/>
          </reference>
          <reference field="5" count="0"/>
        </references>
      </pivotArea>
    </format>
  </formats>
  <chartFormats count="16">
    <chartFormat chart="12" format="0" series="1">
      <pivotArea type="data" outline="0" fieldPosition="0">
        <references count="1">
          <reference field="4294967294" count="1" selected="0">
            <x v="0"/>
          </reference>
        </references>
      </pivotArea>
    </chartFormat>
    <chartFormat chart="15" format="9" series="1">
      <pivotArea type="data" outline="0" fieldPosition="0">
        <references count="1">
          <reference field="4294967294" count="1" selected="0">
            <x v="0"/>
          </reference>
        </references>
      </pivotArea>
    </chartFormat>
    <chartFormat chart="15" format="10">
      <pivotArea type="data" outline="0" fieldPosition="0">
        <references count="2">
          <reference field="4294967294" count="1" selected="0">
            <x v="0"/>
          </reference>
          <reference field="5" count="1" selected="0">
            <x v="0"/>
          </reference>
        </references>
      </pivotArea>
    </chartFormat>
    <chartFormat chart="15" format="11">
      <pivotArea type="data" outline="0" fieldPosition="0">
        <references count="2">
          <reference field="4294967294" count="1" selected="0">
            <x v="0"/>
          </reference>
          <reference field="5" count="1" selected="0">
            <x v="1"/>
          </reference>
        </references>
      </pivotArea>
    </chartFormat>
    <chartFormat chart="15" format="12">
      <pivotArea type="data" outline="0" fieldPosition="0">
        <references count="2">
          <reference field="4294967294" count="1" selected="0">
            <x v="0"/>
          </reference>
          <reference field="5" count="1" selected="0">
            <x v="2"/>
          </reference>
        </references>
      </pivotArea>
    </chartFormat>
    <chartFormat chart="15" format="13">
      <pivotArea type="data" outline="0" fieldPosition="0">
        <references count="2">
          <reference field="4294967294" count="1" selected="0">
            <x v="0"/>
          </reference>
          <reference field="5" count="1" selected="0">
            <x v="3"/>
          </reference>
        </references>
      </pivotArea>
    </chartFormat>
    <chartFormat chart="15" format="14">
      <pivotArea type="data" outline="0" fieldPosition="0">
        <references count="2">
          <reference field="4294967294" count="1" selected="0">
            <x v="0"/>
          </reference>
          <reference field="5" count="1" selected="0">
            <x v="4"/>
          </reference>
        </references>
      </pivotArea>
    </chartFormat>
    <chartFormat chart="15" format="15">
      <pivotArea type="data" outline="0" fieldPosition="0">
        <references count="2">
          <reference field="4294967294" count="1" selected="0">
            <x v="0"/>
          </reference>
          <reference field="5" count="1" selected="0">
            <x v="5"/>
          </reference>
        </references>
      </pivotArea>
    </chartFormat>
    <chartFormat chart="15" format="16">
      <pivotArea type="data" outline="0" fieldPosition="0">
        <references count="2">
          <reference field="4294967294" count="1" selected="0">
            <x v="0"/>
          </reference>
          <reference field="5" count="1" selected="0">
            <x v="6"/>
          </reference>
        </references>
      </pivotArea>
    </chartFormat>
    <chartFormat chart="12" format="1">
      <pivotArea type="data" outline="0" fieldPosition="0">
        <references count="2">
          <reference field="4294967294" count="1" selected="0">
            <x v="0"/>
          </reference>
          <reference field="5" count="1" selected="0">
            <x v="0"/>
          </reference>
        </references>
      </pivotArea>
    </chartFormat>
    <chartFormat chart="12" format="2">
      <pivotArea type="data" outline="0" fieldPosition="0">
        <references count="2">
          <reference field="4294967294" count="1" selected="0">
            <x v="0"/>
          </reference>
          <reference field="5" count="1" selected="0">
            <x v="1"/>
          </reference>
        </references>
      </pivotArea>
    </chartFormat>
    <chartFormat chart="12" format="3">
      <pivotArea type="data" outline="0" fieldPosition="0">
        <references count="2">
          <reference field="4294967294" count="1" selected="0">
            <x v="0"/>
          </reference>
          <reference field="5" count="1" selected="0">
            <x v="2"/>
          </reference>
        </references>
      </pivotArea>
    </chartFormat>
    <chartFormat chart="12" format="4">
      <pivotArea type="data" outline="0" fieldPosition="0">
        <references count="2">
          <reference field="4294967294" count="1" selected="0">
            <x v="0"/>
          </reference>
          <reference field="5" count="1" selected="0">
            <x v="3"/>
          </reference>
        </references>
      </pivotArea>
    </chartFormat>
    <chartFormat chart="12" format="5">
      <pivotArea type="data" outline="0" fieldPosition="0">
        <references count="2">
          <reference field="4294967294" count="1" selected="0">
            <x v="0"/>
          </reference>
          <reference field="5" count="1" selected="0">
            <x v="4"/>
          </reference>
        </references>
      </pivotArea>
    </chartFormat>
    <chartFormat chart="12" format="6">
      <pivotArea type="data" outline="0" fieldPosition="0">
        <references count="2">
          <reference field="4294967294" count="1" selected="0">
            <x v="0"/>
          </reference>
          <reference field="5" count="1" selected="0">
            <x v="5"/>
          </reference>
        </references>
      </pivotArea>
    </chartFormat>
    <chartFormat chart="12" format="7">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991F6C5-0B40-4E33-969B-080D7A3A7F18}" sourceName="country">
  <pivotTables>
    <pivotTable tabId="2" name="PivotTable8"/>
    <pivotTable tabId="2" name="PivotTable13"/>
    <pivotTable tabId="2" name="PivotTable2"/>
    <pivotTable tabId="2" name="PivotTable4"/>
    <pivotTable tabId="2" name="PivotTable6"/>
    <pivotTable tabId="2" name="PivotTable7"/>
    <pivotTable tabId="2" name="PivotTable9"/>
  </pivotTables>
  <data>
    <tabular pivotCacheId="2047536263">
      <items count="22">
        <i x="13" s="1"/>
        <i x="12" s="1"/>
        <i x="10" s="1"/>
        <i x="16" s="1"/>
        <i x="4" s="1"/>
        <i x="15" s="1"/>
        <i x="9" s="1"/>
        <i x="1" s="1"/>
        <i x="17" s="1"/>
        <i x="19" s="1"/>
        <i x="5" s="1"/>
        <i x="18" s="1"/>
        <i x="14" s="1"/>
        <i x="2" s="1"/>
        <i x="6" s="1"/>
        <i x="11" s="1"/>
        <i x="3" s="1"/>
        <i x="8" s="1"/>
        <i x="20" s="1"/>
        <i x="7" s="1"/>
        <i x="0" s="1"/>
        <i x="21"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Date" xr10:uid="{2F59D616-12BC-4AA3-B510-E2C62FA9541C}" sourceName="Months (orderDate)">
  <pivotTables>
    <pivotTable tabId="2" name="PivotTable8"/>
    <pivotTable tabId="2" name="PivotTable13"/>
    <pivotTable tabId="2" name="PivotTable2"/>
    <pivotTable tabId="2" name="PivotTable4"/>
    <pivotTable tabId="2" name="PivotTable6"/>
    <pivotTable tabId="2" name="PivotTable7"/>
    <pivotTable tabId="2" name="PivotTable9"/>
  </pivotTables>
  <data>
    <tabular pivotCacheId="2047536263">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Date" xr10:uid="{E3150F97-1901-4F92-AF1C-58EB35B78C67}" sourceName="Years (orderDate)">
  <pivotTables>
    <pivotTable tabId="2" name="PivotTable8"/>
    <pivotTable tabId="2" name="PivotTable13"/>
    <pivotTable tabId="2" name="PivotTable2"/>
    <pivotTable tabId="2" name="PivotTable4"/>
    <pivotTable tabId="2" name="PivotTable6"/>
    <pivotTable tabId="2" name="PivotTable7"/>
    <pivotTable tabId="2" name="PivotTable9"/>
  </pivotTables>
  <data>
    <tabular pivotCacheId="2047536263">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60426522-871E-4EC7-BF01-0C8A1F672056}" cache="Slicer_country" caption="country" columnCount="2" style="SlicerStyleLight4" rowHeight="234950"/>
  <slicer name="Months (orderDate)" xr10:uid="{6D6B1CBD-3F03-494C-A7B3-040C631867E3}" cache="Slicer_Months__orderDate" caption="Months (orderDate)" columnCount="4" style="SlicerStyleLight4" rowHeight="234950"/>
  <slicer name="Years (orderDate)" xr10:uid="{212C46C0-BEA0-49FE-9088-FF309BE1E2A5}" cache="Slicer_Years__orderDate" caption="Years (orderDate)" columnCount="3" style="SlicerStyleLight4"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AD52305-10D1-4F09-89B4-7B2D132A4C44}" name="Table1" displayName="Table1" ref="A1:N2997" totalsRowShown="0">
  <autoFilter ref="A1:N2997" xr:uid="{DAD52305-10D1-4F09-89B4-7B2D132A4C44}"/>
  <tableColumns count="14">
    <tableColumn id="1" xr3:uid="{0F6E312B-0DBD-41C6-BEC5-672F2C88BE7D}" name="orderDate" dataDxfId="6"/>
    <tableColumn id="2" xr3:uid="{77E2A3F3-8A83-46BE-8E41-8513A6E0939F}" name="orderNumber"/>
    <tableColumn id="3" xr3:uid="{29251C63-BF93-46D5-94DD-C9141C71FA70}" name="customerNumber"/>
    <tableColumn id="4" xr3:uid="{1A578D38-324F-4DCC-AFC9-79942E2BD8C0}" name="customerName"/>
    <tableColumn id="5" xr3:uid="{39B7A64B-7965-464B-A723-237222BA8859}" name="country"/>
    <tableColumn id="6" xr3:uid="{EBDC2F79-B463-4860-9006-61E83C4557F5}" name="productLine"/>
    <tableColumn id="7" xr3:uid="{D6F74722-82A3-489E-8FBD-72BBCBD84392}" name="productName"/>
    <tableColumn id="8" xr3:uid="{3DDE236F-534C-4FA4-8348-2294E156FE94}" name="quantityOrdered"/>
    <tableColumn id="9" xr3:uid="{9810B096-7DB5-4B2C-A12A-E4EC364F53CF}" name="priceEach" dataDxfId="5"/>
    <tableColumn id="10" xr3:uid="{39FB29DA-A932-4D5F-A021-9B1699DE3DFB}" name="buyPrice" dataDxfId="4"/>
    <tableColumn id="11" xr3:uid="{1BCB173C-52C5-40A0-BAE3-D23E830E5243}" name="Sales" dataDxfId="3"/>
    <tableColumn id="12" xr3:uid="{77F9F89D-07DA-4B2A-B4FA-EC727E7F4102}" name="Cost" dataDxfId="2"/>
    <tableColumn id="13" xr3:uid="{BC6C9D13-9001-4459-90C1-FC4220C0C21B}" name="Profit" dataDxfId="1"/>
    <tableColumn id="14" xr3:uid="{62B64914-D8E3-4360-BC56-4BBF086454C8}" name="purchaseNumb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55FF2-C6ED-4869-AEA0-A2716985D5B8}">
  <dimension ref="A2:P108"/>
  <sheetViews>
    <sheetView zoomScale="69" workbookViewId="0">
      <selection activeCell="C115" sqref="C115"/>
    </sheetView>
  </sheetViews>
  <sheetFormatPr defaultRowHeight="14.4" x14ac:dyDescent="0.3"/>
  <cols>
    <col min="1" max="1" width="12.88671875" bestFit="1" customWidth="1"/>
    <col min="2" max="5" width="15.109375" bestFit="1" customWidth="1"/>
    <col min="6" max="6" width="13.88671875" bestFit="1" customWidth="1"/>
    <col min="7" max="7" width="12.21875" bestFit="1" customWidth="1"/>
    <col min="8" max="8" width="16.5546875" bestFit="1" customWidth="1"/>
    <col min="9" max="9" width="17.33203125" bestFit="1" customWidth="1"/>
    <col min="10" max="12" width="4" bestFit="1" customWidth="1"/>
    <col min="13" max="14" width="12.44140625" bestFit="1" customWidth="1"/>
    <col min="15" max="16" width="9.88671875" bestFit="1" customWidth="1"/>
    <col min="17" max="99" width="4" bestFit="1" customWidth="1"/>
    <col min="100" max="100" width="10.88671875" bestFit="1" customWidth="1"/>
  </cols>
  <sheetData>
    <row r="2" spans="1:5" x14ac:dyDescent="0.3">
      <c r="A2" t="s">
        <v>252</v>
      </c>
    </row>
    <row r="3" spans="1:5" x14ac:dyDescent="0.3">
      <c r="A3" s="3" t="s">
        <v>272</v>
      </c>
      <c r="D3" s="13" t="s">
        <v>250</v>
      </c>
      <c r="E3" s="14"/>
    </row>
    <row r="4" spans="1:5" x14ac:dyDescent="0.3">
      <c r="A4" s="4" t="s">
        <v>250</v>
      </c>
      <c r="B4" s="2">
        <v>3825880.2499999916</v>
      </c>
      <c r="D4" s="8" t="s">
        <v>250</v>
      </c>
      <c r="E4" s="9">
        <f>B4</f>
        <v>3825880.2499999916</v>
      </c>
    </row>
    <row r="5" spans="1:5" x14ac:dyDescent="0.3">
      <c r="A5" s="4" t="s">
        <v>251</v>
      </c>
      <c r="B5" s="2">
        <v>9604190.6099999826</v>
      </c>
      <c r="D5" s="8" t="s">
        <v>251</v>
      </c>
      <c r="E5" s="9">
        <f>B5</f>
        <v>9604190.6099999826</v>
      </c>
    </row>
    <row r="6" spans="1:5" x14ac:dyDescent="0.3">
      <c r="A6" s="4" t="s">
        <v>255</v>
      </c>
      <c r="B6">
        <v>105516</v>
      </c>
      <c r="D6" s="8" t="s">
        <v>255</v>
      </c>
      <c r="E6" s="8">
        <f>B6</f>
        <v>105516</v>
      </c>
    </row>
    <row r="7" spans="1:5" x14ac:dyDescent="0.3">
      <c r="B7" s="7"/>
      <c r="D7" s="15" t="s">
        <v>279</v>
      </c>
      <c r="E7" s="7">
        <f>E4/E5</f>
        <v>0.39835530190502938</v>
      </c>
    </row>
    <row r="12" spans="1:5" x14ac:dyDescent="0.3">
      <c r="A12" t="s">
        <v>256</v>
      </c>
    </row>
    <row r="13" spans="1:5" x14ac:dyDescent="0.3">
      <c r="A13" s="3" t="s">
        <v>253</v>
      </c>
      <c r="B13" t="s">
        <v>255</v>
      </c>
    </row>
    <row r="14" spans="1:5" x14ac:dyDescent="0.3">
      <c r="A14" s="4" t="s">
        <v>29</v>
      </c>
      <c r="B14" s="6">
        <v>0.33721899996209104</v>
      </c>
    </row>
    <row r="15" spans="1:5" x14ac:dyDescent="0.3">
      <c r="A15" s="4" t="s">
        <v>102</v>
      </c>
      <c r="B15" s="6">
        <v>0.12110011751772243</v>
      </c>
    </row>
    <row r="16" spans="1:5" x14ac:dyDescent="0.3">
      <c r="A16" s="4" t="s">
        <v>83</v>
      </c>
      <c r="B16" s="6">
        <v>0.11251374199173585</v>
      </c>
    </row>
    <row r="17" spans="1:2" x14ac:dyDescent="0.3">
      <c r="A17" s="4" t="s">
        <v>71</v>
      </c>
      <c r="B17" s="6">
        <v>8.0859774820880248E-2</v>
      </c>
    </row>
    <row r="18" spans="1:2" x14ac:dyDescent="0.3">
      <c r="A18" s="4" t="s">
        <v>59</v>
      </c>
      <c r="B18" s="6">
        <v>2.670685014594943E-2</v>
      </c>
    </row>
    <row r="19" spans="1:2" x14ac:dyDescent="0.3">
      <c r="A19" s="4" t="s">
        <v>32</v>
      </c>
      <c r="B19" s="6">
        <v>0.10425906971454565</v>
      </c>
    </row>
    <row r="20" spans="1:2" x14ac:dyDescent="0.3">
      <c r="A20" s="4" t="s">
        <v>15</v>
      </c>
      <c r="B20" s="6">
        <v>0.21734144584707532</v>
      </c>
    </row>
    <row r="21" spans="1:2" x14ac:dyDescent="0.3">
      <c r="A21" s="4" t="s">
        <v>254</v>
      </c>
      <c r="B21" s="5">
        <v>1</v>
      </c>
    </row>
    <row r="23" spans="1:2" x14ac:dyDescent="0.3">
      <c r="A23" s="4" t="s">
        <v>257</v>
      </c>
    </row>
    <row r="24" spans="1:2" x14ac:dyDescent="0.3">
      <c r="A24" s="3" t="s">
        <v>253</v>
      </c>
      <c r="B24" t="s">
        <v>255</v>
      </c>
    </row>
    <row r="25" spans="1:2" x14ac:dyDescent="0.3">
      <c r="A25" s="4" t="s">
        <v>94</v>
      </c>
      <c r="B25">
        <v>1074</v>
      </c>
    </row>
    <row r="26" spans="1:2" x14ac:dyDescent="0.3">
      <c r="A26" s="4" t="s">
        <v>25</v>
      </c>
      <c r="B26">
        <v>1111</v>
      </c>
    </row>
    <row r="27" spans="1:2" x14ac:dyDescent="0.3">
      <c r="A27" s="4" t="s">
        <v>40</v>
      </c>
      <c r="B27">
        <v>1061</v>
      </c>
    </row>
    <row r="28" spans="1:2" x14ac:dyDescent="0.3">
      <c r="A28" s="4" t="s">
        <v>87</v>
      </c>
      <c r="B28">
        <v>1076</v>
      </c>
    </row>
    <row r="29" spans="1:2" x14ac:dyDescent="0.3">
      <c r="A29" s="4" t="s">
        <v>123</v>
      </c>
      <c r="B29">
        <v>1052</v>
      </c>
    </row>
    <row r="30" spans="1:2" x14ac:dyDescent="0.3">
      <c r="A30" s="4" t="s">
        <v>50</v>
      </c>
      <c r="B30">
        <v>1056</v>
      </c>
    </row>
    <row r="31" spans="1:2" x14ac:dyDescent="0.3">
      <c r="A31" s="4" t="s">
        <v>52</v>
      </c>
      <c r="B31">
        <v>1053</v>
      </c>
    </row>
    <row r="32" spans="1:2" x14ac:dyDescent="0.3">
      <c r="A32" s="4" t="s">
        <v>103</v>
      </c>
      <c r="B32">
        <v>1057</v>
      </c>
    </row>
    <row r="33" spans="1:16" x14ac:dyDescent="0.3">
      <c r="A33" s="4" t="s">
        <v>53</v>
      </c>
      <c r="B33">
        <v>1808</v>
      </c>
    </row>
    <row r="34" spans="1:16" x14ac:dyDescent="0.3">
      <c r="A34" s="4" t="s">
        <v>100</v>
      </c>
      <c r="B34">
        <v>1085</v>
      </c>
    </row>
    <row r="35" spans="1:16" x14ac:dyDescent="0.3">
      <c r="A35" s="4" t="s">
        <v>254</v>
      </c>
      <c r="B35">
        <v>11433</v>
      </c>
    </row>
    <row r="38" spans="1:16" x14ac:dyDescent="0.3">
      <c r="A38" s="4" t="s">
        <v>280</v>
      </c>
    </row>
    <row r="39" spans="1:16" x14ac:dyDescent="0.3">
      <c r="A39" s="3" t="s">
        <v>251</v>
      </c>
      <c r="B39" s="3" t="s">
        <v>274</v>
      </c>
    </row>
    <row r="40" spans="1:16" x14ac:dyDescent="0.3">
      <c r="A40" s="3" t="s">
        <v>253</v>
      </c>
      <c r="B40" t="s">
        <v>275</v>
      </c>
      <c r="C40" t="s">
        <v>276</v>
      </c>
      <c r="D40" t="s">
        <v>277</v>
      </c>
      <c r="E40" t="s">
        <v>254</v>
      </c>
    </row>
    <row r="41" spans="1:16" x14ac:dyDescent="0.3">
      <c r="A41" s="4" t="s">
        <v>258</v>
      </c>
      <c r="B41" s="12">
        <v>116692.77</v>
      </c>
      <c r="C41" s="12">
        <v>292385.21000000014</v>
      </c>
      <c r="D41" s="12">
        <v>307737.02000000014</v>
      </c>
      <c r="E41" s="12">
        <v>716815.00000000023</v>
      </c>
    </row>
    <row r="42" spans="1:16" x14ac:dyDescent="0.3">
      <c r="A42" s="4" t="s">
        <v>259</v>
      </c>
      <c r="B42" s="12">
        <v>128403.63999999998</v>
      </c>
      <c r="C42" s="12">
        <v>289502.83999999997</v>
      </c>
      <c r="D42" s="12">
        <v>317192.17</v>
      </c>
      <c r="E42" s="12">
        <v>735098.64999999991</v>
      </c>
    </row>
    <row r="43" spans="1:16" x14ac:dyDescent="0.3">
      <c r="A43" s="4" t="s">
        <v>260</v>
      </c>
      <c r="B43" s="12">
        <v>160517.13999999998</v>
      </c>
      <c r="C43" s="12">
        <v>217691.26</v>
      </c>
      <c r="D43" s="12">
        <v>359711.95999999985</v>
      </c>
      <c r="E43" s="12">
        <v>737920.35999999987</v>
      </c>
      <c r="M43" s="12"/>
      <c r="N43" s="12"/>
      <c r="O43" s="12"/>
      <c r="P43" s="12"/>
    </row>
    <row r="44" spans="1:16" x14ac:dyDescent="0.3">
      <c r="A44" s="4" t="s">
        <v>261</v>
      </c>
      <c r="B44" s="12">
        <v>185848.59000000003</v>
      </c>
      <c r="C44" s="12">
        <v>187575.77000000005</v>
      </c>
      <c r="D44" s="12">
        <v>344820.62</v>
      </c>
      <c r="E44" s="12">
        <v>718244.9800000001</v>
      </c>
      <c r="M44" s="12"/>
      <c r="N44" s="12"/>
      <c r="O44" s="12"/>
      <c r="P44" s="12"/>
    </row>
    <row r="45" spans="1:16" x14ac:dyDescent="0.3">
      <c r="A45" s="4" t="s">
        <v>262</v>
      </c>
      <c r="B45" s="12">
        <v>179435.55</v>
      </c>
      <c r="C45" s="12">
        <v>248325.30000000008</v>
      </c>
      <c r="D45" s="12">
        <v>441474.93999999983</v>
      </c>
      <c r="E45" s="12">
        <v>869235.78999999992</v>
      </c>
      <c r="M45" s="12"/>
      <c r="N45" s="12"/>
      <c r="O45" s="12"/>
      <c r="P45" s="12"/>
    </row>
    <row r="46" spans="1:16" x14ac:dyDescent="0.3">
      <c r="A46" s="4" t="s">
        <v>263</v>
      </c>
      <c r="B46" s="12">
        <v>150470.76999999996</v>
      </c>
      <c r="C46" s="12">
        <v>343370.73999999993</v>
      </c>
      <c r="D46" s="12"/>
      <c r="E46" s="12">
        <v>493841.50999999989</v>
      </c>
      <c r="M46" s="12"/>
      <c r="N46" s="12"/>
      <c r="O46" s="12"/>
      <c r="P46" s="12"/>
    </row>
    <row r="47" spans="1:16" x14ac:dyDescent="0.3">
      <c r="A47" s="4" t="s">
        <v>264</v>
      </c>
      <c r="B47" s="12">
        <v>201940.35999999996</v>
      </c>
      <c r="C47" s="12">
        <v>325563.49000000011</v>
      </c>
      <c r="D47" s="12"/>
      <c r="E47" s="12">
        <v>527503.85000000009</v>
      </c>
      <c r="M47" s="12"/>
      <c r="N47" s="12"/>
      <c r="O47" s="12"/>
      <c r="P47" s="12"/>
    </row>
    <row r="48" spans="1:16" x14ac:dyDescent="0.3">
      <c r="A48" s="4" t="s">
        <v>265</v>
      </c>
      <c r="B48" s="12">
        <v>178257.10999999996</v>
      </c>
      <c r="C48" s="12">
        <v>419327.08999999991</v>
      </c>
      <c r="D48" s="12"/>
      <c r="E48" s="12">
        <v>597584.19999999984</v>
      </c>
      <c r="M48" s="12"/>
      <c r="N48" s="12"/>
      <c r="O48" s="12"/>
      <c r="P48" s="12"/>
    </row>
    <row r="49" spans="1:16" x14ac:dyDescent="0.3">
      <c r="A49" s="4" t="s">
        <v>266</v>
      </c>
      <c r="B49" s="12">
        <v>236697.85000000003</v>
      </c>
      <c r="C49" s="12">
        <v>283799.79999999987</v>
      </c>
      <c r="D49" s="12"/>
      <c r="E49" s="12">
        <v>520497.64999999991</v>
      </c>
      <c r="M49" s="12"/>
      <c r="N49" s="12"/>
      <c r="O49" s="12"/>
      <c r="P49" s="12"/>
    </row>
    <row r="50" spans="1:16" x14ac:dyDescent="0.3">
      <c r="A50" s="4" t="s">
        <v>267</v>
      </c>
      <c r="B50" s="12">
        <v>514336.2100000002</v>
      </c>
      <c r="C50" s="12">
        <v>500233.85999999987</v>
      </c>
      <c r="D50" s="12"/>
      <c r="E50" s="12">
        <v>1014570.0700000001</v>
      </c>
      <c r="M50" s="12"/>
      <c r="N50" s="12"/>
      <c r="O50" s="12"/>
      <c r="P50" s="12"/>
    </row>
    <row r="51" spans="1:16" x14ac:dyDescent="0.3">
      <c r="A51" s="4" t="s">
        <v>268</v>
      </c>
      <c r="B51" s="12">
        <v>988025.15000000049</v>
      </c>
      <c r="C51" s="12">
        <v>979291.97999999963</v>
      </c>
      <c r="D51" s="12"/>
      <c r="E51" s="12">
        <v>1967317.1300000001</v>
      </c>
      <c r="M51" s="12"/>
      <c r="N51" s="12"/>
      <c r="O51" s="12"/>
      <c r="P51" s="12"/>
    </row>
    <row r="52" spans="1:16" x14ac:dyDescent="0.3">
      <c r="A52" s="4" t="s">
        <v>269</v>
      </c>
      <c r="B52" s="12">
        <v>276723.25000000006</v>
      </c>
      <c r="C52" s="12">
        <v>428838.17000000004</v>
      </c>
      <c r="D52" s="12"/>
      <c r="E52" s="12">
        <v>705561.42000000016</v>
      </c>
      <c r="M52" s="12"/>
      <c r="N52" s="12"/>
      <c r="O52" s="12"/>
      <c r="P52" s="12"/>
    </row>
    <row r="53" spans="1:16" x14ac:dyDescent="0.3">
      <c r="A53" s="4" t="s">
        <v>254</v>
      </c>
      <c r="B53" s="2">
        <v>3317348.3900000006</v>
      </c>
      <c r="C53" s="2">
        <v>4515905.51</v>
      </c>
      <c r="D53" s="2">
        <v>1770936.71</v>
      </c>
      <c r="E53" s="2">
        <v>9604190.6100000013</v>
      </c>
      <c r="M53" s="12"/>
      <c r="N53" s="12"/>
      <c r="O53" s="12"/>
      <c r="P53" s="12"/>
    </row>
    <row r="54" spans="1:16" x14ac:dyDescent="0.3">
      <c r="M54" s="12"/>
      <c r="N54" s="12"/>
      <c r="O54" s="12"/>
      <c r="P54" s="12"/>
    </row>
    <row r="55" spans="1:16" x14ac:dyDescent="0.3">
      <c r="A55" s="4" t="s">
        <v>271</v>
      </c>
      <c r="M55" s="12"/>
      <c r="N55" s="12"/>
      <c r="O55" s="12"/>
      <c r="P55" s="12"/>
    </row>
    <row r="56" spans="1:16" x14ac:dyDescent="0.3">
      <c r="A56" s="3" t="s">
        <v>253</v>
      </c>
      <c r="B56" t="s">
        <v>249</v>
      </c>
      <c r="C56" t="s">
        <v>270</v>
      </c>
    </row>
    <row r="57" spans="1:16" x14ac:dyDescent="0.3">
      <c r="A57" s="4" t="s">
        <v>14</v>
      </c>
      <c r="B57" s="2">
        <v>1308815.5899999982</v>
      </c>
      <c r="C57" s="5">
        <v>0.34209528382389887</v>
      </c>
    </row>
    <row r="58" spans="1:16" x14ac:dyDescent="0.3">
      <c r="A58" s="4" t="s">
        <v>48</v>
      </c>
      <c r="B58" s="2">
        <v>440004.53999999928</v>
      </c>
      <c r="C58" s="5">
        <v>0.45710268375493424</v>
      </c>
    </row>
    <row r="59" spans="1:16" x14ac:dyDescent="0.3">
      <c r="A59" s="4" t="s">
        <v>144</v>
      </c>
      <c r="B59" s="2">
        <v>413016.11999999988</v>
      </c>
      <c r="C59" s="5">
        <v>0.56505591098937269</v>
      </c>
    </row>
    <row r="60" spans="1:16" x14ac:dyDescent="0.3">
      <c r="A60" s="4" t="s">
        <v>151</v>
      </c>
      <c r="B60" s="2">
        <v>222207.18000000011</v>
      </c>
      <c r="C60" s="5">
        <v>0.62313592538605966</v>
      </c>
    </row>
    <row r="61" spans="1:16" x14ac:dyDescent="0.3">
      <c r="A61" s="4" t="s">
        <v>159</v>
      </c>
      <c r="B61" s="2">
        <v>189506.58000000002</v>
      </c>
      <c r="C61" s="5">
        <v>0.67266873028762453</v>
      </c>
    </row>
    <row r="62" spans="1:16" x14ac:dyDescent="0.3">
      <c r="A62" s="4" t="s">
        <v>133</v>
      </c>
      <c r="B62" s="2">
        <v>172964.25999999998</v>
      </c>
      <c r="C62" s="5">
        <v>0.71787774068464349</v>
      </c>
    </row>
    <row r="63" spans="1:16" x14ac:dyDescent="0.3">
      <c r="A63" s="4" t="s">
        <v>82</v>
      </c>
      <c r="B63" s="2">
        <v>144459.86000000002</v>
      </c>
      <c r="C63" s="5">
        <v>0.75563633493233329</v>
      </c>
    </row>
    <row r="64" spans="1:16" x14ac:dyDescent="0.3">
      <c r="A64" s="4" t="s">
        <v>164</v>
      </c>
      <c r="B64" s="2">
        <v>117239.33000000003</v>
      </c>
      <c r="C64" s="5">
        <v>0.78628008809214545</v>
      </c>
    </row>
    <row r="65" spans="1:3" x14ac:dyDescent="0.3">
      <c r="A65" s="4" t="s">
        <v>28</v>
      </c>
      <c r="B65" s="2">
        <v>107649.34</v>
      </c>
      <c r="C65" s="5">
        <v>0.81441723117183273</v>
      </c>
    </row>
    <row r="66" spans="1:3" x14ac:dyDescent="0.3">
      <c r="A66" s="4" t="s">
        <v>147</v>
      </c>
      <c r="B66" s="2">
        <v>101782.54999999997</v>
      </c>
      <c r="C66" s="5">
        <v>0.84102092583791643</v>
      </c>
    </row>
    <row r="67" spans="1:3" x14ac:dyDescent="0.3">
      <c r="A67" s="4" t="s">
        <v>64</v>
      </c>
      <c r="B67" s="2">
        <v>85629.3</v>
      </c>
      <c r="C67" s="5">
        <v>0.86340252024354369</v>
      </c>
    </row>
    <row r="68" spans="1:3" x14ac:dyDescent="0.3">
      <c r="A68" s="4" t="s">
        <v>172</v>
      </c>
      <c r="B68" s="2">
        <v>78858.780000000028</v>
      </c>
      <c r="C68" s="5">
        <v>0.88401445131483125</v>
      </c>
    </row>
    <row r="69" spans="1:3" x14ac:dyDescent="0.3">
      <c r="A69" s="4" t="s">
        <v>20</v>
      </c>
      <c r="B69" s="2">
        <v>77505.7</v>
      </c>
      <c r="C69" s="5">
        <v>0.90427271737007442</v>
      </c>
    </row>
    <row r="70" spans="1:3" x14ac:dyDescent="0.3">
      <c r="A70" s="4" t="s">
        <v>150</v>
      </c>
      <c r="B70" s="2">
        <v>73082.790000000008</v>
      </c>
      <c r="C70" s="5">
        <v>0.92337493312813435</v>
      </c>
    </row>
    <row r="71" spans="1:3" x14ac:dyDescent="0.3">
      <c r="A71" s="4" t="s">
        <v>143</v>
      </c>
      <c r="B71" s="2">
        <v>71915.919999999984</v>
      </c>
      <c r="C71" s="5">
        <v>0.94217215502236373</v>
      </c>
    </row>
    <row r="72" spans="1:3" x14ac:dyDescent="0.3">
      <c r="A72" s="4" t="s">
        <v>185</v>
      </c>
      <c r="B72" s="2">
        <v>67848.06</v>
      </c>
      <c r="C72" s="5">
        <v>0.95990612879219095</v>
      </c>
    </row>
    <row r="73" spans="1:3" x14ac:dyDescent="0.3">
      <c r="A73" s="4" t="s">
        <v>191</v>
      </c>
      <c r="B73" s="2">
        <v>43393.749999999993</v>
      </c>
      <c r="C73" s="5">
        <v>0.97124828985434131</v>
      </c>
    </row>
    <row r="74" spans="1:3" x14ac:dyDescent="0.3">
      <c r="A74" s="4" t="s">
        <v>146</v>
      </c>
      <c r="B74" s="2">
        <v>37555.950000000004</v>
      </c>
      <c r="C74" s="5">
        <v>0.98106457984407647</v>
      </c>
    </row>
    <row r="75" spans="1:3" x14ac:dyDescent="0.3">
      <c r="A75" s="4" t="s">
        <v>111</v>
      </c>
      <c r="B75" s="2">
        <v>35987.680000000008</v>
      </c>
      <c r="C75" s="5">
        <v>0.99047095893814252</v>
      </c>
    </row>
    <row r="76" spans="1:3" x14ac:dyDescent="0.3">
      <c r="A76" s="4" t="s">
        <v>188</v>
      </c>
      <c r="B76" s="2">
        <v>19588.29</v>
      </c>
      <c r="C76" s="5">
        <v>0.99559090225053448</v>
      </c>
    </row>
    <row r="77" spans="1:3" x14ac:dyDescent="0.3">
      <c r="A77" s="4" t="s">
        <v>179</v>
      </c>
      <c r="B77" s="2">
        <v>16868.68</v>
      </c>
      <c r="C77" s="5">
        <v>1.0000000000000002</v>
      </c>
    </row>
    <row r="78" spans="1:3" x14ac:dyDescent="0.3">
      <c r="A78" s="4" t="s">
        <v>254</v>
      </c>
      <c r="B78" s="2">
        <v>3825880.2499999972</v>
      </c>
      <c r="C78" s="5"/>
    </row>
    <row r="82" spans="1:14" x14ac:dyDescent="0.3">
      <c r="A82" s="4"/>
    </row>
    <row r="83" spans="1:14" x14ac:dyDescent="0.3">
      <c r="A83" t="s">
        <v>278</v>
      </c>
    </row>
    <row r="84" spans="1:14" x14ac:dyDescent="0.3">
      <c r="A84" s="3" t="s">
        <v>253</v>
      </c>
      <c r="B84" t="s">
        <v>249</v>
      </c>
    </row>
    <row r="85" spans="1:14" x14ac:dyDescent="0.3">
      <c r="A85" s="4" t="s">
        <v>258</v>
      </c>
      <c r="B85" s="2">
        <v>286458.37</v>
      </c>
      <c r="L85" s="10" t="str">
        <f t="shared" ref="L85:L96" si="0">A85</f>
        <v>Jan</v>
      </c>
      <c r="M85" s="11">
        <f>$B$85</f>
        <v>286458.37</v>
      </c>
      <c r="N85" s="11">
        <f>$B$85</f>
        <v>286458.37</v>
      </c>
    </row>
    <row r="86" spans="1:14" x14ac:dyDescent="0.3">
      <c r="A86" s="4" t="s">
        <v>259</v>
      </c>
      <c r="B86" s="2">
        <v>293044.19000000012</v>
      </c>
      <c r="L86" s="10" t="str">
        <f t="shared" si="0"/>
        <v>Feb</v>
      </c>
      <c r="M86" s="11">
        <f t="shared" ref="M86:M96" si="1">B86</f>
        <v>293044.19000000012</v>
      </c>
      <c r="N86" s="2">
        <f t="shared" ref="N86:N96" si="2">B86</f>
        <v>293044.19000000012</v>
      </c>
    </row>
    <row r="87" spans="1:14" x14ac:dyDescent="0.3">
      <c r="A87" s="4" t="s">
        <v>260</v>
      </c>
      <c r="B87" s="2">
        <v>292030.62</v>
      </c>
      <c r="L87" s="10" t="str">
        <f t="shared" si="0"/>
        <v>Mar</v>
      </c>
      <c r="M87" s="11">
        <f t="shared" si="1"/>
        <v>292030.62</v>
      </c>
      <c r="N87" s="2">
        <f t="shared" si="2"/>
        <v>292030.62</v>
      </c>
    </row>
    <row r="88" spans="1:14" x14ac:dyDescent="0.3">
      <c r="A88" s="4" t="s">
        <v>261</v>
      </c>
      <c r="B88" s="2">
        <v>285460.81999999989</v>
      </c>
      <c r="L88" s="10" t="str">
        <f t="shared" si="0"/>
        <v>Apr</v>
      </c>
      <c r="M88" s="11">
        <f t="shared" si="1"/>
        <v>285460.81999999989</v>
      </c>
      <c r="N88" s="2">
        <f t="shared" si="2"/>
        <v>285460.81999999989</v>
      </c>
    </row>
    <row r="89" spans="1:14" x14ac:dyDescent="0.3">
      <c r="A89" s="4" t="s">
        <v>262</v>
      </c>
      <c r="B89" s="2">
        <v>346870.80999999982</v>
      </c>
      <c r="L89" s="10" t="str">
        <f t="shared" si="0"/>
        <v>May</v>
      </c>
      <c r="M89" s="11">
        <f t="shared" si="1"/>
        <v>346870.80999999982</v>
      </c>
      <c r="N89" s="2">
        <f t="shared" si="2"/>
        <v>346870.80999999982</v>
      </c>
    </row>
    <row r="90" spans="1:14" x14ac:dyDescent="0.3">
      <c r="A90" s="4" t="s">
        <v>263</v>
      </c>
      <c r="B90" s="2">
        <v>197251.71999999991</v>
      </c>
      <c r="L90" s="10" t="str">
        <f t="shared" si="0"/>
        <v>Jun</v>
      </c>
      <c r="M90" s="11">
        <f t="shared" si="1"/>
        <v>197251.71999999991</v>
      </c>
      <c r="N90" s="2">
        <f t="shared" si="2"/>
        <v>197251.71999999991</v>
      </c>
    </row>
    <row r="91" spans="1:14" x14ac:dyDescent="0.3">
      <c r="A91" s="4" t="s">
        <v>264</v>
      </c>
      <c r="B91" s="2">
        <v>210269.38</v>
      </c>
      <c r="L91" s="10" t="str">
        <f t="shared" si="0"/>
        <v>Jul</v>
      </c>
      <c r="M91" s="11">
        <f t="shared" si="1"/>
        <v>210269.38</v>
      </c>
      <c r="N91" s="2">
        <f t="shared" si="2"/>
        <v>210269.38</v>
      </c>
    </row>
    <row r="92" spans="1:14" x14ac:dyDescent="0.3">
      <c r="A92" s="4" t="s">
        <v>265</v>
      </c>
      <c r="B92" s="2">
        <v>236954.46000000014</v>
      </c>
      <c r="L92" s="10" t="str">
        <f t="shared" si="0"/>
        <v>Aug</v>
      </c>
      <c r="M92" s="11">
        <f t="shared" si="1"/>
        <v>236954.46000000014</v>
      </c>
      <c r="N92" s="2">
        <f t="shared" si="2"/>
        <v>236954.46000000014</v>
      </c>
    </row>
    <row r="93" spans="1:14" x14ac:dyDescent="0.3">
      <c r="A93" s="4" t="s">
        <v>266</v>
      </c>
      <c r="B93" s="2">
        <v>208539.17999999993</v>
      </c>
      <c r="L93" s="10" t="str">
        <f t="shared" si="0"/>
        <v>Sep</v>
      </c>
      <c r="M93" s="11">
        <f t="shared" si="1"/>
        <v>208539.17999999993</v>
      </c>
      <c r="N93" s="2">
        <f t="shared" si="2"/>
        <v>208539.17999999993</v>
      </c>
    </row>
    <row r="94" spans="1:14" x14ac:dyDescent="0.3">
      <c r="A94" s="4" t="s">
        <v>267</v>
      </c>
      <c r="B94" s="2">
        <v>403052.13999999996</v>
      </c>
      <c r="L94" s="10" t="str">
        <f t="shared" si="0"/>
        <v>Oct</v>
      </c>
      <c r="M94" s="11">
        <f t="shared" si="1"/>
        <v>403052.13999999996</v>
      </c>
      <c r="N94" s="2">
        <f t="shared" si="2"/>
        <v>403052.13999999996</v>
      </c>
    </row>
    <row r="95" spans="1:14" x14ac:dyDescent="0.3">
      <c r="A95" s="4" t="s">
        <v>268</v>
      </c>
      <c r="B95" s="2">
        <v>786076.74000000034</v>
      </c>
      <c r="L95" s="10" t="str">
        <f t="shared" si="0"/>
        <v>Nov</v>
      </c>
      <c r="M95" s="11">
        <f t="shared" si="1"/>
        <v>786076.74000000034</v>
      </c>
      <c r="N95" s="2">
        <f t="shared" si="2"/>
        <v>786076.74000000034</v>
      </c>
    </row>
    <row r="96" spans="1:14" x14ac:dyDescent="0.3">
      <c r="A96" s="4" t="s">
        <v>269</v>
      </c>
      <c r="B96" s="2">
        <v>279871.82</v>
      </c>
      <c r="L96" s="10" t="str">
        <f t="shared" si="0"/>
        <v>Dec</v>
      </c>
      <c r="M96" s="11">
        <f t="shared" si="1"/>
        <v>279871.82</v>
      </c>
      <c r="N96" s="2">
        <f t="shared" si="2"/>
        <v>279871.82</v>
      </c>
    </row>
    <row r="97" spans="1:2" x14ac:dyDescent="0.3">
      <c r="A97" s="4" t="s">
        <v>254</v>
      </c>
      <c r="B97" s="2">
        <v>3825880.25</v>
      </c>
    </row>
    <row r="101" spans="1:2" x14ac:dyDescent="0.3">
      <c r="A101" t="s">
        <v>281</v>
      </c>
    </row>
    <row r="102" spans="1:2" x14ac:dyDescent="0.3">
      <c r="A102" s="3" t="s">
        <v>253</v>
      </c>
      <c r="B102" t="s">
        <v>273</v>
      </c>
    </row>
    <row r="103" spans="1:2" x14ac:dyDescent="0.3">
      <c r="A103" s="4" t="s">
        <v>210</v>
      </c>
      <c r="B103">
        <v>55</v>
      </c>
    </row>
    <row r="104" spans="1:2" x14ac:dyDescent="0.3">
      <c r="A104" s="4" t="s">
        <v>204</v>
      </c>
      <c r="B104">
        <v>51</v>
      </c>
    </row>
    <row r="105" spans="1:2" x14ac:dyDescent="0.3">
      <c r="A105" s="4" t="s">
        <v>47</v>
      </c>
      <c r="B105">
        <v>259</v>
      </c>
    </row>
    <row r="106" spans="1:2" x14ac:dyDescent="0.3">
      <c r="A106" s="4" t="s">
        <v>196</v>
      </c>
      <c r="B106">
        <v>53</v>
      </c>
    </row>
    <row r="107" spans="1:2" x14ac:dyDescent="0.3">
      <c r="A107" s="4" t="s">
        <v>206</v>
      </c>
      <c r="B107">
        <v>180</v>
      </c>
    </row>
    <row r="108" spans="1:2" x14ac:dyDescent="0.3">
      <c r="A108" s="4" t="s">
        <v>254</v>
      </c>
      <c r="B108">
        <v>598</v>
      </c>
    </row>
  </sheetData>
  <mergeCells count="1">
    <mergeCell ref="D3:E3"/>
  </mergeCells>
  <pageMargins left="0.7" right="0.7" top="0.75" bottom="0.75" header="0.3" footer="0.3"/>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7B3FBB-9520-4D23-9B73-FBF0B96F5F0B}">
  <dimension ref="A1"/>
  <sheetViews>
    <sheetView showGridLines="0" topLeftCell="A3" zoomScale="80" zoomScaleNormal="80" workbookViewId="0">
      <selection activeCell="AA9" sqref="AA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883B9-66E8-406F-ACB4-551A73842065}">
  <dimension ref="A1:P2997"/>
  <sheetViews>
    <sheetView tabSelected="1" zoomScale="83" zoomScaleNormal="100" workbookViewId="0">
      <selection activeCell="P9" sqref="P9"/>
    </sheetView>
  </sheetViews>
  <sheetFormatPr defaultRowHeight="14.4" x14ac:dyDescent="0.3"/>
  <cols>
    <col min="1" max="1" width="11.33203125" customWidth="1"/>
    <col min="2" max="2" width="14.33203125" customWidth="1"/>
    <col min="3" max="3" width="17.5546875" customWidth="1"/>
    <col min="4" max="4" width="29.21875" bestFit="1" customWidth="1"/>
    <col min="5" max="5" width="11.5546875" bestFit="1" customWidth="1"/>
    <col min="6" max="6" width="14.88671875" bestFit="1" customWidth="1"/>
    <col min="7" max="7" width="37" bestFit="1" customWidth="1"/>
    <col min="8" max="8" width="16.88671875" customWidth="1"/>
    <col min="9" max="9" width="10.88671875" customWidth="1"/>
    <col min="10" max="10" width="10.21875" customWidth="1"/>
    <col min="11" max="11" width="11.109375" bestFit="1" customWidth="1"/>
    <col min="12" max="13" width="10.109375" bestFit="1" customWidth="1"/>
    <col min="14" max="14" width="17.21875" customWidth="1"/>
    <col min="16" max="16" width="11.33203125" bestFit="1" customWidth="1"/>
    <col min="17" max="17" width="14.5546875" bestFit="1" customWidth="1"/>
    <col min="18" max="18" width="7.6640625" bestFit="1" customWidth="1"/>
  </cols>
  <sheetData>
    <row r="1" spans="1:14" x14ac:dyDescent="0.3">
      <c r="A1" t="s">
        <v>0</v>
      </c>
      <c r="B1" t="s">
        <v>1</v>
      </c>
      <c r="C1" t="s">
        <v>2</v>
      </c>
      <c r="D1" t="s">
        <v>3</v>
      </c>
      <c r="E1" t="s">
        <v>4</v>
      </c>
      <c r="F1" t="s">
        <v>5</v>
      </c>
      <c r="G1" t="s">
        <v>6</v>
      </c>
      <c r="H1" t="s">
        <v>7</v>
      </c>
      <c r="I1" t="s">
        <v>8</v>
      </c>
      <c r="J1" t="s">
        <v>9</v>
      </c>
      <c r="K1" t="s">
        <v>10</v>
      </c>
      <c r="L1" t="s">
        <v>11</v>
      </c>
      <c r="M1" t="s">
        <v>12</v>
      </c>
      <c r="N1" t="s">
        <v>13</v>
      </c>
    </row>
    <row r="2" spans="1:14" x14ac:dyDescent="0.3">
      <c r="A2" s="1">
        <v>37627</v>
      </c>
      <c r="B2">
        <v>10100</v>
      </c>
      <c r="C2">
        <v>363</v>
      </c>
      <c r="D2" t="s">
        <v>198</v>
      </c>
      <c r="E2" t="s">
        <v>14</v>
      </c>
      <c r="F2" t="s">
        <v>15</v>
      </c>
      <c r="G2" t="s">
        <v>16</v>
      </c>
      <c r="H2">
        <v>30</v>
      </c>
      <c r="I2" s="2">
        <v>136</v>
      </c>
      <c r="J2" s="2">
        <v>86.7</v>
      </c>
      <c r="K2" s="2">
        <v>4080</v>
      </c>
      <c r="L2" s="2">
        <v>2601</v>
      </c>
      <c r="M2" s="2">
        <v>1479</v>
      </c>
      <c r="N2">
        <v>1</v>
      </c>
    </row>
    <row r="3" spans="1:14" x14ac:dyDescent="0.3">
      <c r="A3" s="1">
        <v>37627</v>
      </c>
      <c r="B3">
        <v>10100</v>
      </c>
      <c r="C3">
        <v>363</v>
      </c>
      <c r="D3" t="s">
        <v>198</v>
      </c>
      <c r="E3" t="s">
        <v>14</v>
      </c>
      <c r="F3" t="s">
        <v>15</v>
      </c>
      <c r="G3" t="s">
        <v>17</v>
      </c>
      <c r="H3">
        <v>50</v>
      </c>
      <c r="I3" s="2">
        <v>55.09</v>
      </c>
      <c r="J3" s="2">
        <v>33.299999999999997</v>
      </c>
      <c r="K3" s="2">
        <v>2754.5</v>
      </c>
      <c r="L3" s="2">
        <v>1665</v>
      </c>
      <c r="M3" s="2">
        <v>1089.5</v>
      </c>
      <c r="N3">
        <v>1</v>
      </c>
    </row>
    <row r="4" spans="1:14" x14ac:dyDescent="0.3">
      <c r="A4" s="1">
        <v>37627</v>
      </c>
      <c r="B4">
        <v>10100</v>
      </c>
      <c r="C4">
        <v>363</v>
      </c>
      <c r="D4" t="s">
        <v>198</v>
      </c>
      <c r="E4" t="s">
        <v>14</v>
      </c>
      <c r="F4" t="s">
        <v>15</v>
      </c>
      <c r="G4" t="s">
        <v>18</v>
      </c>
      <c r="H4">
        <v>22</v>
      </c>
      <c r="I4" s="2">
        <v>75.459999999999994</v>
      </c>
      <c r="J4" s="2">
        <v>43.26</v>
      </c>
      <c r="K4" s="2">
        <v>1660.12</v>
      </c>
      <c r="L4" s="2">
        <v>951.72</v>
      </c>
      <c r="M4" s="2">
        <v>708.4</v>
      </c>
      <c r="N4">
        <v>1</v>
      </c>
    </row>
    <row r="5" spans="1:14" x14ac:dyDescent="0.3">
      <c r="A5" s="1">
        <v>37627</v>
      </c>
      <c r="B5">
        <v>10100</v>
      </c>
      <c r="C5">
        <v>363</v>
      </c>
      <c r="D5" t="s">
        <v>198</v>
      </c>
      <c r="E5" t="s">
        <v>14</v>
      </c>
      <c r="F5" t="s">
        <v>15</v>
      </c>
      <c r="G5" t="s">
        <v>19</v>
      </c>
      <c r="H5">
        <v>49</v>
      </c>
      <c r="I5" s="2">
        <v>35.29</v>
      </c>
      <c r="J5" s="2">
        <v>21.75</v>
      </c>
      <c r="K5" s="2">
        <v>1729.21</v>
      </c>
      <c r="L5" s="2">
        <v>1065.75</v>
      </c>
      <c r="M5" s="2">
        <v>663.46</v>
      </c>
      <c r="N5">
        <v>1</v>
      </c>
    </row>
    <row r="6" spans="1:14" x14ac:dyDescent="0.3">
      <c r="A6" s="1">
        <v>37630</v>
      </c>
      <c r="B6">
        <v>10101</v>
      </c>
      <c r="C6">
        <v>128</v>
      </c>
      <c r="D6" t="s">
        <v>199</v>
      </c>
      <c r="E6" t="s">
        <v>20</v>
      </c>
      <c r="F6" t="s">
        <v>15</v>
      </c>
      <c r="G6" t="s">
        <v>21</v>
      </c>
      <c r="H6">
        <v>25</v>
      </c>
      <c r="I6" s="2">
        <v>108.06</v>
      </c>
      <c r="J6" s="2">
        <v>58.48</v>
      </c>
      <c r="K6" s="2">
        <v>2701.5</v>
      </c>
      <c r="L6" s="2">
        <v>1462</v>
      </c>
      <c r="M6" s="2">
        <v>1239.5</v>
      </c>
      <c r="N6">
        <v>1</v>
      </c>
    </row>
    <row r="7" spans="1:14" x14ac:dyDescent="0.3">
      <c r="A7" s="1">
        <v>37630</v>
      </c>
      <c r="B7">
        <v>10101</v>
      </c>
      <c r="C7">
        <v>128</v>
      </c>
      <c r="D7" t="s">
        <v>199</v>
      </c>
      <c r="E7" t="s">
        <v>20</v>
      </c>
      <c r="F7" t="s">
        <v>15</v>
      </c>
      <c r="G7" t="s">
        <v>22</v>
      </c>
      <c r="H7">
        <v>26</v>
      </c>
      <c r="I7" s="2">
        <v>167.06</v>
      </c>
      <c r="J7" s="2">
        <v>72.56</v>
      </c>
      <c r="K7" s="2">
        <v>4343.5600000000004</v>
      </c>
      <c r="L7" s="2">
        <v>1886.56</v>
      </c>
      <c r="M7" s="2">
        <v>2457</v>
      </c>
      <c r="N7">
        <v>1</v>
      </c>
    </row>
    <row r="8" spans="1:14" x14ac:dyDescent="0.3">
      <c r="A8" s="1">
        <v>37630</v>
      </c>
      <c r="B8">
        <v>10101</v>
      </c>
      <c r="C8">
        <v>128</v>
      </c>
      <c r="D8" t="s">
        <v>199</v>
      </c>
      <c r="E8" t="s">
        <v>20</v>
      </c>
      <c r="F8" t="s">
        <v>15</v>
      </c>
      <c r="G8" t="s">
        <v>23</v>
      </c>
      <c r="H8">
        <v>45</v>
      </c>
      <c r="I8" s="2">
        <v>32.53</v>
      </c>
      <c r="J8" s="2">
        <v>22.57</v>
      </c>
      <c r="K8" s="2">
        <v>1463.85</v>
      </c>
      <c r="L8" s="2">
        <v>1015.65</v>
      </c>
      <c r="M8" s="2">
        <v>448.2</v>
      </c>
      <c r="N8">
        <v>1</v>
      </c>
    </row>
    <row r="9" spans="1:14" x14ac:dyDescent="0.3">
      <c r="A9" s="1">
        <v>37630</v>
      </c>
      <c r="B9">
        <v>10101</v>
      </c>
      <c r="C9">
        <v>128</v>
      </c>
      <c r="D9" t="s">
        <v>199</v>
      </c>
      <c r="E9" t="s">
        <v>20</v>
      </c>
      <c r="F9" t="s">
        <v>15</v>
      </c>
      <c r="G9" t="s">
        <v>24</v>
      </c>
      <c r="H9">
        <v>46</v>
      </c>
      <c r="I9" s="2">
        <v>44.35</v>
      </c>
      <c r="J9" s="2">
        <v>20.61</v>
      </c>
      <c r="K9" s="2">
        <v>2040.1</v>
      </c>
      <c r="L9" s="2">
        <v>948.06</v>
      </c>
      <c r="M9" s="2">
        <v>1092.04</v>
      </c>
      <c r="N9">
        <v>1</v>
      </c>
    </row>
    <row r="10" spans="1:14" x14ac:dyDescent="0.3">
      <c r="A10" s="1">
        <v>37631</v>
      </c>
      <c r="B10">
        <v>10102</v>
      </c>
      <c r="C10">
        <v>181</v>
      </c>
      <c r="D10" t="s">
        <v>200</v>
      </c>
      <c r="E10" t="s">
        <v>14</v>
      </c>
      <c r="F10" t="s">
        <v>15</v>
      </c>
      <c r="G10" t="s">
        <v>25</v>
      </c>
      <c r="H10">
        <v>39</v>
      </c>
      <c r="I10" s="2">
        <v>95.55</v>
      </c>
      <c r="J10" s="2">
        <v>60.62</v>
      </c>
      <c r="K10" s="2">
        <v>3726.45</v>
      </c>
      <c r="L10" s="2">
        <v>2364.1799999999998</v>
      </c>
      <c r="M10" s="2">
        <v>1362.27</v>
      </c>
      <c r="N10">
        <v>1</v>
      </c>
    </row>
    <row r="11" spans="1:14" x14ac:dyDescent="0.3">
      <c r="A11" s="1">
        <v>37631</v>
      </c>
      <c r="B11">
        <v>10102</v>
      </c>
      <c r="C11">
        <v>181</v>
      </c>
      <c r="D11" t="s">
        <v>200</v>
      </c>
      <c r="E11" t="s">
        <v>14</v>
      </c>
      <c r="F11" t="s">
        <v>15</v>
      </c>
      <c r="G11" t="s">
        <v>26</v>
      </c>
      <c r="H11">
        <v>41</v>
      </c>
      <c r="I11" s="2">
        <v>43.13</v>
      </c>
      <c r="J11" s="2">
        <v>24.26</v>
      </c>
      <c r="K11" s="2">
        <v>1768.33</v>
      </c>
      <c r="L11" s="2">
        <v>994.66</v>
      </c>
      <c r="M11" s="2">
        <v>773.67</v>
      </c>
      <c r="N11">
        <v>1</v>
      </c>
    </row>
    <row r="12" spans="1:14" x14ac:dyDescent="0.3">
      <c r="A12" s="1">
        <v>37650</v>
      </c>
      <c r="B12">
        <v>10103</v>
      </c>
      <c r="C12">
        <v>121</v>
      </c>
      <c r="D12" t="s">
        <v>27</v>
      </c>
      <c r="E12" t="s">
        <v>28</v>
      </c>
      <c r="F12" t="s">
        <v>29</v>
      </c>
      <c r="G12" t="s">
        <v>30</v>
      </c>
      <c r="H12">
        <v>26</v>
      </c>
      <c r="I12" s="2">
        <v>214.3</v>
      </c>
      <c r="J12" s="2">
        <v>98.58</v>
      </c>
      <c r="K12" s="2">
        <v>5571.8</v>
      </c>
      <c r="L12" s="2">
        <v>2563.08</v>
      </c>
      <c r="M12" s="2">
        <v>3008.72</v>
      </c>
      <c r="N12">
        <v>1</v>
      </c>
    </row>
    <row r="13" spans="1:14" x14ac:dyDescent="0.3">
      <c r="A13" s="1">
        <v>37650</v>
      </c>
      <c r="B13">
        <v>10103</v>
      </c>
      <c r="C13">
        <v>121</v>
      </c>
      <c r="D13" t="s">
        <v>27</v>
      </c>
      <c r="E13" t="s">
        <v>28</v>
      </c>
      <c r="F13" t="s">
        <v>29</v>
      </c>
      <c r="G13" t="s">
        <v>31</v>
      </c>
      <c r="H13">
        <v>42</v>
      </c>
      <c r="I13" s="2">
        <v>119.67</v>
      </c>
      <c r="J13" s="2">
        <v>103.42</v>
      </c>
      <c r="K13" s="2">
        <v>5026.1400000000003</v>
      </c>
      <c r="L13" s="2">
        <v>4343.6400000000003</v>
      </c>
      <c r="M13" s="2">
        <v>682.5</v>
      </c>
      <c r="N13">
        <v>1</v>
      </c>
    </row>
    <row r="14" spans="1:14" x14ac:dyDescent="0.3">
      <c r="A14" s="1">
        <v>37650</v>
      </c>
      <c r="B14">
        <v>10103</v>
      </c>
      <c r="C14">
        <v>121</v>
      </c>
      <c r="D14" t="s">
        <v>27</v>
      </c>
      <c r="E14" t="s">
        <v>28</v>
      </c>
      <c r="F14" t="s">
        <v>32</v>
      </c>
      <c r="G14" t="s">
        <v>33</v>
      </c>
      <c r="H14">
        <v>27</v>
      </c>
      <c r="I14" s="2">
        <v>121.64</v>
      </c>
      <c r="J14" s="2">
        <v>77.900000000000006</v>
      </c>
      <c r="K14" s="2">
        <v>3284.28</v>
      </c>
      <c r="L14" s="2">
        <v>2103.3000000000002</v>
      </c>
      <c r="M14" s="2">
        <v>1180.98</v>
      </c>
      <c r="N14">
        <v>1</v>
      </c>
    </row>
    <row r="15" spans="1:14" x14ac:dyDescent="0.3">
      <c r="A15" s="1">
        <v>37650</v>
      </c>
      <c r="B15">
        <v>10103</v>
      </c>
      <c r="C15">
        <v>121</v>
      </c>
      <c r="D15" t="s">
        <v>27</v>
      </c>
      <c r="E15" t="s">
        <v>28</v>
      </c>
      <c r="F15" t="s">
        <v>32</v>
      </c>
      <c r="G15" t="s">
        <v>34</v>
      </c>
      <c r="H15">
        <v>35</v>
      </c>
      <c r="I15" s="2">
        <v>94.5</v>
      </c>
      <c r="J15" s="2">
        <v>58.33</v>
      </c>
      <c r="K15" s="2">
        <v>3307.5</v>
      </c>
      <c r="L15" s="2">
        <v>2041.55</v>
      </c>
      <c r="M15" s="2">
        <v>1265.95</v>
      </c>
      <c r="N15">
        <v>1</v>
      </c>
    </row>
    <row r="16" spans="1:14" x14ac:dyDescent="0.3">
      <c r="A16" s="1">
        <v>37650</v>
      </c>
      <c r="B16">
        <v>10103</v>
      </c>
      <c r="C16">
        <v>121</v>
      </c>
      <c r="D16" t="s">
        <v>27</v>
      </c>
      <c r="E16" t="s">
        <v>28</v>
      </c>
      <c r="F16" t="s">
        <v>32</v>
      </c>
      <c r="G16" t="s">
        <v>35</v>
      </c>
      <c r="H16">
        <v>22</v>
      </c>
      <c r="I16" s="2">
        <v>58.34</v>
      </c>
      <c r="J16" s="2">
        <v>24.92</v>
      </c>
      <c r="K16" s="2">
        <v>1283.48</v>
      </c>
      <c r="L16" s="2">
        <v>548.24</v>
      </c>
      <c r="M16" s="2">
        <v>735.24</v>
      </c>
      <c r="N16">
        <v>1</v>
      </c>
    </row>
    <row r="17" spans="1:14" x14ac:dyDescent="0.3">
      <c r="A17" s="1">
        <v>37650</v>
      </c>
      <c r="B17">
        <v>10103</v>
      </c>
      <c r="C17">
        <v>121</v>
      </c>
      <c r="D17" t="s">
        <v>27</v>
      </c>
      <c r="E17" t="s">
        <v>28</v>
      </c>
      <c r="F17" t="s">
        <v>15</v>
      </c>
      <c r="G17" t="s">
        <v>36</v>
      </c>
      <c r="H17">
        <v>27</v>
      </c>
      <c r="I17" s="2">
        <v>92.19</v>
      </c>
      <c r="J17" s="2">
        <v>60.78</v>
      </c>
      <c r="K17" s="2">
        <v>2489.13</v>
      </c>
      <c r="L17" s="2">
        <v>1641.06</v>
      </c>
      <c r="M17" s="2">
        <v>848.07</v>
      </c>
      <c r="N17">
        <v>1</v>
      </c>
    </row>
    <row r="18" spans="1:14" x14ac:dyDescent="0.3">
      <c r="A18" s="1">
        <v>37650</v>
      </c>
      <c r="B18">
        <v>10103</v>
      </c>
      <c r="C18">
        <v>121</v>
      </c>
      <c r="D18" t="s">
        <v>27</v>
      </c>
      <c r="E18" t="s">
        <v>28</v>
      </c>
      <c r="F18" t="s">
        <v>15</v>
      </c>
      <c r="G18" t="s">
        <v>37</v>
      </c>
      <c r="H18">
        <v>35</v>
      </c>
      <c r="I18" s="2">
        <v>61.84</v>
      </c>
      <c r="J18" s="2">
        <v>34.35</v>
      </c>
      <c r="K18" s="2">
        <v>2164.4</v>
      </c>
      <c r="L18" s="2">
        <v>1202.25</v>
      </c>
      <c r="M18" s="2">
        <v>962.15</v>
      </c>
      <c r="N18">
        <v>1</v>
      </c>
    </row>
    <row r="19" spans="1:14" x14ac:dyDescent="0.3">
      <c r="A19" s="1">
        <v>37650</v>
      </c>
      <c r="B19">
        <v>10103</v>
      </c>
      <c r="C19">
        <v>121</v>
      </c>
      <c r="D19" t="s">
        <v>27</v>
      </c>
      <c r="E19" t="s">
        <v>28</v>
      </c>
      <c r="F19" t="s">
        <v>15</v>
      </c>
      <c r="G19" t="s">
        <v>38</v>
      </c>
      <c r="H19">
        <v>25</v>
      </c>
      <c r="I19" s="2">
        <v>86.92</v>
      </c>
      <c r="J19" s="2">
        <v>60.74</v>
      </c>
      <c r="K19" s="2">
        <v>2173</v>
      </c>
      <c r="L19" s="2">
        <v>1518.5</v>
      </c>
      <c r="M19" s="2">
        <v>654.5</v>
      </c>
      <c r="N19">
        <v>1</v>
      </c>
    </row>
    <row r="20" spans="1:14" x14ac:dyDescent="0.3">
      <c r="A20" s="1">
        <v>37650</v>
      </c>
      <c r="B20">
        <v>10103</v>
      </c>
      <c r="C20">
        <v>121</v>
      </c>
      <c r="D20" t="s">
        <v>27</v>
      </c>
      <c r="E20" t="s">
        <v>28</v>
      </c>
      <c r="F20" t="s">
        <v>15</v>
      </c>
      <c r="G20" t="s">
        <v>39</v>
      </c>
      <c r="H20">
        <v>46</v>
      </c>
      <c r="I20" s="2">
        <v>86.31</v>
      </c>
      <c r="J20" s="2">
        <v>57.54</v>
      </c>
      <c r="K20" s="2">
        <v>3970.26</v>
      </c>
      <c r="L20" s="2">
        <v>2646.84</v>
      </c>
      <c r="M20" s="2">
        <v>1323.42</v>
      </c>
      <c r="N20">
        <v>1</v>
      </c>
    </row>
    <row r="21" spans="1:14" x14ac:dyDescent="0.3">
      <c r="A21" s="1">
        <v>37650</v>
      </c>
      <c r="B21">
        <v>10103</v>
      </c>
      <c r="C21">
        <v>121</v>
      </c>
      <c r="D21" t="s">
        <v>27</v>
      </c>
      <c r="E21" t="s">
        <v>28</v>
      </c>
      <c r="F21" t="s">
        <v>32</v>
      </c>
      <c r="G21" t="s">
        <v>40</v>
      </c>
      <c r="H21">
        <v>36</v>
      </c>
      <c r="I21" s="2">
        <v>98.07</v>
      </c>
      <c r="J21" s="2">
        <v>84.76</v>
      </c>
      <c r="K21" s="2">
        <v>3530.52</v>
      </c>
      <c r="L21" s="2">
        <v>3051.36</v>
      </c>
      <c r="M21" s="2">
        <v>479.16</v>
      </c>
      <c r="N21">
        <v>1</v>
      </c>
    </row>
    <row r="22" spans="1:14" x14ac:dyDescent="0.3">
      <c r="A22" s="1">
        <v>37650</v>
      </c>
      <c r="B22">
        <v>10103</v>
      </c>
      <c r="C22">
        <v>121</v>
      </c>
      <c r="D22" t="s">
        <v>27</v>
      </c>
      <c r="E22" t="s">
        <v>28</v>
      </c>
      <c r="F22" t="s">
        <v>15</v>
      </c>
      <c r="G22" t="s">
        <v>41</v>
      </c>
      <c r="H22">
        <v>41</v>
      </c>
      <c r="I22" s="2">
        <v>40.75</v>
      </c>
      <c r="J22" s="2">
        <v>23.14</v>
      </c>
      <c r="K22" s="2">
        <v>1670.75</v>
      </c>
      <c r="L22" s="2">
        <v>948.74</v>
      </c>
      <c r="M22" s="2">
        <v>722.01</v>
      </c>
      <c r="N22">
        <v>1</v>
      </c>
    </row>
    <row r="23" spans="1:14" x14ac:dyDescent="0.3">
      <c r="A23" s="1">
        <v>37650</v>
      </c>
      <c r="B23">
        <v>10103</v>
      </c>
      <c r="C23">
        <v>121</v>
      </c>
      <c r="D23" t="s">
        <v>27</v>
      </c>
      <c r="E23" t="s">
        <v>28</v>
      </c>
      <c r="F23" t="s">
        <v>32</v>
      </c>
      <c r="G23" t="s">
        <v>42</v>
      </c>
      <c r="H23">
        <v>36</v>
      </c>
      <c r="I23" s="2">
        <v>107.34</v>
      </c>
      <c r="J23" s="2">
        <v>61.34</v>
      </c>
      <c r="K23" s="2">
        <v>3864.24</v>
      </c>
      <c r="L23" s="2">
        <v>2208.2399999999998</v>
      </c>
      <c r="M23" s="2">
        <v>1656</v>
      </c>
      <c r="N23">
        <v>1</v>
      </c>
    </row>
    <row r="24" spans="1:14" x14ac:dyDescent="0.3">
      <c r="A24" s="1">
        <v>37650</v>
      </c>
      <c r="B24">
        <v>10103</v>
      </c>
      <c r="C24">
        <v>121</v>
      </c>
      <c r="D24" t="s">
        <v>27</v>
      </c>
      <c r="E24" t="s">
        <v>28</v>
      </c>
      <c r="F24" t="s">
        <v>15</v>
      </c>
      <c r="G24" t="s">
        <v>43</v>
      </c>
      <c r="H24">
        <v>25</v>
      </c>
      <c r="I24" s="2">
        <v>88.62</v>
      </c>
      <c r="J24" s="2">
        <v>57.46</v>
      </c>
      <c r="K24" s="2">
        <v>2215.5</v>
      </c>
      <c r="L24" s="2">
        <v>1436.5</v>
      </c>
      <c r="M24" s="2">
        <v>779</v>
      </c>
      <c r="N24">
        <v>1</v>
      </c>
    </row>
    <row r="25" spans="1:14" x14ac:dyDescent="0.3">
      <c r="A25" s="1">
        <v>37650</v>
      </c>
      <c r="B25">
        <v>10103</v>
      </c>
      <c r="C25">
        <v>121</v>
      </c>
      <c r="D25" t="s">
        <v>27</v>
      </c>
      <c r="E25" t="s">
        <v>28</v>
      </c>
      <c r="F25" t="s">
        <v>32</v>
      </c>
      <c r="G25" t="s">
        <v>44</v>
      </c>
      <c r="H25">
        <v>31</v>
      </c>
      <c r="I25" s="2">
        <v>92.46</v>
      </c>
      <c r="J25" s="2">
        <v>53.93</v>
      </c>
      <c r="K25" s="2">
        <v>2866.26</v>
      </c>
      <c r="L25" s="2">
        <v>1671.83</v>
      </c>
      <c r="M25" s="2">
        <v>1194.43</v>
      </c>
      <c r="N25">
        <v>1</v>
      </c>
    </row>
    <row r="26" spans="1:14" x14ac:dyDescent="0.3">
      <c r="A26" s="1">
        <v>37650</v>
      </c>
      <c r="B26">
        <v>10103</v>
      </c>
      <c r="C26">
        <v>121</v>
      </c>
      <c r="D26" t="s">
        <v>27</v>
      </c>
      <c r="E26" t="s">
        <v>28</v>
      </c>
      <c r="F26" t="s">
        <v>32</v>
      </c>
      <c r="G26" t="s">
        <v>45</v>
      </c>
      <c r="H26">
        <v>45</v>
      </c>
      <c r="I26" s="2">
        <v>63.35</v>
      </c>
      <c r="J26" s="2">
        <v>33.61</v>
      </c>
      <c r="K26" s="2">
        <v>2850.75</v>
      </c>
      <c r="L26" s="2">
        <v>1512.45</v>
      </c>
      <c r="M26" s="2">
        <v>1338.3</v>
      </c>
      <c r="N26">
        <v>1</v>
      </c>
    </row>
    <row r="27" spans="1:14" x14ac:dyDescent="0.3">
      <c r="A27" s="1">
        <v>37650</v>
      </c>
      <c r="B27">
        <v>10103</v>
      </c>
      <c r="C27">
        <v>121</v>
      </c>
      <c r="D27" t="s">
        <v>27</v>
      </c>
      <c r="E27" t="s">
        <v>28</v>
      </c>
      <c r="F27" t="s">
        <v>29</v>
      </c>
      <c r="G27" t="s">
        <v>46</v>
      </c>
      <c r="H27">
        <v>42</v>
      </c>
      <c r="I27" s="2">
        <v>94.07</v>
      </c>
      <c r="J27" s="2">
        <v>46.53</v>
      </c>
      <c r="K27" s="2">
        <v>3950.94</v>
      </c>
      <c r="L27" s="2">
        <v>1954.26</v>
      </c>
      <c r="M27" s="2">
        <v>1996.68</v>
      </c>
      <c r="N27">
        <v>1</v>
      </c>
    </row>
    <row r="28" spans="1:14" x14ac:dyDescent="0.3">
      <c r="A28" s="1">
        <v>37652</v>
      </c>
      <c r="B28">
        <v>10104</v>
      </c>
      <c r="C28">
        <v>141</v>
      </c>
      <c r="D28" t="s">
        <v>47</v>
      </c>
      <c r="E28" t="s">
        <v>48</v>
      </c>
      <c r="F28" t="s">
        <v>29</v>
      </c>
      <c r="G28" t="s">
        <v>49</v>
      </c>
      <c r="H28">
        <v>34</v>
      </c>
      <c r="I28" s="2">
        <v>131.44</v>
      </c>
      <c r="J28" s="2">
        <v>89.14</v>
      </c>
      <c r="K28" s="2">
        <v>4468.96</v>
      </c>
      <c r="L28" s="2">
        <v>3030.76</v>
      </c>
      <c r="M28" s="2">
        <v>1438.2</v>
      </c>
      <c r="N28">
        <v>1</v>
      </c>
    </row>
    <row r="29" spans="1:14" x14ac:dyDescent="0.3">
      <c r="A29" s="1">
        <v>37652</v>
      </c>
      <c r="B29">
        <v>10104</v>
      </c>
      <c r="C29">
        <v>141</v>
      </c>
      <c r="D29" t="s">
        <v>47</v>
      </c>
      <c r="E29" t="s">
        <v>48</v>
      </c>
      <c r="F29" t="s">
        <v>32</v>
      </c>
      <c r="G29" t="s">
        <v>50</v>
      </c>
      <c r="H29">
        <v>41</v>
      </c>
      <c r="I29" s="2">
        <v>111.39</v>
      </c>
      <c r="J29" s="2">
        <v>55.7</v>
      </c>
      <c r="K29" s="2">
        <v>4566.99</v>
      </c>
      <c r="L29" s="2">
        <v>2283.6999999999998</v>
      </c>
      <c r="M29" s="2">
        <v>2283.29</v>
      </c>
      <c r="N29">
        <v>1</v>
      </c>
    </row>
    <row r="30" spans="1:14" x14ac:dyDescent="0.3">
      <c r="A30" s="1">
        <v>37652</v>
      </c>
      <c r="B30">
        <v>10104</v>
      </c>
      <c r="C30">
        <v>141</v>
      </c>
      <c r="D30" t="s">
        <v>47</v>
      </c>
      <c r="E30" t="s">
        <v>48</v>
      </c>
      <c r="F30" t="s">
        <v>29</v>
      </c>
      <c r="G30" t="s">
        <v>51</v>
      </c>
      <c r="H30">
        <v>24</v>
      </c>
      <c r="I30" s="2">
        <v>135.9</v>
      </c>
      <c r="J30" s="2">
        <v>101.51</v>
      </c>
      <c r="K30" s="2">
        <v>3261.6</v>
      </c>
      <c r="L30" s="2">
        <v>2436.2399999999998</v>
      </c>
      <c r="M30" s="2">
        <v>825.36</v>
      </c>
      <c r="N30">
        <v>1</v>
      </c>
    </row>
    <row r="31" spans="1:14" x14ac:dyDescent="0.3">
      <c r="A31" s="1">
        <v>37652</v>
      </c>
      <c r="B31">
        <v>10104</v>
      </c>
      <c r="C31">
        <v>141</v>
      </c>
      <c r="D31" t="s">
        <v>47</v>
      </c>
      <c r="E31" t="s">
        <v>48</v>
      </c>
      <c r="F31" t="s">
        <v>32</v>
      </c>
      <c r="G31" t="s">
        <v>52</v>
      </c>
      <c r="H31">
        <v>29</v>
      </c>
      <c r="I31" s="2">
        <v>122.73</v>
      </c>
      <c r="J31" s="2">
        <v>74.86</v>
      </c>
      <c r="K31" s="2">
        <v>3559.17</v>
      </c>
      <c r="L31" s="2">
        <v>2170.94</v>
      </c>
      <c r="M31" s="2">
        <v>1388.23</v>
      </c>
      <c r="N31">
        <v>1</v>
      </c>
    </row>
    <row r="32" spans="1:14" x14ac:dyDescent="0.3">
      <c r="A32" s="1">
        <v>37652</v>
      </c>
      <c r="B32">
        <v>10104</v>
      </c>
      <c r="C32">
        <v>141</v>
      </c>
      <c r="D32" t="s">
        <v>47</v>
      </c>
      <c r="E32" t="s">
        <v>48</v>
      </c>
      <c r="F32" t="s">
        <v>29</v>
      </c>
      <c r="G32" t="s">
        <v>53</v>
      </c>
      <c r="H32">
        <v>23</v>
      </c>
      <c r="I32" s="2">
        <v>165.95</v>
      </c>
      <c r="J32" s="2">
        <v>77.900000000000006</v>
      </c>
      <c r="K32" s="2">
        <v>3816.85</v>
      </c>
      <c r="L32" s="2">
        <v>1791.7</v>
      </c>
      <c r="M32" s="2">
        <v>2025.15</v>
      </c>
      <c r="N32">
        <v>1</v>
      </c>
    </row>
    <row r="33" spans="1:14" x14ac:dyDescent="0.3">
      <c r="A33" s="1">
        <v>37652</v>
      </c>
      <c r="B33">
        <v>10104</v>
      </c>
      <c r="C33">
        <v>141</v>
      </c>
      <c r="D33" t="s">
        <v>47</v>
      </c>
      <c r="E33" t="s">
        <v>48</v>
      </c>
      <c r="F33" t="s">
        <v>29</v>
      </c>
      <c r="G33" t="s">
        <v>54</v>
      </c>
      <c r="H33">
        <v>38</v>
      </c>
      <c r="I33" s="2">
        <v>119.2</v>
      </c>
      <c r="J33" s="2">
        <v>91.92</v>
      </c>
      <c r="K33" s="2">
        <v>4529.6000000000004</v>
      </c>
      <c r="L33" s="2">
        <v>3492.96</v>
      </c>
      <c r="M33" s="2">
        <v>1036.6400000000001</v>
      </c>
      <c r="N33">
        <v>1</v>
      </c>
    </row>
    <row r="34" spans="1:14" x14ac:dyDescent="0.3">
      <c r="A34" s="1">
        <v>37652</v>
      </c>
      <c r="B34">
        <v>10104</v>
      </c>
      <c r="C34">
        <v>141</v>
      </c>
      <c r="D34" t="s">
        <v>47</v>
      </c>
      <c r="E34" t="s">
        <v>48</v>
      </c>
      <c r="F34" t="s">
        <v>29</v>
      </c>
      <c r="G34" t="s">
        <v>55</v>
      </c>
      <c r="H34">
        <v>35</v>
      </c>
      <c r="I34" s="2">
        <v>52.02</v>
      </c>
      <c r="J34" s="2">
        <v>32.369999999999997</v>
      </c>
      <c r="K34" s="2">
        <v>1820.7</v>
      </c>
      <c r="L34" s="2">
        <v>1132.95</v>
      </c>
      <c r="M34" s="2">
        <v>687.75</v>
      </c>
      <c r="N34">
        <v>1</v>
      </c>
    </row>
    <row r="35" spans="1:14" x14ac:dyDescent="0.3">
      <c r="A35" s="1">
        <v>37652</v>
      </c>
      <c r="B35">
        <v>10104</v>
      </c>
      <c r="C35">
        <v>141</v>
      </c>
      <c r="D35" t="s">
        <v>47</v>
      </c>
      <c r="E35" t="s">
        <v>48</v>
      </c>
      <c r="F35" t="s">
        <v>29</v>
      </c>
      <c r="G35" t="s">
        <v>56</v>
      </c>
      <c r="H35">
        <v>44</v>
      </c>
      <c r="I35" s="2">
        <v>30.41</v>
      </c>
      <c r="J35" s="2">
        <v>15.91</v>
      </c>
      <c r="K35" s="2">
        <v>1338.04</v>
      </c>
      <c r="L35" s="2">
        <v>700.04</v>
      </c>
      <c r="M35" s="2">
        <v>638</v>
      </c>
      <c r="N35">
        <v>1</v>
      </c>
    </row>
    <row r="36" spans="1:14" x14ac:dyDescent="0.3">
      <c r="A36" s="1">
        <v>37652</v>
      </c>
      <c r="B36">
        <v>10104</v>
      </c>
      <c r="C36">
        <v>141</v>
      </c>
      <c r="D36" t="s">
        <v>47</v>
      </c>
      <c r="E36" t="s">
        <v>48</v>
      </c>
      <c r="F36" t="s">
        <v>29</v>
      </c>
      <c r="G36" t="s">
        <v>57</v>
      </c>
      <c r="H36">
        <v>26</v>
      </c>
      <c r="I36" s="2">
        <v>106.45</v>
      </c>
      <c r="J36" s="2">
        <v>69.78</v>
      </c>
      <c r="K36" s="2">
        <v>2767.7</v>
      </c>
      <c r="L36" s="2">
        <v>1814.28</v>
      </c>
      <c r="M36" s="2">
        <v>953.42</v>
      </c>
      <c r="N36">
        <v>1</v>
      </c>
    </row>
    <row r="37" spans="1:14" x14ac:dyDescent="0.3">
      <c r="A37" s="1">
        <v>37652</v>
      </c>
      <c r="B37">
        <v>10104</v>
      </c>
      <c r="C37">
        <v>141</v>
      </c>
      <c r="D37" t="s">
        <v>47</v>
      </c>
      <c r="E37" t="s">
        <v>48</v>
      </c>
      <c r="F37" t="s">
        <v>32</v>
      </c>
      <c r="G37" t="s">
        <v>58</v>
      </c>
      <c r="H37">
        <v>35</v>
      </c>
      <c r="I37" s="2">
        <v>51.95</v>
      </c>
      <c r="J37" s="2">
        <v>25.98</v>
      </c>
      <c r="K37" s="2">
        <v>1818.25</v>
      </c>
      <c r="L37" s="2">
        <v>909.3</v>
      </c>
      <c r="M37" s="2">
        <v>908.95</v>
      </c>
      <c r="N37">
        <v>1</v>
      </c>
    </row>
    <row r="38" spans="1:14" x14ac:dyDescent="0.3">
      <c r="A38" s="1">
        <v>37652</v>
      </c>
      <c r="B38">
        <v>10104</v>
      </c>
      <c r="C38">
        <v>141</v>
      </c>
      <c r="D38" t="s">
        <v>47</v>
      </c>
      <c r="E38" t="s">
        <v>48</v>
      </c>
      <c r="F38" t="s">
        <v>59</v>
      </c>
      <c r="G38" t="s">
        <v>60</v>
      </c>
      <c r="H38">
        <v>49</v>
      </c>
      <c r="I38" s="2">
        <v>56.55</v>
      </c>
      <c r="J38" s="2">
        <v>26.72</v>
      </c>
      <c r="K38" s="2">
        <v>2770.95</v>
      </c>
      <c r="L38" s="2">
        <v>1309.28</v>
      </c>
      <c r="M38" s="2">
        <v>1461.67</v>
      </c>
      <c r="N38">
        <v>1</v>
      </c>
    </row>
    <row r="39" spans="1:14" x14ac:dyDescent="0.3">
      <c r="A39" s="1">
        <v>37652</v>
      </c>
      <c r="B39">
        <v>10104</v>
      </c>
      <c r="C39">
        <v>141</v>
      </c>
      <c r="D39" t="s">
        <v>47</v>
      </c>
      <c r="E39" t="s">
        <v>48</v>
      </c>
      <c r="F39" t="s">
        <v>32</v>
      </c>
      <c r="G39" t="s">
        <v>61</v>
      </c>
      <c r="H39">
        <v>33</v>
      </c>
      <c r="I39" s="2">
        <v>114.59</v>
      </c>
      <c r="J39" s="2">
        <v>68.290000000000006</v>
      </c>
      <c r="K39" s="2">
        <v>3781.47</v>
      </c>
      <c r="L39" s="2">
        <v>2253.5700000000002</v>
      </c>
      <c r="M39" s="2">
        <v>1527.9</v>
      </c>
      <c r="N39">
        <v>1</v>
      </c>
    </row>
    <row r="40" spans="1:14" x14ac:dyDescent="0.3">
      <c r="A40" s="1">
        <v>37652</v>
      </c>
      <c r="B40">
        <v>10104</v>
      </c>
      <c r="C40">
        <v>141</v>
      </c>
      <c r="D40" t="s">
        <v>47</v>
      </c>
      <c r="E40" t="s">
        <v>48</v>
      </c>
      <c r="F40" t="s">
        <v>59</v>
      </c>
      <c r="G40" t="s">
        <v>62</v>
      </c>
      <c r="H40">
        <v>32</v>
      </c>
      <c r="I40" s="2">
        <v>53.31</v>
      </c>
      <c r="J40" s="2">
        <v>37.49</v>
      </c>
      <c r="K40" s="2">
        <v>1705.92</v>
      </c>
      <c r="L40" s="2">
        <v>1199.68</v>
      </c>
      <c r="M40" s="2">
        <v>506.24</v>
      </c>
      <c r="N40">
        <v>1</v>
      </c>
    </row>
    <row r="41" spans="1:14" x14ac:dyDescent="0.3">
      <c r="A41" s="1">
        <v>37663</v>
      </c>
      <c r="B41">
        <v>10105</v>
      </c>
      <c r="C41">
        <v>145</v>
      </c>
      <c r="D41" t="s">
        <v>63</v>
      </c>
      <c r="E41" t="s">
        <v>64</v>
      </c>
      <c r="F41" t="s">
        <v>29</v>
      </c>
      <c r="G41" t="s">
        <v>65</v>
      </c>
      <c r="H41">
        <v>50</v>
      </c>
      <c r="I41" s="2">
        <v>127.84</v>
      </c>
      <c r="J41" s="2">
        <v>85.68</v>
      </c>
      <c r="K41" s="2">
        <v>6392</v>
      </c>
      <c r="L41" s="2">
        <v>4284</v>
      </c>
      <c r="M41" s="2">
        <v>2108</v>
      </c>
      <c r="N41">
        <v>1</v>
      </c>
    </row>
    <row r="42" spans="1:14" x14ac:dyDescent="0.3">
      <c r="A42" s="1">
        <v>37663</v>
      </c>
      <c r="B42">
        <v>10105</v>
      </c>
      <c r="C42">
        <v>145</v>
      </c>
      <c r="D42" t="s">
        <v>63</v>
      </c>
      <c r="E42" t="s">
        <v>64</v>
      </c>
      <c r="F42" t="s">
        <v>29</v>
      </c>
      <c r="G42" t="s">
        <v>66</v>
      </c>
      <c r="H42">
        <v>41</v>
      </c>
      <c r="I42" s="2">
        <v>205.72</v>
      </c>
      <c r="J42" s="2">
        <v>95.59</v>
      </c>
      <c r="K42" s="2">
        <v>8434.52</v>
      </c>
      <c r="L42" s="2">
        <v>3919.19</v>
      </c>
      <c r="M42" s="2">
        <v>4515.33</v>
      </c>
      <c r="N42">
        <v>1</v>
      </c>
    </row>
    <row r="43" spans="1:14" x14ac:dyDescent="0.3">
      <c r="A43" s="1">
        <v>37663</v>
      </c>
      <c r="B43">
        <v>10105</v>
      </c>
      <c r="C43">
        <v>145</v>
      </c>
      <c r="D43" t="s">
        <v>63</v>
      </c>
      <c r="E43" t="s">
        <v>64</v>
      </c>
      <c r="F43" t="s">
        <v>29</v>
      </c>
      <c r="G43" t="s">
        <v>67</v>
      </c>
      <c r="H43">
        <v>29</v>
      </c>
      <c r="I43" s="2">
        <v>141.88</v>
      </c>
      <c r="J43" s="2">
        <v>83.05</v>
      </c>
      <c r="K43" s="2">
        <v>4114.5200000000004</v>
      </c>
      <c r="L43" s="2">
        <v>2408.4499999999998</v>
      </c>
      <c r="M43" s="2">
        <v>1706.07</v>
      </c>
      <c r="N43">
        <v>1</v>
      </c>
    </row>
    <row r="44" spans="1:14" x14ac:dyDescent="0.3">
      <c r="A44" s="1">
        <v>37663</v>
      </c>
      <c r="B44">
        <v>10105</v>
      </c>
      <c r="C44">
        <v>145</v>
      </c>
      <c r="D44" t="s">
        <v>63</v>
      </c>
      <c r="E44" t="s">
        <v>64</v>
      </c>
      <c r="F44" t="s">
        <v>15</v>
      </c>
      <c r="G44" t="s">
        <v>68</v>
      </c>
      <c r="H44">
        <v>22</v>
      </c>
      <c r="I44" s="2">
        <v>136.59</v>
      </c>
      <c r="J44" s="2">
        <v>68.3</v>
      </c>
      <c r="K44" s="2">
        <v>3004.98</v>
      </c>
      <c r="L44" s="2">
        <v>1502.6</v>
      </c>
      <c r="M44" s="2">
        <v>1502.38</v>
      </c>
      <c r="N44">
        <v>1</v>
      </c>
    </row>
    <row r="45" spans="1:14" x14ac:dyDescent="0.3">
      <c r="A45" s="1">
        <v>37663</v>
      </c>
      <c r="B45">
        <v>10105</v>
      </c>
      <c r="C45">
        <v>145</v>
      </c>
      <c r="D45" t="s">
        <v>63</v>
      </c>
      <c r="E45" t="s">
        <v>64</v>
      </c>
      <c r="F45" t="s">
        <v>59</v>
      </c>
      <c r="G45" t="s">
        <v>69</v>
      </c>
      <c r="H45">
        <v>38</v>
      </c>
      <c r="I45" s="2">
        <v>87.73</v>
      </c>
      <c r="J45" s="2">
        <v>67.56</v>
      </c>
      <c r="K45" s="2">
        <v>3333.74</v>
      </c>
      <c r="L45" s="2">
        <v>2567.2800000000002</v>
      </c>
      <c r="M45" s="2">
        <v>766.46</v>
      </c>
      <c r="N45">
        <v>1</v>
      </c>
    </row>
    <row r="46" spans="1:14" x14ac:dyDescent="0.3">
      <c r="A46" s="1">
        <v>37663</v>
      </c>
      <c r="B46">
        <v>10105</v>
      </c>
      <c r="C46">
        <v>145</v>
      </c>
      <c r="D46" t="s">
        <v>63</v>
      </c>
      <c r="E46" t="s">
        <v>64</v>
      </c>
      <c r="F46" t="s">
        <v>15</v>
      </c>
      <c r="G46" t="s">
        <v>70</v>
      </c>
      <c r="H46">
        <v>41</v>
      </c>
      <c r="I46" s="2">
        <v>75.48</v>
      </c>
      <c r="J46" s="2">
        <v>52.66</v>
      </c>
      <c r="K46" s="2">
        <v>3094.68</v>
      </c>
      <c r="L46" s="2">
        <v>2159.06</v>
      </c>
      <c r="M46" s="2">
        <v>935.62</v>
      </c>
      <c r="N46">
        <v>1</v>
      </c>
    </row>
    <row r="47" spans="1:14" x14ac:dyDescent="0.3">
      <c r="A47" s="1">
        <v>37663</v>
      </c>
      <c r="B47">
        <v>10105</v>
      </c>
      <c r="C47">
        <v>145</v>
      </c>
      <c r="D47" t="s">
        <v>63</v>
      </c>
      <c r="E47" t="s">
        <v>64</v>
      </c>
      <c r="F47" t="s">
        <v>71</v>
      </c>
      <c r="G47" t="s">
        <v>72</v>
      </c>
      <c r="H47">
        <v>43</v>
      </c>
      <c r="I47" s="2">
        <v>117.97</v>
      </c>
      <c r="J47" s="2">
        <v>82.34</v>
      </c>
      <c r="K47" s="2">
        <v>5072.71</v>
      </c>
      <c r="L47" s="2">
        <v>3540.62</v>
      </c>
      <c r="M47" s="2">
        <v>1532.09</v>
      </c>
      <c r="N47">
        <v>1</v>
      </c>
    </row>
    <row r="48" spans="1:14" x14ac:dyDescent="0.3">
      <c r="A48" s="1">
        <v>37663</v>
      </c>
      <c r="B48">
        <v>10105</v>
      </c>
      <c r="C48">
        <v>145</v>
      </c>
      <c r="D48" t="s">
        <v>63</v>
      </c>
      <c r="E48" t="s">
        <v>64</v>
      </c>
      <c r="F48" t="s">
        <v>15</v>
      </c>
      <c r="G48" t="s">
        <v>73</v>
      </c>
      <c r="H48">
        <v>44</v>
      </c>
      <c r="I48" s="2">
        <v>73.459999999999994</v>
      </c>
      <c r="J48" s="2">
        <v>46.91</v>
      </c>
      <c r="K48" s="2">
        <v>3232.24</v>
      </c>
      <c r="L48" s="2">
        <v>2064.04</v>
      </c>
      <c r="M48" s="2">
        <v>1168.2</v>
      </c>
      <c r="N48">
        <v>1</v>
      </c>
    </row>
    <row r="49" spans="1:14" x14ac:dyDescent="0.3">
      <c r="A49" s="1">
        <v>37663</v>
      </c>
      <c r="B49">
        <v>10105</v>
      </c>
      <c r="C49">
        <v>145</v>
      </c>
      <c r="D49" t="s">
        <v>63</v>
      </c>
      <c r="E49" t="s">
        <v>64</v>
      </c>
      <c r="F49" t="s">
        <v>15</v>
      </c>
      <c r="G49" t="s">
        <v>74</v>
      </c>
      <c r="H49">
        <v>50</v>
      </c>
      <c r="I49" s="2">
        <v>75.47</v>
      </c>
      <c r="J49" s="2">
        <v>48.64</v>
      </c>
      <c r="K49" s="2">
        <v>3773.5</v>
      </c>
      <c r="L49" s="2">
        <v>2432</v>
      </c>
      <c r="M49" s="2">
        <v>1341.5</v>
      </c>
      <c r="N49">
        <v>1</v>
      </c>
    </row>
    <row r="50" spans="1:14" x14ac:dyDescent="0.3">
      <c r="A50" s="1">
        <v>37663</v>
      </c>
      <c r="B50">
        <v>10105</v>
      </c>
      <c r="C50">
        <v>145</v>
      </c>
      <c r="D50" t="s">
        <v>63</v>
      </c>
      <c r="E50" t="s">
        <v>64</v>
      </c>
      <c r="F50" t="s">
        <v>71</v>
      </c>
      <c r="G50" t="s">
        <v>75</v>
      </c>
      <c r="H50">
        <v>41</v>
      </c>
      <c r="I50" s="2">
        <v>54</v>
      </c>
      <c r="J50" s="2">
        <v>34</v>
      </c>
      <c r="K50" s="2">
        <v>2214</v>
      </c>
      <c r="L50" s="2">
        <v>1394</v>
      </c>
      <c r="M50" s="2">
        <v>820</v>
      </c>
      <c r="N50">
        <v>1</v>
      </c>
    </row>
    <row r="51" spans="1:14" x14ac:dyDescent="0.3">
      <c r="A51" s="1">
        <v>37663</v>
      </c>
      <c r="B51">
        <v>10105</v>
      </c>
      <c r="C51">
        <v>145</v>
      </c>
      <c r="D51" t="s">
        <v>63</v>
      </c>
      <c r="E51" t="s">
        <v>64</v>
      </c>
      <c r="F51" t="s">
        <v>71</v>
      </c>
      <c r="G51" t="s">
        <v>76</v>
      </c>
      <c r="H51">
        <v>29</v>
      </c>
      <c r="I51" s="2">
        <v>86.61</v>
      </c>
      <c r="J51" s="2">
        <v>43.3</v>
      </c>
      <c r="K51" s="2">
        <v>2511.69</v>
      </c>
      <c r="L51" s="2">
        <v>1255.7</v>
      </c>
      <c r="M51" s="2">
        <v>1255.99</v>
      </c>
      <c r="N51">
        <v>1</v>
      </c>
    </row>
    <row r="52" spans="1:14" x14ac:dyDescent="0.3">
      <c r="A52" s="1">
        <v>37663</v>
      </c>
      <c r="B52">
        <v>10105</v>
      </c>
      <c r="C52">
        <v>145</v>
      </c>
      <c r="D52" t="s">
        <v>63</v>
      </c>
      <c r="E52" t="s">
        <v>64</v>
      </c>
      <c r="F52" t="s">
        <v>71</v>
      </c>
      <c r="G52" t="s">
        <v>77</v>
      </c>
      <c r="H52">
        <v>31</v>
      </c>
      <c r="I52" s="2">
        <v>60.72</v>
      </c>
      <c r="J52" s="2">
        <v>33.97</v>
      </c>
      <c r="K52" s="2">
        <v>1882.32</v>
      </c>
      <c r="L52" s="2">
        <v>1053.07</v>
      </c>
      <c r="M52" s="2">
        <v>829.25</v>
      </c>
      <c r="N52">
        <v>1</v>
      </c>
    </row>
    <row r="53" spans="1:14" x14ac:dyDescent="0.3">
      <c r="A53" s="1">
        <v>37663</v>
      </c>
      <c r="B53">
        <v>10105</v>
      </c>
      <c r="C53">
        <v>145</v>
      </c>
      <c r="D53" t="s">
        <v>63</v>
      </c>
      <c r="E53" t="s">
        <v>64</v>
      </c>
      <c r="F53" t="s">
        <v>71</v>
      </c>
      <c r="G53" t="s">
        <v>78</v>
      </c>
      <c r="H53">
        <v>39</v>
      </c>
      <c r="I53" s="2">
        <v>92.16</v>
      </c>
      <c r="J53" s="2">
        <v>51.09</v>
      </c>
      <c r="K53" s="2">
        <v>3594.24</v>
      </c>
      <c r="L53" s="2">
        <v>1992.51</v>
      </c>
      <c r="M53" s="2">
        <v>1601.73</v>
      </c>
      <c r="N53">
        <v>1</v>
      </c>
    </row>
    <row r="54" spans="1:14" x14ac:dyDescent="0.3">
      <c r="A54" s="1">
        <v>37663</v>
      </c>
      <c r="B54">
        <v>10105</v>
      </c>
      <c r="C54">
        <v>145</v>
      </c>
      <c r="D54" t="s">
        <v>63</v>
      </c>
      <c r="E54" t="s">
        <v>64</v>
      </c>
      <c r="F54" t="s">
        <v>71</v>
      </c>
      <c r="G54" t="s">
        <v>79</v>
      </c>
      <c r="H54">
        <v>22</v>
      </c>
      <c r="I54" s="2">
        <v>99.31</v>
      </c>
      <c r="J54" s="2">
        <v>53.63</v>
      </c>
      <c r="K54" s="2">
        <v>2184.8200000000002</v>
      </c>
      <c r="L54" s="2">
        <v>1179.8599999999999</v>
      </c>
      <c r="M54" s="2">
        <v>1004.96</v>
      </c>
      <c r="N54">
        <v>1</v>
      </c>
    </row>
    <row r="55" spans="1:14" x14ac:dyDescent="0.3">
      <c r="A55" s="1">
        <v>37663</v>
      </c>
      <c r="B55">
        <v>10105</v>
      </c>
      <c r="C55">
        <v>145</v>
      </c>
      <c r="D55" t="s">
        <v>63</v>
      </c>
      <c r="E55" t="s">
        <v>64</v>
      </c>
      <c r="F55" t="s">
        <v>71</v>
      </c>
      <c r="G55" t="s">
        <v>80</v>
      </c>
      <c r="H55">
        <v>25</v>
      </c>
      <c r="I55" s="2">
        <v>44.77</v>
      </c>
      <c r="J55" s="2">
        <v>33.299999999999997</v>
      </c>
      <c r="K55" s="2">
        <v>1119.25</v>
      </c>
      <c r="L55" s="2">
        <v>832.5</v>
      </c>
      <c r="M55" s="2">
        <v>286.75</v>
      </c>
      <c r="N55">
        <v>1</v>
      </c>
    </row>
    <row r="56" spans="1:14" x14ac:dyDescent="0.3">
      <c r="A56" s="1">
        <v>37669</v>
      </c>
      <c r="B56">
        <v>10106</v>
      </c>
      <c r="C56">
        <v>278</v>
      </c>
      <c r="D56" t="s">
        <v>81</v>
      </c>
      <c r="E56" t="s">
        <v>82</v>
      </c>
      <c r="F56" t="s">
        <v>83</v>
      </c>
      <c r="G56" t="s">
        <v>84</v>
      </c>
      <c r="H56">
        <v>36</v>
      </c>
      <c r="I56" s="2">
        <v>134.04</v>
      </c>
      <c r="J56" s="2">
        <v>77.27</v>
      </c>
      <c r="K56" s="2">
        <v>4825.4399999999996</v>
      </c>
      <c r="L56" s="2">
        <v>2781.72</v>
      </c>
      <c r="M56" s="2">
        <v>2043.72</v>
      </c>
      <c r="N56">
        <v>1</v>
      </c>
    </row>
    <row r="57" spans="1:14" x14ac:dyDescent="0.3">
      <c r="A57" s="1">
        <v>37669</v>
      </c>
      <c r="B57">
        <v>10106</v>
      </c>
      <c r="C57">
        <v>278</v>
      </c>
      <c r="D57" t="s">
        <v>81</v>
      </c>
      <c r="E57" t="s">
        <v>82</v>
      </c>
      <c r="F57" t="s">
        <v>83</v>
      </c>
      <c r="G57" t="s">
        <v>85</v>
      </c>
      <c r="H57">
        <v>34</v>
      </c>
      <c r="I57" s="2">
        <v>81.099999999999994</v>
      </c>
      <c r="J57" s="2">
        <v>49</v>
      </c>
      <c r="K57" s="2">
        <v>2757.4</v>
      </c>
      <c r="L57" s="2">
        <v>1666</v>
      </c>
      <c r="M57" s="2">
        <v>1091.4000000000001</v>
      </c>
      <c r="N57">
        <v>1</v>
      </c>
    </row>
    <row r="58" spans="1:14" x14ac:dyDescent="0.3">
      <c r="A58" s="1">
        <v>37669</v>
      </c>
      <c r="B58">
        <v>10106</v>
      </c>
      <c r="C58">
        <v>278</v>
      </c>
      <c r="D58" t="s">
        <v>81</v>
      </c>
      <c r="E58" t="s">
        <v>82</v>
      </c>
      <c r="F58" t="s">
        <v>71</v>
      </c>
      <c r="G58" t="s">
        <v>86</v>
      </c>
      <c r="H58">
        <v>41</v>
      </c>
      <c r="I58" s="2">
        <v>80.86</v>
      </c>
      <c r="J58" s="2">
        <v>51.61</v>
      </c>
      <c r="K58" s="2">
        <v>3315.26</v>
      </c>
      <c r="L58" s="2">
        <v>2116.0100000000002</v>
      </c>
      <c r="M58" s="2">
        <v>1199.25</v>
      </c>
      <c r="N58">
        <v>1</v>
      </c>
    </row>
    <row r="59" spans="1:14" x14ac:dyDescent="0.3">
      <c r="A59" s="1">
        <v>37669</v>
      </c>
      <c r="B59">
        <v>10106</v>
      </c>
      <c r="C59">
        <v>278</v>
      </c>
      <c r="D59" t="s">
        <v>81</v>
      </c>
      <c r="E59" t="s">
        <v>82</v>
      </c>
      <c r="F59" t="s">
        <v>15</v>
      </c>
      <c r="G59" t="s">
        <v>87</v>
      </c>
      <c r="H59">
        <v>41</v>
      </c>
      <c r="I59" s="2">
        <v>94.22</v>
      </c>
      <c r="J59" s="2">
        <v>64.58</v>
      </c>
      <c r="K59" s="2">
        <v>3863.02</v>
      </c>
      <c r="L59" s="2">
        <v>2647.78</v>
      </c>
      <c r="M59" s="2">
        <v>1215.24</v>
      </c>
      <c r="N59">
        <v>1</v>
      </c>
    </row>
    <row r="60" spans="1:14" x14ac:dyDescent="0.3">
      <c r="A60" s="1">
        <v>37669</v>
      </c>
      <c r="B60">
        <v>10106</v>
      </c>
      <c r="C60">
        <v>278</v>
      </c>
      <c r="D60" t="s">
        <v>81</v>
      </c>
      <c r="E60" t="s">
        <v>82</v>
      </c>
      <c r="F60" t="s">
        <v>83</v>
      </c>
      <c r="G60" t="s">
        <v>88</v>
      </c>
      <c r="H60">
        <v>28</v>
      </c>
      <c r="I60" s="2">
        <v>107.23</v>
      </c>
      <c r="J60" s="2">
        <v>66.739999999999995</v>
      </c>
      <c r="K60" s="2">
        <v>3002.44</v>
      </c>
      <c r="L60" s="2">
        <v>1868.72</v>
      </c>
      <c r="M60" s="2">
        <v>1133.72</v>
      </c>
      <c r="N60">
        <v>1</v>
      </c>
    </row>
    <row r="61" spans="1:14" x14ac:dyDescent="0.3">
      <c r="A61" s="1">
        <v>37669</v>
      </c>
      <c r="B61">
        <v>10106</v>
      </c>
      <c r="C61">
        <v>278</v>
      </c>
      <c r="D61" t="s">
        <v>81</v>
      </c>
      <c r="E61" t="s">
        <v>82</v>
      </c>
      <c r="F61" t="s">
        <v>83</v>
      </c>
      <c r="G61" t="s">
        <v>89</v>
      </c>
      <c r="H61">
        <v>49</v>
      </c>
      <c r="I61" s="2">
        <v>65.77</v>
      </c>
      <c r="J61" s="2">
        <v>34.25</v>
      </c>
      <c r="K61" s="2">
        <v>3222.73</v>
      </c>
      <c r="L61" s="2">
        <v>1678.25</v>
      </c>
      <c r="M61" s="2">
        <v>1544.48</v>
      </c>
      <c r="N61">
        <v>1</v>
      </c>
    </row>
    <row r="62" spans="1:14" x14ac:dyDescent="0.3">
      <c r="A62" s="1">
        <v>37669</v>
      </c>
      <c r="B62">
        <v>10106</v>
      </c>
      <c r="C62">
        <v>278</v>
      </c>
      <c r="D62" t="s">
        <v>81</v>
      </c>
      <c r="E62" t="s">
        <v>82</v>
      </c>
      <c r="F62" t="s">
        <v>15</v>
      </c>
      <c r="G62" t="s">
        <v>90</v>
      </c>
      <c r="H62">
        <v>31</v>
      </c>
      <c r="I62" s="2">
        <v>55.89</v>
      </c>
      <c r="J62" s="2">
        <v>26.3</v>
      </c>
      <c r="K62" s="2">
        <v>1732.59</v>
      </c>
      <c r="L62" s="2">
        <v>815.3</v>
      </c>
      <c r="M62" s="2">
        <v>917.29</v>
      </c>
      <c r="N62">
        <v>1</v>
      </c>
    </row>
    <row r="63" spans="1:14" x14ac:dyDescent="0.3">
      <c r="A63" s="1">
        <v>37669</v>
      </c>
      <c r="B63">
        <v>10106</v>
      </c>
      <c r="C63">
        <v>278</v>
      </c>
      <c r="D63" t="s">
        <v>81</v>
      </c>
      <c r="E63" t="s">
        <v>82</v>
      </c>
      <c r="F63" t="s">
        <v>83</v>
      </c>
      <c r="G63" t="s">
        <v>91</v>
      </c>
      <c r="H63">
        <v>50</v>
      </c>
      <c r="I63" s="2">
        <v>55.96</v>
      </c>
      <c r="J63" s="2">
        <v>29.34</v>
      </c>
      <c r="K63" s="2">
        <v>2798</v>
      </c>
      <c r="L63" s="2">
        <v>1467</v>
      </c>
      <c r="M63" s="2">
        <v>1331</v>
      </c>
      <c r="N63">
        <v>1</v>
      </c>
    </row>
    <row r="64" spans="1:14" x14ac:dyDescent="0.3">
      <c r="A64" s="1">
        <v>37669</v>
      </c>
      <c r="B64">
        <v>10106</v>
      </c>
      <c r="C64">
        <v>278</v>
      </c>
      <c r="D64" t="s">
        <v>81</v>
      </c>
      <c r="E64" t="s">
        <v>82</v>
      </c>
      <c r="F64" t="s">
        <v>83</v>
      </c>
      <c r="G64" t="s">
        <v>92</v>
      </c>
      <c r="H64">
        <v>26</v>
      </c>
      <c r="I64" s="2">
        <v>71</v>
      </c>
      <c r="J64" s="2">
        <v>36.229999999999997</v>
      </c>
      <c r="K64" s="2">
        <v>1846</v>
      </c>
      <c r="L64" s="2">
        <v>941.98</v>
      </c>
      <c r="M64" s="2">
        <v>904.02</v>
      </c>
      <c r="N64">
        <v>1</v>
      </c>
    </row>
    <row r="65" spans="1:14" x14ac:dyDescent="0.3">
      <c r="A65" s="1">
        <v>37669</v>
      </c>
      <c r="B65">
        <v>10106</v>
      </c>
      <c r="C65">
        <v>278</v>
      </c>
      <c r="D65" t="s">
        <v>81</v>
      </c>
      <c r="E65" t="s">
        <v>82</v>
      </c>
      <c r="F65" t="s">
        <v>15</v>
      </c>
      <c r="G65" t="s">
        <v>93</v>
      </c>
      <c r="H65">
        <v>33</v>
      </c>
      <c r="I65" s="2">
        <v>65.349999999999994</v>
      </c>
      <c r="J65" s="2">
        <v>33.020000000000003</v>
      </c>
      <c r="K65" s="2">
        <v>2156.5500000000002</v>
      </c>
      <c r="L65" s="2">
        <v>1089.6600000000001</v>
      </c>
      <c r="M65" s="2">
        <v>1066.8900000000001</v>
      </c>
      <c r="N65">
        <v>1</v>
      </c>
    </row>
    <row r="66" spans="1:14" x14ac:dyDescent="0.3">
      <c r="A66" s="1">
        <v>37669</v>
      </c>
      <c r="B66">
        <v>10106</v>
      </c>
      <c r="C66">
        <v>278</v>
      </c>
      <c r="D66" t="s">
        <v>81</v>
      </c>
      <c r="E66" t="s">
        <v>82</v>
      </c>
      <c r="F66" t="s">
        <v>15</v>
      </c>
      <c r="G66" t="s">
        <v>94</v>
      </c>
      <c r="H66">
        <v>39</v>
      </c>
      <c r="I66" s="2">
        <v>35.78</v>
      </c>
      <c r="J66" s="2">
        <v>27.06</v>
      </c>
      <c r="K66" s="2">
        <v>1395.42</v>
      </c>
      <c r="L66" s="2">
        <v>1055.3399999999999</v>
      </c>
      <c r="M66" s="2">
        <v>340.08</v>
      </c>
      <c r="N66">
        <v>1</v>
      </c>
    </row>
    <row r="67" spans="1:14" x14ac:dyDescent="0.3">
      <c r="A67" s="1">
        <v>37669</v>
      </c>
      <c r="B67">
        <v>10106</v>
      </c>
      <c r="C67">
        <v>278</v>
      </c>
      <c r="D67" t="s">
        <v>81</v>
      </c>
      <c r="E67" t="s">
        <v>82</v>
      </c>
      <c r="F67" t="s">
        <v>83</v>
      </c>
      <c r="G67" t="s">
        <v>95</v>
      </c>
      <c r="H67">
        <v>31</v>
      </c>
      <c r="I67" s="2">
        <v>91.34</v>
      </c>
      <c r="J67" s="2">
        <v>51.15</v>
      </c>
      <c r="K67" s="2">
        <v>2831.54</v>
      </c>
      <c r="L67" s="2">
        <v>1585.65</v>
      </c>
      <c r="M67" s="2">
        <v>1245.8900000000001</v>
      </c>
      <c r="N67">
        <v>1</v>
      </c>
    </row>
    <row r="68" spans="1:14" x14ac:dyDescent="0.3">
      <c r="A68" s="1">
        <v>37669</v>
      </c>
      <c r="B68">
        <v>10106</v>
      </c>
      <c r="C68">
        <v>278</v>
      </c>
      <c r="D68" t="s">
        <v>81</v>
      </c>
      <c r="E68" t="s">
        <v>82</v>
      </c>
      <c r="F68" t="s">
        <v>71</v>
      </c>
      <c r="G68" t="s">
        <v>96</v>
      </c>
      <c r="H68">
        <v>30</v>
      </c>
      <c r="I68" s="2">
        <v>85.09</v>
      </c>
      <c r="J68" s="2">
        <v>39.83</v>
      </c>
      <c r="K68" s="2">
        <v>2552.6999999999998</v>
      </c>
      <c r="L68" s="2">
        <v>1194.9000000000001</v>
      </c>
      <c r="M68" s="2">
        <v>1357.8</v>
      </c>
      <c r="N68">
        <v>1</v>
      </c>
    </row>
    <row r="69" spans="1:14" x14ac:dyDescent="0.3">
      <c r="A69" s="1">
        <v>37669</v>
      </c>
      <c r="B69">
        <v>10106</v>
      </c>
      <c r="C69">
        <v>278</v>
      </c>
      <c r="D69" t="s">
        <v>81</v>
      </c>
      <c r="E69" t="s">
        <v>82</v>
      </c>
      <c r="F69" t="s">
        <v>83</v>
      </c>
      <c r="G69" t="s">
        <v>97</v>
      </c>
      <c r="H69">
        <v>34</v>
      </c>
      <c r="I69" s="2">
        <v>99.72</v>
      </c>
      <c r="J69" s="2">
        <v>68.8</v>
      </c>
      <c r="K69" s="2">
        <v>3390.48</v>
      </c>
      <c r="L69" s="2">
        <v>2339.1999999999998</v>
      </c>
      <c r="M69" s="2">
        <v>1051.28</v>
      </c>
      <c r="N69">
        <v>1</v>
      </c>
    </row>
    <row r="70" spans="1:14" x14ac:dyDescent="0.3">
      <c r="A70" s="1">
        <v>37669</v>
      </c>
      <c r="B70">
        <v>10106</v>
      </c>
      <c r="C70">
        <v>278</v>
      </c>
      <c r="D70" t="s">
        <v>81</v>
      </c>
      <c r="E70" t="s">
        <v>82</v>
      </c>
      <c r="F70" t="s">
        <v>83</v>
      </c>
      <c r="G70" t="s">
        <v>98</v>
      </c>
      <c r="H70">
        <v>32</v>
      </c>
      <c r="I70" s="2">
        <v>113.9</v>
      </c>
      <c r="J70" s="2">
        <v>59.33</v>
      </c>
      <c r="K70" s="2">
        <v>3644.8</v>
      </c>
      <c r="L70" s="2">
        <v>1898.56</v>
      </c>
      <c r="M70" s="2">
        <v>1746.24</v>
      </c>
      <c r="N70">
        <v>1</v>
      </c>
    </row>
    <row r="71" spans="1:14" x14ac:dyDescent="0.3">
      <c r="A71" s="1">
        <v>37669</v>
      </c>
      <c r="B71">
        <v>10106</v>
      </c>
      <c r="C71">
        <v>278</v>
      </c>
      <c r="D71" t="s">
        <v>81</v>
      </c>
      <c r="E71" t="s">
        <v>82</v>
      </c>
      <c r="F71" t="s">
        <v>83</v>
      </c>
      <c r="G71" t="s">
        <v>99</v>
      </c>
      <c r="H71">
        <v>44</v>
      </c>
      <c r="I71" s="2">
        <v>76</v>
      </c>
      <c r="J71" s="2">
        <v>54.4</v>
      </c>
      <c r="K71" s="2">
        <v>3344</v>
      </c>
      <c r="L71" s="2">
        <v>2393.6</v>
      </c>
      <c r="M71" s="2">
        <v>950.4</v>
      </c>
      <c r="N71">
        <v>1</v>
      </c>
    </row>
    <row r="72" spans="1:14" x14ac:dyDescent="0.3">
      <c r="A72" s="1">
        <v>37669</v>
      </c>
      <c r="B72">
        <v>10106</v>
      </c>
      <c r="C72">
        <v>278</v>
      </c>
      <c r="D72" t="s">
        <v>81</v>
      </c>
      <c r="E72" t="s">
        <v>82</v>
      </c>
      <c r="F72" t="s">
        <v>83</v>
      </c>
      <c r="G72" t="s">
        <v>100</v>
      </c>
      <c r="H72">
        <v>48</v>
      </c>
      <c r="I72" s="2">
        <v>70.33</v>
      </c>
      <c r="J72" s="2">
        <v>36.270000000000003</v>
      </c>
      <c r="K72" s="2">
        <v>3375.84</v>
      </c>
      <c r="L72" s="2">
        <v>1740.96</v>
      </c>
      <c r="M72" s="2">
        <v>1634.88</v>
      </c>
      <c r="N72">
        <v>1</v>
      </c>
    </row>
    <row r="73" spans="1:14" x14ac:dyDescent="0.3">
      <c r="A73" s="1">
        <v>37669</v>
      </c>
      <c r="B73">
        <v>10106</v>
      </c>
      <c r="C73">
        <v>278</v>
      </c>
      <c r="D73" t="s">
        <v>81</v>
      </c>
      <c r="E73" t="s">
        <v>82</v>
      </c>
      <c r="F73" t="s">
        <v>83</v>
      </c>
      <c r="G73" t="s">
        <v>101</v>
      </c>
      <c r="H73">
        <v>48</v>
      </c>
      <c r="I73" s="2">
        <v>43.7</v>
      </c>
      <c r="J73" s="2">
        <v>32.770000000000003</v>
      </c>
      <c r="K73" s="2">
        <v>2097.6</v>
      </c>
      <c r="L73" s="2">
        <v>1572.96</v>
      </c>
      <c r="M73" s="2">
        <v>524.64</v>
      </c>
      <c r="N73">
        <v>1</v>
      </c>
    </row>
    <row r="74" spans="1:14" x14ac:dyDescent="0.3">
      <c r="A74" s="1">
        <v>37676</v>
      </c>
      <c r="B74">
        <v>10107</v>
      </c>
      <c r="C74">
        <v>131</v>
      </c>
      <c r="D74" t="s">
        <v>201</v>
      </c>
      <c r="E74" t="s">
        <v>14</v>
      </c>
      <c r="F74" t="s">
        <v>102</v>
      </c>
      <c r="G74" t="s">
        <v>103</v>
      </c>
      <c r="H74">
        <v>30</v>
      </c>
      <c r="I74" s="2">
        <v>81.349999999999994</v>
      </c>
      <c r="J74" s="2">
        <v>48.81</v>
      </c>
      <c r="K74" s="2">
        <v>2440.5</v>
      </c>
      <c r="L74" s="2">
        <v>1464.3</v>
      </c>
      <c r="M74" s="2">
        <v>976.2</v>
      </c>
      <c r="N74">
        <v>1</v>
      </c>
    </row>
    <row r="75" spans="1:14" x14ac:dyDescent="0.3">
      <c r="A75" s="1">
        <v>37676</v>
      </c>
      <c r="B75">
        <v>10107</v>
      </c>
      <c r="C75">
        <v>131</v>
      </c>
      <c r="D75" t="s">
        <v>201</v>
      </c>
      <c r="E75" t="s">
        <v>14</v>
      </c>
      <c r="F75" t="s">
        <v>102</v>
      </c>
      <c r="G75" t="s">
        <v>104</v>
      </c>
      <c r="H75">
        <v>39</v>
      </c>
      <c r="I75" s="2">
        <v>105.86</v>
      </c>
      <c r="J75" s="2">
        <v>68.989999999999995</v>
      </c>
      <c r="K75" s="2">
        <v>4128.54</v>
      </c>
      <c r="L75" s="2">
        <v>2690.61</v>
      </c>
      <c r="M75" s="2">
        <v>1437.93</v>
      </c>
      <c r="N75">
        <v>1</v>
      </c>
    </row>
    <row r="76" spans="1:14" x14ac:dyDescent="0.3">
      <c r="A76" s="1">
        <v>37676</v>
      </c>
      <c r="B76">
        <v>10107</v>
      </c>
      <c r="C76">
        <v>131</v>
      </c>
      <c r="D76" t="s">
        <v>201</v>
      </c>
      <c r="E76" t="s">
        <v>14</v>
      </c>
      <c r="F76" t="s">
        <v>102</v>
      </c>
      <c r="G76" t="s">
        <v>105</v>
      </c>
      <c r="H76">
        <v>27</v>
      </c>
      <c r="I76" s="2">
        <v>172.36</v>
      </c>
      <c r="J76" s="2">
        <v>91.02</v>
      </c>
      <c r="K76" s="2">
        <v>4653.72</v>
      </c>
      <c r="L76" s="2">
        <v>2457.54</v>
      </c>
      <c r="M76" s="2">
        <v>2196.1799999999998</v>
      </c>
      <c r="N76">
        <v>1</v>
      </c>
    </row>
    <row r="77" spans="1:14" x14ac:dyDescent="0.3">
      <c r="A77" s="1">
        <v>37676</v>
      </c>
      <c r="B77">
        <v>10107</v>
      </c>
      <c r="C77">
        <v>131</v>
      </c>
      <c r="D77" t="s">
        <v>201</v>
      </c>
      <c r="E77" t="s">
        <v>14</v>
      </c>
      <c r="F77" t="s">
        <v>102</v>
      </c>
      <c r="G77" t="s">
        <v>106</v>
      </c>
      <c r="H77">
        <v>21</v>
      </c>
      <c r="I77" s="2">
        <v>122</v>
      </c>
      <c r="J77" s="2">
        <v>66.27</v>
      </c>
      <c r="K77" s="2">
        <v>2562</v>
      </c>
      <c r="L77" s="2">
        <v>1391.67</v>
      </c>
      <c r="M77" s="2">
        <v>1170.33</v>
      </c>
      <c r="N77">
        <v>1</v>
      </c>
    </row>
    <row r="78" spans="1:14" x14ac:dyDescent="0.3">
      <c r="A78" s="1">
        <v>37676</v>
      </c>
      <c r="B78">
        <v>10107</v>
      </c>
      <c r="C78">
        <v>131</v>
      </c>
      <c r="D78" t="s">
        <v>201</v>
      </c>
      <c r="E78" t="s">
        <v>14</v>
      </c>
      <c r="F78" t="s">
        <v>102</v>
      </c>
      <c r="G78" t="s">
        <v>107</v>
      </c>
      <c r="H78">
        <v>29</v>
      </c>
      <c r="I78" s="2">
        <v>52.7</v>
      </c>
      <c r="J78" s="2">
        <v>24.23</v>
      </c>
      <c r="K78" s="2">
        <v>1528.3</v>
      </c>
      <c r="L78" s="2">
        <v>702.67</v>
      </c>
      <c r="M78" s="2">
        <v>825.63</v>
      </c>
      <c r="N78">
        <v>1</v>
      </c>
    </row>
    <row r="79" spans="1:14" x14ac:dyDescent="0.3">
      <c r="A79" s="1">
        <v>37676</v>
      </c>
      <c r="B79">
        <v>10107</v>
      </c>
      <c r="C79">
        <v>131</v>
      </c>
      <c r="D79" t="s">
        <v>201</v>
      </c>
      <c r="E79" t="s">
        <v>14</v>
      </c>
      <c r="F79" t="s">
        <v>102</v>
      </c>
      <c r="G79" t="s">
        <v>108</v>
      </c>
      <c r="H79">
        <v>25</v>
      </c>
      <c r="I79" s="2">
        <v>96.92</v>
      </c>
      <c r="J79" s="2">
        <v>60.86</v>
      </c>
      <c r="K79" s="2">
        <v>2423</v>
      </c>
      <c r="L79" s="2">
        <v>1521.5</v>
      </c>
      <c r="M79" s="2">
        <v>901.5</v>
      </c>
      <c r="N79">
        <v>1</v>
      </c>
    </row>
    <row r="80" spans="1:14" x14ac:dyDescent="0.3">
      <c r="A80" s="1">
        <v>37676</v>
      </c>
      <c r="B80">
        <v>10107</v>
      </c>
      <c r="C80">
        <v>131</v>
      </c>
      <c r="D80" t="s">
        <v>201</v>
      </c>
      <c r="E80" t="s">
        <v>14</v>
      </c>
      <c r="F80" t="s">
        <v>102</v>
      </c>
      <c r="G80" t="s">
        <v>109</v>
      </c>
      <c r="H80">
        <v>38</v>
      </c>
      <c r="I80" s="2">
        <v>73.12</v>
      </c>
      <c r="J80" s="2">
        <v>37.32</v>
      </c>
      <c r="K80" s="2">
        <v>2778.56</v>
      </c>
      <c r="L80" s="2">
        <v>1418.16</v>
      </c>
      <c r="M80" s="2">
        <v>1360.4</v>
      </c>
      <c r="N80">
        <v>1</v>
      </c>
    </row>
    <row r="81" spans="1:14" x14ac:dyDescent="0.3">
      <c r="A81" s="1">
        <v>37676</v>
      </c>
      <c r="B81">
        <v>10107</v>
      </c>
      <c r="C81">
        <v>131</v>
      </c>
      <c r="D81" t="s">
        <v>201</v>
      </c>
      <c r="E81" t="s">
        <v>14</v>
      </c>
      <c r="F81" t="s">
        <v>102</v>
      </c>
      <c r="G81" t="s">
        <v>110</v>
      </c>
      <c r="H81">
        <v>20</v>
      </c>
      <c r="I81" s="2">
        <v>88.9</v>
      </c>
      <c r="J81" s="2">
        <v>66.92</v>
      </c>
      <c r="K81" s="2">
        <v>1778</v>
      </c>
      <c r="L81" s="2">
        <v>1338.4</v>
      </c>
      <c r="M81" s="2">
        <v>439.6</v>
      </c>
      <c r="N81">
        <v>1</v>
      </c>
    </row>
    <row r="82" spans="1:14" x14ac:dyDescent="0.3">
      <c r="A82" s="1">
        <v>37683</v>
      </c>
      <c r="B82">
        <v>10108</v>
      </c>
      <c r="C82">
        <v>385</v>
      </c>
      <c r="D82" t="s">
        <v>202</v>
      </c>
      <c r="E82" t="s">
        <v>111</v>
      </c>
      <c r="F82" t="s">
        <v>29</v>
      </c>
      <c r="G82" t="s">
        <v>112</v>
      </c>
      <c r="H82">
        <v>33</v>
      </c>
      <c r="I82" s="2">
        <v>165.38</v>
      </c>
      <c r="J82" s="2">
        <v>95.34</v>
      </c>
      <c r="K82" s="2">
        <v>5457.54</v>
      </c>
      <c r="L82" s="2">
        <v>3146.22</v>
      </c>
      <c r="M82" s="2">
        <v>2311.3200000000002</v>
      </c>
      <c r="N82">
        <v>1</v>
      </c>
    </row>
    <row r="83" spans="1:14" x14ac:dyDescent="0.3">
      <c r="A83" s="1">
        <v>37683</v>
      </c>
      <c r="B83">
        <v>10108</v>
      </c>
      <c r="C83">
        <v>385</v>
      </c>
      <c r="D83" t="s">
        <v>202</v>
      </c>
      <c r="E83" t="s">
        <v>111</v>
      </c>
      <c r="F83" t="s">
        <v>29</v>
      </c>
      <c r="G83" t="s">
        <v>113</v>
      </c>
      <c r="H83">
        <v>45</v>
      </c>
      <c r="I83" s="2">
        <v>96.3</v>
      </c>
      <c r="J83" s="2">
        <v>75.16</v>
      </c>
      <c r="K83" s="2">
        <v>4333.5</v>
      </c>
      <c r="L83" s="2">
        <v>3382.2</v>
      </c>
      <c r="M83" s="2">
        <v>951.3</v>
      </c>
      <c r="N83">
        <v>1</v>
      </c>
    </row>
    <row r="84" spans="1:14" x14ac:dyDescent="0.3">
      <c r="A84" s="1">
        <v>37683</v>
      </c>
      <c r="B84">
        <v>10108</v>
      </c>
      <c r="C84">
        <v>385</v>
      </c>
      <c r="D84" t="s">
        <v>202</v>
      </c>
      <c r="E84" t="s">
        <v>111</v>
      </c>
      <c r="F84" t="s">
        <v>29</v>
      </c>
      <c r="G84" t="s">
        <v>114</v>
      </c>
      <c r="H84">
        <v>39</v>
      </c>
      <c r="I84" s="2">
        <v>75.81</v>
      </c>
      <c r="J84" s="2">
        <v>31.92</v>
      </c>
      <c r="K84" s="2">
        <v>2956.59</v>
      </c>
      <c r="L84" s="2">
        <v>1244.8800000000001</v>
      </c>
      <c r="M84" s="2">
        <v>1711.71</v>
      </c>
      <c r="N84">
        <v>1</v>
      </c>
    </row>
    <row r="85" spans="1:14" x14ac:dyDescent="0.3">
      <c r="A85" s="1">
        <v>37683</v>
      </c>
      <c r="B85">
        <v>10108</v>
      </c>
      <c r="C85">
        <v>385</v>
      </c>
      <c r="D85" t="s">
        <v>202</v>
      </c>
      <c r="E85" t="s">
        <v>111</v>
      </c>
      <c r="F85" t="s">
        <v>29</v>
      </c>
      <c r="G85" t="s">
        <v>115</v>
      </c>
      <c r="H85">
        <v>36</v>
      </c>
      <c r="I85" s="2">
        <v>107.1</v>
      </c>
      <c r="J85" s="2">
        <v>58.73</v>
      </c>
      <c r="K85" s="2">
        <v>3855.6</v>
      </c>
      <c r="L85" s="2">
        <v>2114.2800000000002</v>
      </c>
      <c r="M85" s="2">
        <v>1741.32</v>
      </c>
      <c r="N85">
        <v>1</v>
      </c>
    </row>
    <row r="86" spans="1:14" x14ac:dyDescent="0.3">
      <c r="A86" s="1">
        <v>37683</v>
      </c>
      <c r="B86">
        <v>10108</v>
      </c>
      <c r="C86">
        <v>385</v>
      </c>
      <c r="D86" t="s">
        <v>202</v>
      </c>
      <c r="E86" t="s">
        <v>111</v>
      </c>
      <c r="F86" t="s">
        <v>29</v>
      </c>
      <c r="G86" t="s">
        <v>116</v>
      </c>
      <c r="H86">
        <v>38</v>
      </c>
      <c r="I86" s="2">
        <v>67.760000000000005</v>
      </c>
      <c r="J86" s="2">
        <v>53.9</v>
      </c>
      <c r="K86" s="2">
        <v>2574.88</v>
      </c>
      <c r="L86" s="2">
        <v>2048.1999999999998</v>
      </c>
      <c r="M86" s="2">
        <v>526.67999999999995</v>
      </c>
      <c r="N86">
        <v>1</v>
      </c>
    </row>
    <row r="87" spans="1:14" x14ac:dyDescent="0.3">
      <c r="A87" s="1">
        <v>37683</v>
      </c>
      <c r="B87">
        <v>10108</v>
      </c>
      <c r="C87">
        <v>385</v>
      </c>
      <c r="D87" t="s">
        <v>202</v>
      </c>
      <c r="E87" t="s">
        <v>111</v>
      </c>
      <c r="F87" t="s">
        <v>29</v>
      </c>
      <c r="G87" t="s">
        <v>117</v>
      </c>
      <c r="H87">
        <v>26</v>
      </c>
      <c r="I87" s="2">
        <v>73.17</v>
      </c>
      <c r="J87" s="2">
        <v>49.05</v>
      </c>
      <c r="K87" s="2">
        <v>1902.42</v>
      </c>
      <c r="L87" s="2">
        <v>1275.3</v>
      </c>
      <c r="M87" s="2">
        <v>627.12</v>
      </c>
      <c r="N87">
        <v>1</v>
      </c>
    </row>
    <row r="88" spans="1:14" x14ac:dyDescent="0.3">
      <c r="A88" s="1">
        <v>37683</v>
      </c>
      <c r="B88">
        <v>10108</v>
      </c>
      <c r="C88">
        <v>385</v>
      </c>
      <c r="D88" t="s">
        <v>202</v>
      </c>
      <c r="E88" t="s">
        <v>111</v>
      </c>
      <c r="F88" t="s">
        <v>29</v>
      </c>
      <c r="G88" t="s">
        <v>118</v>
      </c>
      <c r="H88">
        <v>29</v>
      </c>
      <c r="I88" s="2">
        <v>132.29</v>
      </c>
      <c r="J88" s="2">
        <v>73.489999999999995</v>
      </c>
      <c r="K88" s="2">
        <v>3836.41</v>
      </c>
      <c r="L88" s="2">
        <v>2131.21</v>
      </c>
      <c r="M88" s="2">
        <v>1705.2</v>
      </c>
      <c r="N88">
        <v>1</v>
      </c>
    </row>
    <row r="89" spans="1:14" x14ac:dyDescent="0.3">
      <c r="A89" s="1">
        <v>37683</v>
      </c>
      <c r="B89">
        <v>10108</v>
      </c>
      <c r="C89">
        <v>385</v>
      </c>
      <c r="D89" t="s">
        <v>202</v>
      </c>
      <c r="E89" t="s">
        <v>111</v>
      </c>
      <c r="F89" t="s">
        <v>102</v>
      </c>
      <c r="G89" t="s">
        <v>119</v>
      </c>
      <c r="H89">
        <v>43</v>
      </c>
      <c r="I89" s="2">
        <v>52.84</v>
      </c>
      <c r="J89" s="2">
        <v>32.950000000000003</v>
      </c>
      <c r="K89" s="2">
        <v>2272.12</v>
      </c>
      <c r="L89" s="2">
        <v>1416.85</v>
      </c>
      <c r="M89" s="2">
        <v>855.27</v>
      </c>
      <c r="N89">
        <v>1</v>
      </c>
    </row>
    <row r="90" spans="1:14" x14ac:dyDescent="0.3">
      <c r="A90" s="1">
        <v>37683</v>
      </c>
      <c r="B90">
        <v>10108</v>
      </c>
      <c r="C90">
        <v>385</v>
      </c>
      <c r="D90" t="s">
        <v>202</v>
      </c>
      <c r="E90" t="s">
        <v>111</v>
      </c>
      <c r="F90" t="s">
        <v>29</v>
      </c>
      <c r="G90" t="s">
        <v>120</v>
      </c>
      <c r="H90">
        <v>44</v>
      </c>
      <c r="I90" s="2">
        <v>139.87</v>
      </c>
      <c r="J90" s="2">
        <v>69.930000000000007</v>
      </c>
      <c r="K90" s="2">
        <v>6154.28</v>
      </c>
      <c r="L90" s="2">
        <v>3076.92</v>
      </c>
      <c r="M90" s="2">
        <v>3077.36</v>
      </c>
      <c r="N90">
        <v>1</v>
      </c>
    </row>
    <row r="91" spans="1:14" x14ac:dyDescent="0.3">
      <c r="A91" s="1">
        <v>37683</v>
      </c>
      <c r="B91">
        <v>10108</v>
      </c>
      <c r="C91">
        <v>385</v>
      </c>
      <c r="D91" t="s">
        <v>202</v>
      </c>
      <c r="E91" t="s">
        <v>111</v>
      </c>
      <c r="F91" t="s">
        <v>102</v>
      </c>
      <c r="G91" t="s">
        <v>121</v>
      </c>
      <c r="H91">
        <v>35</v>
      </c>
      <c r="I91" s="2">
        <v>64.41</v>
      </c>
      <c r="J91" s="2">
        <v>47.1</v>
      </c>
      <c r="K91" s="2">
        <v>2254.35</v>
      </c>
      <c r="L91" s="2">
        <v>1648.5</v>
      </c>
      <c r="M91" s="2">
        <v>605.85</v>
      </c>
      <c r="N91">
        <v>1</v>
      </c>
    </row>
    <row r="92" spans="1:14" x14ac:dyDescent="0.3">
      <c r="A92" s="1">
        <v>37683</v>
      </c>
      <c r="B92">
        <v>10108</v>
      </c>
      <c r="C92">
        <v>385</v>
      </c>
      <c r="D92" t="s">
        <v>202</v>
      </c>
      <c r="E92" t="s">
        <v>111</v>
      </c>
      <c r="F92" t="s">
        <v>29</v>
      </c>
      <c r="G92" t="s">
        <v>122</v>
      </c>
      <c r="H92">
        <v>30</v>
      </c>
      <c r="I92" s="2">
        <v>60.01</v>
      </c>
      <c r="J92" s="2">
        <v>38.58</v>
      </c>
      <c r="K92" s="2">
        <v>1800.3</v>
      </c>
      <c r="L92" s="2">
        <v>1157.4000000000001</v>
      </c>
      <c r="M92" s="2">
        <v>642.9</v>
      </c>
      <c r="N92">
        <v>1</v>
      </c>
    </row>
    <row r="93" spans="1:14" x14ac:dyDescent="0.3">
      <c r="A93" s="1">
        <v>37683</v>
      </c>
      <c r="B93">
        <v>10108</v>
      </c>
      <c r="C93">
        <v>385</v>
      </c>
      <c r="D93" t="s">
        <v>202</v>
      </c>
      <c r="E93" t="s">
        <v>111</v>
      </c>
      <c r="F93" t="s">
        <v>29</v>
      </c>
      <c r="G93" t="s">
        <v>123</v>
      </c>
      <c r="H93">
        <v>40</v>
      </c>
      <c r="I93" s="2">
        <v>132</v>
      </c>
      <c r="J93" s="2">
        <v>98.3</v>
      </c>
      <c r="K93" s="2">
        <v>5280</v>
      </c>
      <c r="L93" s="2">
        <v>3932</v>
      </c>
      <c r="M93" s="2">
        <v>1348</v>
      </c>
      <c r="N93">
        <v>1</v>
      </c>
    </row>
    <row r="94" spans="1:14" x14ac:dyDescent="0.3">
      <c r="A94" s="1">
        <v>37683</v>
      </c>
      <c r="B94">
        <v>10108</v>
      </c>
      <c r="C94">
        <v>385</v>
      </c>
      <c r="D94" t="s">
        <v>202</v>
      </c>
      <c r="E94" t="s">
        <v>111</v>
      </c>
      <c r="F94" t="s">
        <v>29</v>
      </c>
      <c r="G94" t="s">
        <v>124</v>
      </c>
      <c r="H94">
        <v>31</v>
      </c>
      <c r="I94" s="2">
        <v>67.099999999999994</v>
      </c>
      <c r="J94" s="2">
        <v>32.33</v>
      </c>
      <c r="K94" s="2">
        <v>2080.1</v>
      </c>
      <c r="L94" s="2">
        <v>1002.23</v>
      </c>
      <c r="M94" s="2">
        <v>1077.8699999999999</v>
      </c>
      <c r="N94">
        <v>1</v>
      </c>
    </row>
    <row r="95" spans="1:14" x14ac:dyDescent="0.3">
      <c r="A95" s="1">
        <v>37683</v>
      </c>
      <c r="B95">
        <v>10108</v>
      </c>
      <c r="C95">
        <v>385</v>
      </c>
      <c r="D95" t="s">
        <v>202</v>
      </c>
      <c r="E95" t="s">
        <v>111</v>
      </c>
      <c r="F95" t="s">
        <v>102</v>
      </c>
      <c r="G95" t="s">
        <v>125</v>
      </c>
      <c r="H95">
        <v>27</v>
      </c>
      <c r="I95" s="2">
        <v>36.21</v>
      </c>
      <c r="J95" s="2">
        <v>24.14</v>
      </c>
      <c r="K95" s="2">
        <v>977.67</v>
      </c>
      <c r="L95" s="2">
        <v>651.78</v>
      </c>
      <c r="M95" s="2">
        <v>325.89</v>
      </c>
      <c r="N95">
        <v>1</v>
      </c>
    </row>
    <row r="96" spans="1:14" x14ac:dyDescent="0.3">
      <c r="A96" s="1">
        <v>37683</v>
      </c>
      <c r="B96">
        <v>10108</v>
      </c>
      <c r="C96">
        <v>385</v>
      </c>
      <c r="D96" t="s">
        <v>202</v>
      </c>
      <c r="E96" t="s">
        <v>111</v>
      </c>
      <c r="F96" t="s">
        <v>102</v>
      </c>
      <c r="G96" t="s">
        <v>126</v>
      </c>
      <c r="H96">
        <v>31</v>
      </c>
      <c r="I96" s="2">
        <v>87.76</v>
      </c>
      <c r="J96" s="2">
        <v>56.13</v>
      </c>
      <c r="K96" s="2">
        <v>2720.56</v>
      </c>
      <c r="L96" s="2">
        <v>1740.03</v>
      </c>
      <c r="M96" s="2">
        <v>980.53</v>
      </c>
      <c r="N96">
        <v>1</v>
      </c>
    </row>
    <row r="97" spans="1:14" x14ac:dyDescent="0.3">
      <c r="A97" s="1">
        <v>37683</v>
      </c>
      <c r="B97">
        <v>10108</v>
      </c>
      <c r="C97">
        <v>385</v>
      </c>
      <c r="D97" t="s">
        <v>202</v>
      </c>
      <c r="E97" t="s">
        <v>111</v>
      </c>
      <c r="F97" t="s">
        <v>102</v>
      </c>
      <c r="G97" t="s">
        <v>127</v>
      </c>
      <c r="H97">
        <v>34</v>
      </c>
      <c r="I97" s="2">
        <v>74.849999999999994</v>
      </c>
      <c r="J97" s="2">
        <v>34.17</v>
      </c>
      <c r="K97" s="2">
        <v>2544.9</v>
      </c>
      <c r="L97" s="2">
        <v>1161.78</v>
      </c>
      <c r="M97" s="2">
        <v>1383.12</v>
      </c>
      <c r="N97">
        <v>1</v>
      </c>
    </row>
    <row r="98" spans="1:14" x14ac:dyDescent="0.3">
      <c r="A98" s="1">
        <v>37690</v>
      </c>
      <c r="B98">
        <v>10109</v>
      </c>
      <c r="C98">
        <v>486</v>
      </c>
      <c r="D98" t="s">
        <v>203</v>
      </c>
      <c r="E98" t="s">
        <v>14</v>
      </c>
      <c r="F98" t="s">
        <v>29</v>
      </c>
      <c r="G98" t="s">
        <v>128</v>
      </c>
      <c r="H98">
        <v>26</v>
      </c>
      <c r="I98" s="2">
        <v>117.48</v>
      </c>
      <c r="J98" s="2">
        <v>83.51</v>
      </c>
      <c r="K98" s="2">
        <v>3054.48</v>
      </c>
      <c r="L98" s="2">
        <v>2171.2600000000002</v>
      </c>
      <c r="M98" s="2">
        <v>883.22</v>
      </c>
      <c r="N98">
        <v>1</v>
      </c>
    </row>
    <row r="99" spans="1:14" x14ac:dyDescent="0.3">
      <c r="A99" s="1">
        <v>37690</v>
      </c>
      <c r="B99">
        <v>10109</v>
      </c>
      <c r="C99">
        <v>486</v>
      </c>
      <c r="D99" t="s">
        <v>203</v>
      </c>
      <c r="E99" t="s">
        <v>14</v>
      </c>
      <c r="F99" t="s">
        <v>29</v>
      </c>
      <c r="G99" t="s">
        <v>129</v>
      </c>
      <c r="H99">
        <v>38</v>
      </c>
      <c r="I99" s="2">
        <v>137.97999999999999</v>
      </c>
      <c r="J99" s="2">
        <v>93.89</v>
      </c>
      <c r="K99" s="2">
        <v>5243.24</v>
      </c>
      <c r="L99" s="2">
        <v>3567.82</v>
      </c>
      <c r="M99" s="2">
        <v>1675.42</v>
      </c>
      <c r="N99">
        <v>1</v>
      </c>
    </row>
    <row r="100" spans="1:14" x14ac:dyDescent="0.3">
      <c r="A100" s="1">
        <v>37690</v>
      </c>
      <c r="B100">
        <v>10109</v>
      </c>
      <c r="C100">
        <v>486</v>
      </c>
      <c r="D100" t="s">
        <v>203</v>
      </c>
      <c r="E100" t="s">
        <v>14</v>
      </c>
      <c r="F100" t="s">
        <v>29</v>
      </c>
      <c r="G100" t="s">
        <v>130</v>
      </c>
      <c r="H100">
        <v>26</v>
      </c>
      <c r="I100" s="2">
        <v>126.72</v>
      </c>
      <c r="J100" s="2">
        <v>56.76</v>
      </c>
      <c r="K100" s="2">
        <v>3294.72</v>
      </c>
      <c r="L100" s="2">
        <v>1475.76</v>
      </c>
      <c r="M100" s="2">
        <v>1818.96</v>
      </c>
      <c r="N100">
        <v>1</v>
      </c>
    </row>
    <row r="101" spans="1:14" x14ac:dyDescent="0.3">
      <c r="A101" s="1">
        <v>37690</v>
      </c>
      <c r="B101">
        <v>10109</v>
      </c>
      <c r="C101">
        <v>486</v>
      </c>
      <c r="D101" t="s">
        <v>203</v>
      </c>
      <c r="E101" t="s">
        <v>14</v>
      </c>
      <c r="F101" t="s">
        <v>29</v>
      </c>
      <c r="G101" t="s">
        <v>53</v>
      </c>
      <c r="H101">
        <v>46</v>
      </c>
      <c r="I101" s="2">
        <v>160.87</v>
      </c>
      <c r="J101" s="2">
        <v>77.900000000000006</v>
      </c>
      <c r="K101" s="2">
        <v>7400.02</v>
      </c>
      <c r="L101" s="2">
        <v>3583.4</v>
      </c>
      <c r="M101" s="2">
        <v>3816.62</v>
      </c>
      <c r="N101">
        <v>1</v>
      </c>
    </row>
    <row r="102" spans="1:14" x14ac:dyDescent="0.3">
      <c r="A102" s="1">
        <v>37690</v>
      </c>
      <c r="B102">
        <v>10109</v>
      </c>
      <c r="C102">
        <v>486</v>
      </c>
      <c r="D102" t="s">
        <v>203</v>
      </c>
      <c r="E102" t="s">
        <v>14</v>
      </c>
      <c r="F102" t="s">
        <v>29</v>
      </c>
      <c r="G102" t="s">
        <v>131</v>
      </c>
      <c r="H102">
        <v>47</v>
      </c>
      <c r="I102" s="2">
        <v>125.74</v>
      </c>
      <c r="J102" s="2">
        <v>62.16</v>
      </c>
      <c r="K102" s="2">
        <v>5909.78</v>
      </c>
      <c r="L102" s="2">
        <v>2921.52</v>
      </c>
      <c r="M102" s="2">
        <v>2988.26</v>
      </c>
      <c r="N102">
        <v>1</v>
      </c>
    </row>
    <row r="103" spans="1:14" x14ac:dyDescent="0.3">
      <c r="A103" s="1">
        <v>37690</v>
      </c>
      <c r="B103">
        <v>10109</v>
      </c>
      <c r="C103">
        <v>486</v>
      </c>
      <c r="D103" t="s">
        <v>203</v>
      </c>
      <c r="E103" t="s">
        <v>14</v>
      </c>
      <c r="F103" t="s">
        <v>29</v>
      </c>
      <c r="G103" t="s">
        <v>132</v>
      </c>
      <c r="H103">
        <v>29</v>
      </c>
      <c r="I103" s="2">
        <v>32.1</v>
      </c>
      <c r="J103" s="2">
        <v>16.239999999999998</v>
      </c>
      <c r="K103" s="2">
        <v>930.9</v>
      </c>
      <c r="L103" s="2">
        <v>470.96</v>
      </c>
      <c r="M103" s="2">
        <v>459.94</v>
      </c>
      <c r="N103">
        <v>1</v>
      </c>
    </row>
    <row r="104" spans="1:14" x14ac:dyDescent="0.3">
      <c r="A104" s="1">
        <v>37698</v>
      </c>
      <c r="B104">
        <v>10110</v>
      </c>
      <c r="C104">
        <v>187</v>
      </c>
      <c r="D104" t="s">
        <v>204</v>
      </c>
      <c r="E104" t="s">
        <v>133</v>
      </c>
      <c r="F104" t="s">
        <v>29</v>
      </c>
      <c r="G104" t="s">
        <v>134</v>
      </c>
      <c r="H104">
        <v>37</v>
      </c>
      <c r="I104" s="2">
        <v>118.22</v>
      </c>
      <c r="J104" s="2">
        <v>65.959999999999994</v>
      </c>
      <c r="K104" s="2">
        <v>4374.1400000000003</v>
      </c>
      <c r="L104" s="2">
        <v>2440.52</v>
      </c>
      <c r="M104" s="2">
        <v>1933.62</v>
      </c>
      <c r="N104">
        <v>1</v>
      </c>
    </row>
    <row r="105" spans="1:14" x14ac:dyDescent="0.3">
      <c r="A105" s="1">
        <v>37698</v>
      </c>
      <c r="B105">
        <v>10110</v>
      </c>
      <c r="C105">
        <v>187</v>
      </c>
      <c r="D105" t="s">
        <v>204</v>
      </c>
      <c r="E105" t="s">
        <v>133</v>
      </c>
      <c r="F105" t="s">
        <v>15</v>
      </c>
      <c r="G105" t="s">
        <v>16</v>
      </c>
      <c r="H105">
        <v>42</v>
      </c>
      <c r="I105" s="2">
        <v>153</v>
      </c>
      <c r="J105" s="2">
        <v>86.7</v>
      </c>
      <c r="K105" s="2">
        <v>6426</v>
      </c>
      <c r="L105" s="2">
        <v>3641.4</v>
      </c>
      <c r="M105" s="2">
        <v>2784.6</v>
      </c>
      <c r="N105">
        <v>1</v>
      </c>
    </row>
    <row r="106" spans="1:14" x14ac:dyDescent="0.3">
      <c r="A106" s="1">
        <v>37698</v>
      </c>
      <c r="B106">
        <v>10110</v>
      </c>
      <c r="C106">
        <v>187</v>
      </c>
      <c r="D106" t="s">
        <v>204</v>
      </c>
      <c r="E106" t="s">
        <v>133</v>
      </c>
      <c r="F106" t="s">
        <v>15</v>
      </c>
      <c r="G106" t="s">
        <v>17</v>
      </c>
      <c r="H106">
        <v>32</v>
      </c>
      <c r="I106" s="2">
        <v>51.46</v>
      </c>
      <c r="J106" s="2">
        <v>33.299999999999997</v>
      </c>
      <c r="K106" s="2">
        <v>1646.72</v>
      </c>
      <c r="L106" s="2">
        <v>1065.5999999999999</v>
      </c>
      <c r="M106" s="2">
        <v>581.12</v>
      </c>
      <c r="N106">
        <v>1</v>
      </c>
    </row>
    <row r="107" spans="1:14" x14ac:dyDescent="0.3">
      <c r="A107" s="1">
        <v>37698</v>
      </c>
      <c r="B107">
        <v>10110</v>
      </c>
      <c r="C107">
        <v>187</v>
      </c>
      <c r="D107" t="s">
        <v>204</v>
      </c>
      <c r="E107" t="s">
        <v>133</v>
      </c>
      <c r="F107" t="s">
        <v>15</v>
      </c>
      <c r="G107" t="s">
        <v>21</v>
      </c>
      <c r="H107">
        <v>33</v>
      </c>
      <c r="I107" s="2">
        <v>115.69</v>
      </c>
      <c r="J107" s="2">
        <v>58.48</v>
      </c>
      <c r="K107" s="2">
        <v>3817.77</v>
      </c>
      <c r="L107" s="2">
        <v>1929.84</v>
      </c>
      <c r="M107" s="2">
        <v>1887.93</v>
      </c>
      <c r="N107">
        <v>1</v>
      </c>
    </row>
    <row r="108" spans="1:14" x14ac:dyDescent="0.3">
      <c r="A108" s="1">
        <v>37698</v>
      </c>
      <c r="B108">
        <v>10110</v>
      </c>
      <c r="C108">
        <v>187</v>
      </c>
      <c r="D108" t="s">
        <v>204</v>
      </c>
      <c r="E108" t="s">
        <v>133</v>
      </c>
      <c r="F108" t="s">
        <v>15</v>
      </c>
      <c r="G108" t="s">
        <v>22</v>
      </c>
      <c r="H108">
        <v>31</v>
      </c>
      <c r="I108" s="2">
        <v>163.69</v>
      </c>
      <c r="J108" s="2">
        <v>72.56</v>
      </c>
      <c r="K108" s="2">
        <v>5074.3900000000003</v>
      </c>
      <c r="L108" s="2">
        <v>2249.36</v>
      </c>
      <c r="M108" s="2">
        <v>2825.03</v>
      </c>
      <c r="N108">
        <v>1</v>
      </c>
    </row>
    <row r="109" spans="1:14" x14ac:dyDescent="0.3">
      <c r="A109" s="1">
        <v>37698</v>
      </c>
      <c r="B109">
        <v>10110</v>
      </c>
      <c r="C109">
        <v>187</v>
      </c>
      <c r="D109" t="s">
        <v>204</v>
      </c>
      <c r="E109" t="s">
        <v>133</v>
      </c>
      <c r="F109" t="s">
        <v>15</v>
      </c>
      <c r="G109" t="s">
        <v>18</v>
      </c>
      <c r="H109">
        <v>28</v>
      </c>
      <c r="I109" s="2">
        <v>81.91</v>
      </c>
      <c r="J109" s="2">
        <v>43.26</v>
      </c>
      <c r="K109" s="2">
        <v>2293.48</v>
      </c>
      <c r="L109" s="2">
        <v>1211.28</v>
      </c>
      <c r="M109" s="2">
        <v>1082.2</v>
      </c>
      <c r="N109">
        <v>1</v>
      </c>
    </row>
    <row r="110" spans="1:14" x14ac:dyDescent="0.3">
      <c r="A110" s="1">
        <v>37698</v>
      </c>
      <c r="B110">
        <v>10110</v>
      </c>
      <c r="C110">
        <v>187</v>
      </c>
      <c r="D110" t="s">
        <v>204</v>
      </c>
      <c r="E110" t="s">
        <v>133</v>
      </c>
      <c r="F110" t="s">
        <v>29</v>
      </c>
      <c r="G110" t="s">
        <v>135</v>
      </c>
      <c r="H110">
        <v>42</v>
      </c>
      <c r="I110" s="2">
        <v>62</v>
      </c>
      <c r="J110" s="2">
        <v>34.21</v>
      </c>
      <c r="K110" s="2">
        <v>2604</v>
      </c>
      <c r="L110" s="2">
        <v>1436.82</v>
      </c>
      <c r="M110" s="2">
        <v>1167.18</v>
      </c>
      <c r="N110">
        <v>1</v>
      </c>
    </row>
    <row r="111" spans="1:14" x14ac:dyDescent="0.3">
      <c r="A111" s="1">
        <v>37698</v>
      </c>
      <c r="B111">
        <v>10110</v>
      </c>
      <c r="C111">
        <v>187</v>
      </c>
      <c r="D111" t="s">
        <v>204</v>
      </c>
      <c r="E111" t="s">
        <v>133</v>
      </c>
      <c r="F111" t="s">
        <v>29</v>
      </c>
      <c r="G111" t="s">
        <v>136</v>
      </c>
      <c r="H111">
        <v>36</v>
      </c>
      <c r="I111" s="2">
        <v>72.02</v>
      </c>
      <c r="J111" s="2">
        <v>49.24</v>
      </c>
      <c r="K111" s="2">
        <v>2592.7199999999998</v>
      </c>
      <c r="L111" s="2">
        <v>1772.64</v>
      </c>
      <c r="M111" s="2">
        <v>820.08</v>
      </c>
      <c r="N111">
        <v>1</v>
      </c>
    </row>
    <row r="112" spans="1:14" x14ac:dyDescent="0.3">
      <c r="A112" s="1">
        <v>37698</v>
      </c>
      <c r="B112">
        <v>10110</v>
      </c>
      <c r="C112">
        <v>187</v>
      </c>
      <c r="D112" t="s">
        <v>204</v>
      </c>
      <c r="E112" t="s">
        <v>133</v>
      </c>
      <c r="F112" t="s">
        <v>29</v>
      </c>
      <c r="G112" t="s">
        <v>137</v>
      </c>
      <c r="H112">
        <v>29</v>
      </c>
      <c r="I112" s="2">
        <v>43.27</v>
      </c>
      <c r="J112" s="2">
        <v>29.18</v>
      </c>
      <c r="K112" s="2">
        <v>1254.83</v>
      </c>
      <c r="L112" s="2">
        <v>846.22</v>
      </c>
      <c r="M112" s="2">
        <v>408.61</v>
      </c>
      <c r="N112">
        <v>1</v>
      </c>
    </row>
    <row r="113" spans="1:14" x14ac:dyDescent="0.3">
      <c r="A113" s="1">
        <v>37698</v>
      </c>
      <c r="B113">
        <v>10110</v>
      </c>
      <c r="C113">
        <v>187</v>
      </c>
      <c r="D113" t="s">
        <v>204</v>
      </c>
      <c r="E113" t="s">
        <v>133</v>
      </c>
      <c r="F113" t="s">
        <v>15</v>
      </c>
      <c r="G113" t="s">
        <v>23</v>
      </c>
      <c r="H113">
        <v>20</v>
      </c>
      <c r="I113" s="2">
        <v>28.88</v>
      </c>
      <c r="J113" s="2">
        <v>22.57</v>
      </c>
      <c r="K113" s="2">
        <v>577.6</v>
      </c>
      <c r="L113" s="2">
        <v>451.4</v>
      </c>
      <c r="M113" s="2">
        <v>126.2</v>
      </c>
      <c r="N113">
        <v>1</v>
      </c>
    </row>
    <row r="114" spans="1:14" x14ac:dyDescent="0.3">
      <c r="A114" s="1">
        <v>37698</v>
      </c>
      <c r="B114">
        <v>10110</v>
      </c>
      <c r="C114">
        <v>187</v>
      </c>
      <c r="D114" t="s">
        <v>204</v>
      </c>
      <c r="E114" t="s">
        <v>133</v>
      </c>
      <c r="F114" t="s">
        <v>15</v>
      </c>
      <c r="G114" t="s">
        <v>24</v>
      </c>
      <c r="H114">
        <v>39</v>
      </c>
      <c r="I114" s="2">
        <v>40.770000000000003</v>
      </c>
      <c r="J114" s="2">
        <v>20.61</v>
      </c>
      <c r="K114" s="2">
        <v>1590.03</v>
      </c>
      <c r="L114" s="2">
        <v>803.79</v>
      </c>
      <c r="M114" s="2">
        <v>786.24</v>
      </c>
      <c r="N114">
        <v>1</v>
      </c>
    </row>
    <row r="115" spans="1:14" x14ac:dyDescent="0.3">
      <c r="A115" s="1">
        <v>37698</v>
      </c>
      <c r="B115">
        <v>10110</v>
      </c>
      <c r="C115">
        <v>187</v>
      </c>
      <c r="D115" t="s">
        <v>204</v>
      </c>
      <c r="E115" t="s">
        <v>133</v>
      </c>
      <c r="F115" t="s">
        <v>29</v>
      </c>
      <c r="G115" t="s">
        <v>138</v>
      </c>
      <c r="H115">
        <v>43</v>
      </c>
      <c r="I115" s="2">
        <v>82.69</v>
      </c>
      <c r="J115" s="2">
        <v>47.25</v>
      </c>
      <c r="K115" s="2">
        <v>3555.67</v>
      </c>
      <c r="L115" s="2">
        <v>2031.75</v>
      </c>
      <c r="M115" s="2">
        <v>1523.92</v>
      </c>
      <c r="N115">
        <v>1</v>
      </c>
    </row>
    <row r="116" spans="1:14" x14ac:dyDescent="0.3">
      <c r="A116" s="1">
        <v>37698</v>
      </c>
      <c r="B116">
        <v>10110</v>
      </c>
      <c r="C116">
        <v>187</v>
      </c>
      <c r="D116" t="s">
        <v>204</v>
      </c>
      <c r="E116" t="s">
        <v>133</v>
      </c>
      <c r="F116" t="s">
        <v>29</v>
      </c>
      <c r="G116" t="s">
        <v>139</v>
      </c>
      <c r="H116">
        <v>46</v>
      </c>
      <c r="I116" s="2">
        <v>112.74</v>
      </c>
      <c r="J116" s="2">
        <v>72.819999999999993</v>
      </c>
      <c r="K116" s="2">
        <v>5186.04</v>
      </c>
      <c r="L116" s="2">
        <v>3349.72</v>
      </c>
      <c r="M116" s="2">
        <v>1836.32</v>
      </c>
      <c r="N116">
        <v>1</v>
      </c>
    </row>
    <row r="117" spans="1:14" x14ac:dyDescent="0.3">
      <c r="A117" s="1">
        <v>37698</v>
      </c>
      <c r="B117">
        <v>10110</v>
      </c>
      <c r="C117">
        <v>187</v>
      </c>
      <c r="D117" t="s">
        <v>204</v>
      </c>
      <c r="E117" t="s">
        <v>133</v>
      </c>
      <c r="F117" t="s">
        <v>29</v>
      </c>
      <c r="G117" t="s">
        <v>140</v>
      </c>
      <c r="H117">
        <v>27</v>
      </c>
      <c r="I117" s="2">
        <v>80.47</v>
      </c>
      <c r="J117" s="2">
        <v>50.51</v>
      </c>
      <c r="K117" s="2">
        <v>2172.69</v>
      </c>
      <c r="L117" s="2">
        <v>1363.77</v>
      </c>
      <c r="M117" s="2">
        <v>808.92</v>
      </c>
      <c r="N117">
        <v>1</v>
      </c>
    </row>
    <row r="118" spans="1:14" x14ac:dyDescent="0.3">
      <c r="A118" s="1">
        <v>37698</v>
      </c>
      <c r="B118">
        <v>10110</v>
      </c>
      <c r="C118">
        <v>187</v>
      </c>
      <c r="D118" t="s">
        <v>204</v>
      </c>
      <c r="E118" t="s">
        <v>133</v>
      </c>
      <c r="F118" t="s">
        <v>29</v>
      </c>
      <c r="G118" t="s">
        <v>141</v>
      </c>
      <c r="H118">
        <v>37</v>
      </c>
      <c r="I118" s="2">
        <v>96.37</v>
      </c>
      <c r="J118" s="2">
        <v>62.11</v>
      </c>
      <c r="K118" s="2">
        <v>3565.69</v>
      </c>
      <c r="L118" s="2">
        <v>2298.0700000000002</v>
      </c>
      <c r="M118" s="2">
        <v>1267.6199999999999</v>
      </c>
      <c r="N118">
        <v>1</v>
      </c>
    </row>
    <row r="119" spans="1:14" x14ac:dyDescent="0.3">
      <c r="A119" s="1">
        <v>37698</v>
      </c>
      <c r="B119">
        <v>10110</v>
      </c>
      <c r="C119">
        <v>187</v>
      </c>
      <c r="D119" t="s">
        <v>204</v>
      </c>
      <c r="E119" t="s">
        <v>133</v>
      </c>
      <c r="F119" t="s">
        <v>15</v>
      </c>
      <c r="G119" t="s">
        <v>19</v>
      </c>
      <c r="H119">
        <v>48</v>
      </c>
      <c r="I119" s="2">
        <v>35.29</v>
      </c>
      <c r="J119" s="2">
        <v>21.75</v>
      </c>
      <c r="K119" s="2">
        <v>1693.92</v>
      </c>
      <c r="L119" s="2">
        <v>1044</v>
      </c>
      <c r="M119" s="2">
        <v>649.91999999999996</v>
      </c>
      <c r="N119">
        <v>1</v>
      </c>
    </row>
    <row r="120" spans="1:14" x14ac:dyDescent="0.3">
      <c r="A120" s="1">
        <v>37704</v>
      </c>
      <c r="B120">
        <v>10112</v>
      </c>
      <c r="C120">
        <v>144</v>
      </c>
      <c r="D120" t="s">
        <v>142</v>
      </c>
      <c r="E120" t="s">
        <v>143</v>
      </c>
      <c r="F120" t="s">
        <v>29</v>
      </c>
      <c r="G120" t="s">
        <v>30</v>
      </c>
      <c r="H120">
        <v>29</v>
      </c>
      <c r="I120" s="2">
        <v>197.16</v>
      </c>
      <c r="J120" s="2">
        <v>98.58</v>
      </c>
      <c r="K120" s="2">
        <v>5717.64</v>
      </c>
      <c r="L120" s="2">
        <v>2858.82</v>
      </c>
      <c r="M120" s="2">
        <v>2858.82</v>
      </c>
      <c r="N120">
        <v>1</v>
      </c>
    </row>
    <row r="121" spans="1:14" x14ac:dyDescent="0.3">
      <c r="A121" s="1">
        <v>37704</v>
      </c>
      <c r="B121">
        <v>10112</v>
      </c>
      <c r="C121">
        <v>144</v>
      </c>
      <c r="D121" t="s">
        <v>142</v>
      </c>
      <c r="E121" t="s">
        <v>143</v>
      </c>
      <c r="F121" t="s">
        <v>15</v>
      </c>
      <c r="G121" t="s">
        <v>36</v>
      </c>
      <c r="H121">
        <v>23</v>
      </c>
      <c r="I121" s="2">
        <v>85.1</v>
      </c>
      <c r="J121" s="2">
        <v>60.78</v>
      </c>
      <c r="K121" s="2">
        <v>1957.3</v>
      </c>
      <c r="L121" s="2">
        <v>1397.94</v>
      </c>
      <c r="M121" s="2">
        <v>559.36</v>
      </c>
      <c r="N121">
        <v>1</v>
      </c>
    </row>
    <row r="122" spans="1:14" x14ac:dyDescent="0.3">
      <c r="A122" s="1">
        <v>37705</v>
      </c>
      <c r="B122">
        <v>10111</v>
      </c>
      <c r="C122">
        <v>129</v>
      </c>
      <c r="D122" t="s">
        <v>205</v>
      </c>
      <c r="E122" t="s">
        <v>14</v>
      </c>
      <c r="F122" t="s">
        <v>15</v>
      </c>
      <c r="G122" t="s">
        <v>25</v>
      </c>
      <c r="H122">
        <v>33</v>
      </c>
      <c r="I122" s="2">
        <v>87.33</v>
      </c>
      <c r="J122" s="2">
        <v>60.62</v>
      </c>
      <c r="K122" s="2">
        <v>2881.89</v>
      </c>
      <c r="L122" s="2">
        <v>2000.46</v>
      </c>
      <c r="M122" s="2">
        <v>881.43</v>
      </c>
      <c r="N122">
        <v>1</v>
      </c>
    </row>
    <row r="123" spans="1:14" x14ac:dyDescent="0.3">
      <c r="A123" s="1">
        <v>37705</v>
      </c>
      <c r="B123">
        <v>10111</v>
      </c>
      <c r="C123">
        <v>129</v>
      </c>
      <c r="D123" t="s">
        <v>205</v>
      </c>
      <c r="E123" t="s">
        <v>14</v>
      </c>
      <c r="F123" t="s">
        <v>15</v>
      </c>
      <c r="G123" t="s">
        <v>26</v>
      </c>
      <c r="H123">
        <v>48</v>
      </c>
      <c r="I123" s="2">
        <v>48.52</v>
      </c>
      <c r="J123" s="2">
        <v>24.26</v>
      </c>
      <c r="K123" s="2">
        <v>2328.96</v>
      </c>
      <c r="L123" s="2">
        <v>1164.48</v>
      </c>
      <c r="M123" s="2">
        <v>1164.48</v>
      </c>
      <c r="N123">
        <v>1</v>
      </c>
    </row>
    <row r="124" spans="1:14" x14ac:dyDescent="0.3">
      <c r="A124" s="1">
        <v>37705</v>
      </c>
      <c r="B124">
        <v>10111</v>
      </c>
      <c r="C124">
        <v>129</v>
      </c>
      <c r="D124" t="s">
        <v>205</v>
      </c>
      <c r="E124" t="s">
        <v>14</v>
      </c>
      <c r="F124" t="s">
        <v>15</v>
      </c>
      <c r="G124" t="s">
        <v>37</v>
      </c>
      <c r="H124">
        <v>28</v>
      </c>
      <c r="I124" s="2">
        <v>53.09</v>
      </c>
      <c r="J124" s="2">
        <v>34.35</v>
      </c>
      <c r="K124" s="2">
        <v>1486.52</v>
      </c>
      <c r="L124" s="2">
        <v>961.8</v>
      </c>
      <c r="M124" s="2">
        <v>524.72</v>
      </c>
      <c r="N124">
        <v>1</v>
      </c>
    </row>
    <row r="125" spans="1:14" x14ac:dyDescent="0.3">
      <c r="A125" s="1">
        <v>37705</v>
      </c>
      <c r="B125">
        <v>10111</v>
      </c>
      <c r="C125">
        <v>129</v>
      </c>
      <c r="D125" t="s">
        <v>205</v>
      </c>
      <c r="E125" t="s">
        <v>14</v>
      </c>
      <c r="F125" t="s">
        <v>15</v>
      </c>
      <c r="G125" t="s">
        <v>38</v>
      </c>
      <c r="H125">
        <v>43</v>
      </c>
      <c r="I125" s="2">
        <v>94.25</v>
      </c>
      <c r="J125" s="2">
        <v>60.74</v>
      </c>
      <c r="K125" s="2">
        <v>4052.75</v>
      </c>
      <c r="L125" s="2">
        <v>2611.8200000000002</v>
      </c>
      <c r="M125" s="2">
        <v>1440.93</v>
      </c>
      <c r="N125">
        <v>1</v>
      </c>
    </row>
    <row r="126" spans="1:14" x14ac:dyDescent="0.3">
      <c r="A126" s="1">
        <v>37705</v>
      </c>
      <c r="B126">
        <v>10111</v>
      </c>
      <c r="C126">
        <v>129</v>
      </c>
      <c r="D126" t="s">
        <v>205</v>
      </c>
      <c r="E126" t="s">
        <v>14</v>
      </c>
      <c r="F126" t="s">
        <v>15</v>
      </c>
      <c r="G126" t="s">
        <v>39</v>
      </c>
      <c r="H126">
        <v>39</v>
      </c>
      <c r="I126" s="2">
        <v>91.27</v>
      </c>
      <c r="J126" s="2">
        <v>57.54</v>
      </c>
      <c r="K126" s="2">
        <v>3559.53</v>
      </c>
      <c r="L126" s="2">
        <v>2244.06</v>
      </c>
      <c r="M126" s="2">
        <v>1315.47</v>
      </c>
      <c r="N126">
        <v>1</v>
      </c>
    </row>
    <row r="127" spans="1:14" x14ac:dyDescent="0.3">
      <c r="A127" s="1">
        <v>37705</v>
      </c>
      <c r="B127">
        <v>10111</v>
      </c>
      <c r="C127">
        <v>129</v>
      </c>
      <c r="D127" t="s">
        <v>205</v>
      </c>
      <c r="E127" t="s">
        <v>14</v>
      </c>
      <c r="F127" t="s">
        <v>15</v>
      </c>
      <c r="G127" t="s">
        <v>43</v>
      </c>
      <c r="H127">
        <v>26</v>
      </c>
      <c r="I127" s="2">
        <v>85.7</v>
      </c>
      <c r="J127" s="2">
        <v>57.46</v>
      </c>
      <c r="K127" s="2">
        <v>2228.1999999999998</v>
      </c>
      <c r="L127" s="2">
        <v>1493.96</v>
      </c>
      <c r="M127" s="2">
        <v>734.24</v>
      </c>
      <c r="N127">
        <v>1</v>
      </c>
    </row>
    <row r="128" spans="1:14" x14ac:dyDescent="0.3">
      <c r="A128" s="1">
        <v>37706</v>
      </c>
      <c r="B128">
        <v>10113</v>
      </c>
      <c r="C128">
        <v>124</v>
      </c>
      <c r="D128" t="s">
        <v>206</v>
      </c>
      <c r="E128" t="s">
        <v>14</v>
      </c>
      <c r="F128" t="s">
        <v>32</v>
      </c>
      <c r="G128" t="s">
        <v>33</v>
      </c>
      <c r="H128">
        <v>21</v>
      </c>
      <c r="I128" s="2">
        <v>121.64</v>
      </c>
      <c r="J128" s="2">
        <v>77.900000000000006</v>
      </c>
      <c r="K128" s="2">
        <v>2554.44</v>
      </c>
      <c r="L128" s="2">
        <v>1635.9</v>
      </c>
      <c r="M128" s="2">
        <v>918.54</v>
      </c>
      <c r="N128">
        <v>1</v>
      </c>
    </row>
    <row r="129" spans="1:14" x14ac:dyDescent="0.3">
      <c r="A129" s="1">
        <v>37706</v>
      </c>
      <c r="B129">
        <v>10113</v>
      </c>
      <c r="C129">
        <v>124</v>
      </c>
      <c r="D129" t="s">
        <v>206</v>
      </c>
      <c r="E129" t="s">
        <v>14</v>
      </c>
      <c r="F129" t="s">
        <v>32</v>
      </c>
      <c r="G129" t="s">
        <v>34</v>
      </c>
      <c r="H129">
        <v>49</v>
      </c>
      <c r="I129" s="2">
        <v>101.5</v>
      </c>
      <c r="J129" s="2">
        <v>58.33</v>
      </c>
      <c r="K129" s="2">
        <v>4973.5</v>
      </c>
      <c r="L129" s="2">
        <v>2858.17</v>
      </c>
      <c r="M129" s="2">
        <v>2115.33</v>
      </c>
      <c r="N129">
        <v>1</v>
      </c>
    </row>
    <row r="130" spans="1:14" x14ac:dyDescent="0.3">
      <c r="A130" s="1">
        <v>37706</v>
      </c>
      <c r="B130">
        <v>10113</v>
      </c>
      <c r="C130">
        <v>124</v>
      </c>
      <c r="D130" t="s">
        <v>206</v>
      </c>
      <c r="E130" t="s">
        <v>14</v>
      </c>
      <c r="F130" t="s">
        <v>15</v>
      </c>
      <c r="G130" t="s">
        <v>41</v>
      </c>
      <c r="H130">
        <v>50</v>
      </c>
      <c r="I130" s="2">
        <v>43.27</v>
      </c>
      <c r="J130" s="2">
        <v>23.14</v>
      </c>
      <c r="K130" s="2">
        <v>2163.5</v>
      </c>
      <c r="L130" s="2">
        <v>1157</v>
      </c>
      <c r="M130" s="2">
        <v>1006.5</v>
      </c>
      <c r="N130">
        <v>1</v>
      </c>
    </row>
    <row r="131" spans="1:14" x14ac:dyDescent="0.3">
      <c r="A131" s="1">
        <v>37706</v>
      </c>
      <c r="B131">
        <v>10113</v>
      </c>
      <c r="C131">
        <v>124</v>
      </c>
      <c r="D131" t="s">
        <v>206</v>
      </c>
      <c r="E131" t="s">
        <v>14</v>
      </c>
      <c r="F131" t="s">
        <v>32</v>
      </c>
      <c r="G131" t="s">
        <v>45</v>
      </c>
      <c r="H131">
        <v>23</v>
      </c>
      <c r="I131" s="2">
        <v>58.82</v>
      </c>
      <c r="J131" s="2">
        <v>33.61</v>
      </c>
      <c r="K131" s="2">
        <v>1352.86</v>
      </c>
      <c r="L131" s="2">
        <v>773.03</v>
      </c>
      <c r="M131" s="2">
        <v>579.83000000000004</v>
      </c>
      <c r="N131">
        <v>1</v>
      </c>
    </row>
    <row r="132" spans="1:14" x14ac:dyDescent="0.3">
      <c r="A132" s="1">
        <v>37712</v>
      </c>
      <c r="B132">
        <v>10114</v>
      </c>
      <c r="C132">
        <v>172</v>
      </c>
      <c r="D132" t="s">
        <v>207</v>
      </c>
      <c r="E132" t="s">
        <v>144</v>
      </c>
      <c r="F132" t="s">
        <v>29</v>
      </c>
      <c r="G132" t="s">
        <v>31</v>
      </c>
      <c r="H132">
        <v>31</v>
      </c>
      <c r="I132" s="2">
        <v>128.53</v>
      </c>
      <c r="J132" s="2">
        <v>103.42</v>
      </c>
      <c r="K132" s="2">
        <v>3984.43</v>
      </c>
      <c r="L132" s="2">
        <v>3206.02</v>
      </c>
      <c r="M132" s="2">
        <v>778.41</v>
      </c>
      <c r="N132">
        <v>1</v>
      </c>
    </row>
    <row r="133" spans="1:14" x14ac:dyDescent="0.3">
      <c r="A133" s="1">
        <v>37712</v>
      </c>
      <c r="B133">
        <v>10114</v>
      </c>
      <c r="C133">
        <v>172</v>
      </c>
      <c r="D133" t="s">
        <v>207</v>
      </c>
      <c r="E133" t="s">
        <v>144</v>
      </c>
      <c r="F133" t="s">
        <v>32</v>
      </c>
      <c r="G133" t="s">
        <v>52</v>
      </c>
      <c r="H133">
        <v>39</v>
      </c>
      <c r="I133" s="2">
        <v>106.78</v>
      </c>
      <c r="J133" s="2">
        <v>74.86</v>
      </c>
      <c r="K133" s="2">
        <v>4164.42</v>
      </c>
      <c r="L133" s="2">
        <v>2919.54</v>
      </c>
      <c r="M133" s="2">
        <v>1244.8800000000001</v>
      </c>
      <c r="N133">
        <v>1</v>
      </c>
    </row>
    <row r="134" spans="1:14" x14ac:dyDescent="0.3">
      <c r="A134" s="1">
        <v>37712</v>
      </c>
      <c r="B134">
        <v>10114</v>
      </c>
      <c r="C134">
        <v>172</v>
      </c>
      <c r="D134" t="s">
        <v>207</v>
      </c>
      <c r="E134" t="s">
        <v>144</v>
      </c>
      <c r="F134" t="s">
        <v>32</v>
      </c>
      <c r="G134" t="s">
        <v>35</v>
      </c>
      <c r="H134">
        <v>45</v>
      </c>
      <c r="I134" s="2">
        <v>53.48</v>
      </c>
      <c r="J134" s="2">
        <v>24.92</v>
      </c>
      <c r="K134" s="2">
        <v>2406.6</v>
      </c>
      <c r="L134" s="2">
        <v>1121.4000000000001</v>
      </c>
      <c r="M134" s="2">
        <v>1285.2</v>
      </c>
      <c r="N134">
        <v>1</v>
      </c>
    </row>
    <row r="135" spans="1:14" x14ac:dyDescent="0.3">
      <c r="A135" s="1">
        <v>37712</v>
      </c>
      <c r="B135">
        <v>10114</v>
      </c>
      <c r="C135">
        <v>172</v>
      </c>
      <c r="D135" t="s">
        <v>207</v>
      </c>
      <c r="E135" t="s">
        <v>144</v>
      </c>
      <c r="F135" t="s">
        <v>29</v>
      </c>
      <c r="G135" t="s">
        <v>53</v>
      </c>
      <c r="H135">
        <v>48</v>
      </c>
      <c r="I135" s="2">
        <v>169.34</v>
      </c>
      <c r="J135" s="2">
        <v>77.900000000000006</v>
      </c>
      <c r="K135" s="2">
        <v>8128.32</v>
      </c>
      <c r="L135" s="2">
        <v>3739.2</v>
      </c>
      <c r="M135" s="2">
        <v>4389.12</v>
      </c>
      <c r="N135">
        <v>1</v>
      </c>
    </row>
    <row r="136" spans="1:14" x14ac:dyDescent="0.3">
      <c r="A136" s="1">
        <v>37712</v>
      </c>
      <c r="B136">
        <v>10114</v>
      </c>
      <c r="C136">
        <v>172</v>
      </c>
      <c r="D136" t="s">
        <v>207</v>
      </c>
      <c r="E136" t="s">
        <v>144</v>
      </c>
      <c r="F136" t="s">
        <v>32</v>
      </c>
      <c r="G136" t="s">
        <v>40</v>
      </c>
      <c r="H136">
        <v>41</v>
      </c>
      <c r="I136" s="2">
        <v>105.34</v>
      </c>
      <c r="J136" s="2">
        <v>84.76</v>
      </c>
      <c r="K136" s="2">
        <v>4318.9399999999996</v>
      </c>
      <c r="L136" s="2">
        <v>3475.16</v>
      </c>
      <c r="M136" s="2">
        <v>843.78</v>
      </c>
      <c r="N136">
        <v>1</v>
      </c>
    </row>
    <row r="137" spans="1:14" x14ac:dyDescent="0.3">
      <c r="A137" s="1">
        <v>37712</v>
      </c>
      <c r="B137">
        <v>10114</v>
      </c>
      <c r="C137">
        <v>172</v>
      </c>
      <c r="D137" t="s">
        <v>207</v>
      </c>
      <c r="E137" t="s">
        <v>144</v>
      </c>
      <c r="F137" t="s">
        <v>32</v>
      </c>
      <c r="G137" t="s">
        <v>42</v>
      </c>
      <c r="H137">
        <v>21</v>
      </c>
      <c r="I137" s="2">
        <v>102.23</v>
      </c>
      <c r="J137" s="2">
        <v>61.34</v>
      </c>
      <c r="K137" s="2">
        <v>2146.83</v>
      </c>
      <c r="L137" s="2">
        <v>1288.1400000000001</v>
      </c>
      <c r="M137" s="2">
        <v>858.69</v>
      </c>
      <c r="N137">
        <v>1</v>
      </c>
    </row>
    <row r="138" spans="1:14" x14ac:dyDescent="0.3">
      <c r="A138" s="1">
        <v>37712</v>
      </c>
      <c r="B138">
        <v>10114</v>
      </c>
      <c r="C138">
        <v>172</v>
      </c>
      <c r="D138" t="s">
        <v>207</v>
      </c>
      <c r="E138" t="s">
        <v>144</v>
      </c>
      <c r="F138" t="s">
        <v>29</v>
      </c>
      <c r="G138" t="s">
        <v>56</v>
      </c>
      <c r="H138">
        <v>24</v>
      </c>
      <c r="I138" s="2">
        <v>28.64</v>
      </c>
      <c r="J138" s="2">
        <v>15.91</v>
      </c>
      <c r="K138" s="2">
        <v>687.36</v>
      </c>
      <c r="L138" s="2">
        <v>381.84</v>
      </c>
      <c r="M138" s="2">
        <v>305.52</v>
      </c>
      <c r="N138">
        <v>1</v>
      </c>
    </row>
    <row r="139" spans="1:14" x14ac:dyDescent="0.3">
      <c r="A139" s="1">
        <v>37712</v>
      </c>
      <c r="B139">
        <v>10114</v>
      </c>
      <c r="C139">
        <v>172</v>
      </c>
      <c r="D139" t="s">
        <v>207</v>
      </c>
      <c r="E139" t="s">
        <v>144</v>
      </c>
      <c r="F139" t="s">
        <v>32</v>
      </c>
      <c r="G139" t="s">
        <v>44</v>
      </c>
      <c r="H139">
        <v>32</v>
      </c>
      <c r="I139" s="2">
        <v>88.61</v>
      </c>
      <c r="J139" s="2">
        <v>53.93</v>
      </c>
      <c r="K139" s="2">
        <v>2835.52</v>
      </c>
      <c r="L139" s="2">
        <v>1725.76</v>
      </c>
      <c r="M139" s="2">
        <v>1109.76</v>
      </c>
      <c r="N139">
        <v>1</v>
      </c>
    </row>
    <row r="140" spans="1:14" x14ac:dyDescent="0.3">
      <c r="A140" s="1">
        <v>37712</v>
      </c>
      <c r="B140">
        <v>10114</v>
      </c>
      <c r="C140">
        <v>172</v>
      </c>
      <c r="D140" t="s">
        <v>207</v>
      </c>
      <c r="E140" t="s">
        <v>144</v>
      </c>
      <c r="F140" t="s">
        <v>32</v>
      </c>
      <c r="G140" t="s">
        <v>58</v>
      </c>
      <c r="H140">
        <v>28</v>
      </c>
      <c r="I140" s="2">
        <v>43.83</v>
      </c>
      <c r="J140" s="2">
        <v>25.98</v>
      </c>
      <c r="K140" s="2">
        <v>1227.24</v>
      </c>
      <c r="L140" s="2">
        <v>727.44</v>
      </c>
      <c r="M140" s="2">
        <v>499.8</v>
      </c>
      <c r="N140">
        <v>1</v>
      </c>
    </row>
    <row r="141" spans="1:14" x14ac:dyDescent="0.3">
      <c r="A141" s="1">
        <v>37712</v>
      </c>
      <c r="B141">
        <v>10114</v>
      </c>
      <c r="C141">
        <v>172</v>
      </c>
      <c r="D141" t="s">
        <v>207</v>
      </c>
      <c r="E141" t="s">
        <v>144</v>
      </c>
      <c r="F141" t="s">
        <v>29</v>
      </c>
      <c r="G141" t="s">
        <v>46</v>
      </c>
      <c r="H141">
        <v>42</v>
      </c>
      <c r="I141" s="2">
        <v>82.94</v>
      </c>
      <c r="J141" s="2">
        <v>46.53</v>
      </c>
      <c r="K141" s="2">
        <v>3483.48</v>
      </c>
      <c r="L141" s="2">
        <v>1954.26</v>
      </c>
      <c r="M141" s="2">
        <v>1529.22</v>
      </c>
      <c r="N141">
        <v>1</v>
      </c>
    </row>
    <row r="142" spans="1:14" x14ac:dyDescent="0.3">
      <c r="A142" s="1">
        <v>37715</v>
      </c>
      <c r="B142">
        <v>10115</v>
      </c>
      <c r="C142">
        <v>424</v>
      </c>
      <c r="D142" t="s">
        <v>208</v>
      </c>
      <c r="E142" t="s">
        <v>14</v>
      </c>
      <c r="F142" t="s">
        <v>32</v>
      </c>
      <c r="G142" t="s">
        <v>50</v>
      </c>
      <c r="H142">
        <v>46</v>
      </c>
      <c r="I142" s="2">
        <v>111.39</v>
      </c>
      <c r="J142" s="2">
        <v>55.7</v>
      </c>
      <c r="K142" s="2">
        <v>5123.9399999999996</v>
      </c>
      <c r="L142" s="2">
        <v>2562.1999999999998</v>
      </c>
      <c r="M142" s="2">
        <v>2561.7399999999998</v>
      </c>
      <c r="N142">
        <v>1</v>
      </c>
    </row>
    <row r="143" spans="1:14" x14ac:dyDescent="0.3">
      <c r="A143" s="1">
        <v>37715</v>
      </c>
      <c r="B143">
        <v>10115</v>
      </c>
      <c r="C143">
        <v>424</v>
      </c>
      <c r="D143" t="s">
        <v>208</v>
      </c>
      <c r="E143" t="s">
        <v>14</v>
      </c>
      <c r="F143" t="s">
        <v>29</v>
      </c>
      <c r="G143" t="s">
        <v>51</v>
      </c>
      <c r="H143">
        <v>46</v>
      </c>
      <c r="I143" s="2">
        <v>140.81</v>
      </c>
      <c r="J143" s="2">
        <v>101.51</v>
      </c>
      <c r="K143" s="2">
        <v>6477.26</v>
      </c>
      <c r="L143" s="2">
        <v>4669.46</v>
      </c>
      <c r="M143" s="2">
        <v>1807.8</v>
      </c>
      <c r="N143">
        <v>1</v>
      </c>
    </row>
    <row r="144" spans="1:14" x14ac:dyDescent="0.3">
      <c r="A144" s="1">
        <v>37715</v>
      </c>
      <c r="B144">
        <v>10115</v>
      </c>
      <c r="C144">
        <v>424</v>
      </c>
      <c r="D144" t="s">
        <v>208</v>
      </c>
      <c r="E144" t="s">
        <v>14</v>
      </c>
      <c r="F144" t="s">
        <v>29</v>
      </c>
      <c r="G144" t="s">
        <v>55</v>
      </c>
      <c r="H144">
        <v>47</v>
      </c>
      <c r="I144" s="2">
        <v>56.64</v>
      </c>
      <c r="J144" s="2">
        <v>32.369999999999997</v>
      </c>
      <c r="K144" s="2">
        <v>2662.08</v>
      </c>
      <c r="L144" s="2">
        <v>1521.39</v>
      </c>
      <c r="M144" s="2">
        <v>1140.69</v>
      </c>
      <c r="N144">
        <v>1</v>
      </c>
    </row>
    <row r="145" spans="1:14" x14ac:dyDescent="0.3">
      <c r="A145" s="1">
        <v>37715</v>
      </c>
      <c r="B145">
        <v>10115</v>
      </c>
      <c r="C145">
        <v>424</v>
      </c>
      <c r="D145" t="s">
        <v>208</v>
      </c>
      <c r="E145" t="s">
        <v>14</v>
      </c>
      <c r="F145" t="s">
        <v>29</v>
      </c>
      <c r="G145" t="s">
        <v>57</v>
      </c>
      <c r="H145">
        <v>44</v>
      </c>
      <c r="I145" s="2">
        <v>106.45</v>
      </c>
      <c r="J145" s="2">
        <v>69.78</v>
      </c>
      <c r="K145" s="2">
        <v>4683.8</v>
      </c>
      <c r="L145" s="2">
        <v>3070.32</v>
      </c>
      <c r="M145" s="2">
        <v>1613.48</v>
      </c>
      <c r="N145">
        <v>1</v>
      </c>
    </row>
    <row r="146" spans="1:14" x14ac:dyDescent="0.3">
      <c r="A146" s="1">
        <v>37715</v>
      </c>
      <c r="B146">
        <v>10115</v>
      </c>
      <c r="C146">
        <v>424</v>
      </c>
      <c r="D146" t="s">
        <v>208</v>
      </c>
      <c r="E146" t="s">
        <v>14</v>
      </c>
      <c r="F146" t="s">
        <v>32</v>
      </c>
      <c r="G146" t="s">
        <v>61</v>
      </c>
      <c r="H146">
        <v>27</v>
      </c>
      <c r="I146" s="2">
        <v>100.7</v>
      </c>
      <c r="J146" s="2">
        <v>68.290000000000006</v>
      </c>
      <c r="K146" s="2">
        <v>2718.9</v>
      </c>
      <c r="L146" s="2">
        <v>1843.83</v>
      </c>
      <c r="M146" s="2">
        <v>875.07</v>
      </c>
      <c r="N146">
        <v>1</v>
      </c>
    </row>
    <row r="147" spans="1:14" x14ac:dyDescent="0.3">
      <c r="A147" s="1">
        <v>37722</v>
      </c>
      <c r="B147">
        <v>10116</v>
      </c>
      <c r="C147">
        <v>381</v>
      </c>
      <c r="D147" t="s">
        <v>145</v>
      </c>
      <c r="E147" t="s">
        <v>146</v>
      </c>
      <c r="F147" t="s">
        <v>59</v>
      </c>
      <c r="G147" t="s">
        <v>60</v>
      </c>
      <c r="H147">
        <v>27</v>
      </c>
      <c r="I147" s="2">
        <v>60.28</v>
      </c>
      <c r="J147" s="2">
        <v>26.72</v>
      </c>
      <c r="K147" s="2">
        <v>1627.56</v>
      </c>
      <c r="L147" s="2">
        <v>721.44</v>
      </c>
      <c r="M147" s="2">
        <v>906.12</v>
      </c>
      <c r="N147">
        <v>1</v>
      </c>
    </row>
    <row r="148" spans="1:14" x14ac:dyDescent="0.3">
      <c r="A148" s="1">
        <v>37727</v>
      </c>
      <c r="B148">
        <v>10117</v>
      </c>
      <c r="C148">
        <v>148</v>
      </c>
      <c r="D148" t="s">
        <v>209</v>
      </c>
      <c r="E148" t="s">
        <v>147</v>
      </c>
      <c r="F148" t="s">
        <v>29</v>
      </c>
      <c r="G148" t="s">
        <v>66</v>
      </c>
      <c r="H148">
        <v>33</v>
      </c>
      <c r="I148" s="2">
        <v>195.33</v>
      </c>
      <c r="J148" s="2">
        <v>95.59</v>
      </c>
      <c r="K148" s="2">
        <v>6445.89</v>
      </c>
      <c r="L148" s="2">
        <v>3154.47</v>
      </c>
      <c r="M148" s="2">
        <v>3291.42</v>
      </c>
      <c r="N148">
        <v>1</v>
      </c>
    </row>
    <row r="149" spans="1:14" x14ac:dyDescent="0.3">
      <c r="A149" s="1">
        <v>37727</v>
      </c>
      <c r="B149">
        <v>10117</v>
      </c>
      <c r="C149">
        <v>148</v>
      </c>
      <c r="D149" t="s">
        <v>209</v>
      </c>
      <c r="E149" t="s">
        <v>147</v>
      </c>
      <c r="F149" t="s">
        <v>29</v>
      </c>
      <c r="G149" t="s">
        <v>49</v>
      </c>
      <c r="H149">
        <v>43</v>
      </c>
      <c r="I149" s="2">
        <v>148.06</v>
      </c>
      <c r="J149" s="2">
        <v>89.14</v>
      </c>
      <c r="K149" s="2">
        <v>6366.58</v>
      </c>
      <c r="L149" s="2">
        <v>3833.02</v>
      </c>
      <c r="M149" s="2">
        <v>2533.56</v>
      </c>
      <c r="N149">
        <v>1</v>
      </c>
    </row>
    <row r="150" spans="1:14" x14ac:dyDescent="0.3">
      <c r="A150" s="1">
        <v>37727</v>
      </c>
      <c r="B150">
        <v>10117</v>
      </c>
      <c r="C150">
        <v>148</v>
      </c>
      <c r="D150" t="s">
        <v>209</v>
      </c>
      <c r="E150" t="s">
        <v>147</v>
      </c>
      <c r="F150" t="s">
        <v>29</v>
      </c>
      <c r="G150" t="s">
        <v>67</v>
      </c>
      <c r="H150">
        <v>39</v>
      </c>
      <c r="I150" s="2">
        <v>173.02</v>
      </c>
      <c r="J150" s="2">
        <v>83.05</v>
      </c>
      <c r="K150" s="2">
        <v>6747.78</v>
      </c>
      <c r="L150" s="2">
        <v>3238.95</v>
      </c>
      <c r="M150" s="2">
        <v>3508.83</v>
      </c>
      <c r="N150">
        <v>1</v>
      </c>
    </row>
    <row r="151" spans="1:14" x14ac:dyDescent="0.3">
      <c r="A151" s="1">
        <v>37727</v>
      </c>
      <c r="B151">
        <v>10117</v>
      </c>
      <c r="C151">
        <v>148</v>
      </c>
      <c r="D151" t="s">
        <v>209</v>
      </c>
      <c r="E151" t="s">
        <v>147</v>
      </c>
      <c r="F151" t="s">
        <v>15</v>
      </c>
      <c r="G151" t="s">
        <v>68</v>
      </c>
      <c r="H151">
        <v>26</v>
      </c>
      <c r="I151" s="2">
        <v>121.57</v>
      </c>
      <c r="J151" s="2">
        <v>68.3</v>
      </c>
      <c r="K151" s="2">
        <v>3160.82</v>
      </c>
      <c r="L151" s="2">
        <v>1775.8</v>
      </c>
      <c r="M151" s="2">
        <v>1385.02</v>
      </c>
      <c r="N151">
        <v>1</v>
      </c>
    </row>
    <row r="152" spans="1:14" x14ac:dyDescent="0.3">
      <c r="A152" s="1">
        <v>37727</v>
      </c>
      <c r="B152">
        <v>10117</v>
      </c>
      <c r="C152">
        <v>148</v>
      </c>
      <c r="D152" t="s">
        <v>209</v>
      </c>
      <c r="E152" t="s">
        <v>147</v>
      </c>
      <c r="F152" t="s">
        <v>59</v>
      </c>
      <c r="G152" t="s">
        <v>69</v>
      </c>
      <c r="H152">
        <v>21</v>
      </c>
      <c r="I152" s="2">
        <v>81.680000000000007</v>
      </c>
      <c r="J152" s="2">
        <v>67.56</v>
      </c>
      <c r="K152" s="2">
        <v>1715.28</v>
      </c>
      <c r="L152" s="2">
        <v>1418.76</v>
      </c>
      <c r="M152" s="2">
        <v>296.52</v>
      </c>
      <c r="N152">
        <v>1</v>
      </c>
    </row>
    <row r="153" spans="1:14" x14ac:dyDescent="0.3">
      <c r="A153" s="1">
        <v>37727</v>
      </c>
      <c r="B153">
        <v>10117</v>
      </c>
      <c r="C153">
        <v>148</v>
      </c>
      <c r="D153" t="s">
        <v>209</v>
      </c>
      <c r="E153" t="s">
        <v>147</v>
      </c>
      <c r="F153" t="s">
        <v>29</v>
      </c>
      <c r="G153" t="s">
        <v>54</v>
      </c>
      <c r="H153">
        <v>22</v>
      </c>
      <c r="I153" s="2">
        <v>122.08</v>
      </c>
      <c r="J153" s="2">
        <v>91.92</v>
      </c>
      <c r="K153" s="2">
        <v>2685.76</v>
      </c>
      <c r="L153" s="2">
        <v>2022.24</v>
      </c>
      <c r="M153" s="2">
        <v>663.52</v>
      </c>
      <c r="N153">
        <v>1</v>
      </c>
    </row>
    <row r="154" spans="1:14" x14ac:dyDescent="0.3">
      <c r="A154" s="1">
        <v>37727</v>
      </c>
      <c r="B154">
        <v>10117</v>
      </c>
      <c r="C154">
        <v>148</v>
      </c>
      <c r="D154" t="s">
        <v>209</v>
      </c>
      <c r="E154" t="s">
        <v>147</v>
      </c>
      <c r="F154" t="s">
        <v>15</v>
      </c>
      <c r="G154" t="s">
        <v>70</v>
      </c>
      <c r="H154">
        <v>23</v>
      </c>
      <c r="I154" s="2">
        <v>73.73</v>
      </c>
      <c r="J154" s="2">
        <v>52.66</v>
      </c>
      <c r="K154" s="2">
        <v>1695.79</v>
      </c>
      <c r="L154" s="2">
        <v>1211.18</v>
      </c>
      <c r="M154" s="2">
        <v>484.61</v>
      </c>
      <c r="N154">
        <v>1</v>
      </c>
    </row>
    <row r="155" spans="1:14" x14ac:dyDescent="0.3">
      <c r="A155" s="1">
        <v>37727</v>
      </c>
      <c r="B155">
        <v>10117</v>
      </c>
      <c r="C155">
        <v>148</v>
      </c>
      <c r="D155" t="s">
        <v>209</v>
      </c>
      <c r="E155" t="s">
        <v>147</v>
      </c>
      <c r="F155" t="s">
        <v>71</v>
      </c>
      <c r="G155" t="s">
        <v>72</v>
      </c>
      <c r="H155">
        <v>41</v>
      </c>
      <c r="I155" s="2">
        <v>119.2</v>
      </c>
      <c r="J155" s="2">
        <v>82.34</v>
      </c>
      <c r="K155" s="2">
        <v>4887.2</v>
      </c>
      <c r="L155" s="2">
        <v>3375.94</v>
      </c>
      <c r="M155" s="2">
        <v>1511.26</v>
      </c>
      <c r="N155">
        <v>1</v>
      </c>
    </row>
    <row r="156" spans="1:14" x14ac:dyDescent="0.3">
      <c r="A156" s="1">
        <v>37727</v>
      </c>
      <c r="B156">
        <v>10117</v>
      </c>
      <c r="C156">
        <v>148</v>
      </c>
      <c r="D156" t="s">
        <v>209</v>
      </c>
      <c r="E156" t="s">
        <v>147</v>
      </c>
      <c r="F156" t="s">
        <v>59</v>
      </c>
      <c r="G156" t="s">
        <v>62</v>
      </c>
      <c r="H156">
        <v>21</v>
      </c>
      <c r="I156" s="2">
        <v>55.65</v>
      </c>
      <c r="J156" s="2">
        <v>37.49</v>
      </c>
      <c r="K156" s="2">
        <v>1168.6500000000001</v>
      </c>
      <c r="L156" s="2">
        <v>787.29</v>
      </c>
      <c r="M156" s="2">
        <v>381.36</v>
      </c>
      <c r="N156">
        <v>1</v>
      </c>
    </row>
    <row r="157" spans="1:14" x14ac:dyDescent="0.3">
      <c r="A157" s="1">
        <v>37727</v>
      </c>
      <c r="B157">
        <v>10117</v>
      </c>
      <c r="C157">
        <v>148</v>
      </c>
      <c r="D157" t="s">
        <v>209</v>
      </c>
      <c r="E157" t="s">
        <v>147</v>
      </c>
      <c r="F157" t="s">
        <v>71</v>
      </c>
      <c r="G157" t="s">
        <v>76</v>
      </c>
      <c r="H157">
        <v>38</v>
      </c>
      <c r="I157" s="2">
        <v>75.349999999999994</v>
      </c>
      <c r="J157" s="2">
        <v>43.3</v>
      </c>
      <c r="K157" s="2">
        <v>2863.3</v>
      </c>
      <c r="L157" s="2">
        <v>1645.4</v>
      </c>
      <c r="M157" s="2">
        <v>1217.9000000000001</v>
      </c>
      <c r="N157">
        <v>1</v>
      </c>
    </row>
    <row r="158" spans="1:14" x14ac:dyDescent="0.3">
      <c r="A158" s="1">
        <v>37727</v>
      </c>
      <c r="B158">
        <v>10117</v>
      </c>
      <c r="C158">
        <v>148</v>
      </c>
      <c r="D158" t="s">
        <v>209</v>
      </c>
      <c r="E158" t="s">
        <v>147</v>
      </c>
      <c r="F158" t="s">
        <v>71</v>
      </c>
      <c r="G158" t="s">
        <v>79</v>
      </c>
      <c r="H158">
        <v>45</v>
      </c>
      <c r="I158" s="2">
        <v>89.38</v>
      </c>
      <c r="J158" s="2">
        <v>53.63</v>
      </c>
      <c r="K158" s="2">
        <v>4022.1</v>
      </c>
      <c r="L158" s="2">
        <v>2413.35</v>
      </c>
      <c r="M158" s="2">
        <v>1608.75</v>
      </c>
      <c r="N158">
        <v>1</v>
      </c>
    </row>
    <row r="159" spans="1:14" x14ac:dyDescent="0.3">
      <c r="A159" s="1">
        <v>37727</v>
      </c>
      <c r="B159">
        <v>10117</v>
      </c>
      <c r="C159">
        <v>148</v>
      </c>
      <c r="D159" t="s">
        <v>209</v>
      </c>
      <c r="E159" t="s">
        <v>147</v>
      </c>
      <c r="F159" t="s">
        <v>71</v>
      </c>
      <c r="G159" t="s">
        <v>80</v>
      </c>
      <c r="H159">
        <v>50</v>
      </c>
      <c r="I159" s="2">
        <v>52.42</v>
      </c>
      <c r="J159" s="2">
        <v>33.299999999999997</v>
      </c>
      <c r="K159" s="2">
        <v>2621</v>
      </c>
      <c r="L159" s="2">
        <v>1665</v>
      </c>
      <c r="M159" s="2">
        <v>956</v>
      </c>
      <c r="N159">
        <v>1</v>
      </c>
    </row>
    <row r="160" spans="1:14" x14ac:dyDescent="0.3">
      <c r="A160" s="1">
        <v>37732</v>
      </c>
      <c r="B160">
        <v>10118</v>
      </c>
      <c r="C160">
        <v>216</v>
      </c>
      <c r="D160" t="s">
        <v>148</v>
      </c>
      <c r="E160" t="s">
        <v>48</v>
      </c>
      <c r="F160" t="s">
        <v>71</v>
      </c>
      <c r="G160" t="s">
        <v>78</v>
      </c>
      <c r="H160">
        <v>36</v>
      </c>
      <c r="I160" s="2">
        <v>86.15</v>
      </c>
      <c r="J160" s="2">
        <v>51.09</v>
      </c>
      <c r="K160" s="2">
        <v>3101.4</v>
      </c>
      <c r="L160" s="2">
        <v>1839.24</v>
      </c>
      <c r="M160" s="2">
        <v>1262.1600000000001</v>
      </c>
      <c r="N160">
        <v>1</v>
      </c>
    </row>
    <row r="161" spans="1:14" x14ac:dyDescent="0.3">
      <c r="A161" s="1">
        <v>37739</v>
      </c>
      <c r="B161">
        <v>10119</v>
      </c>
      <c r="C161">
        <v>382</v>
      </c>
      <c r="D161" t="s">
        <v>149</v>
      </c>
      <c r="E161" t="s">
        <v>150</v>
      </c>
      <c r="F161" t="s">
        <v>29</v>
      </c>
      <c r="G161" t="s">
        <v>65</v>
      </c>
      <c r="H161">
        <v>46</v>
      </c>
      <c r="I161" s="2">
        <v>112.88</v>
      </c>
      <c r="J161" s="2">
        <v>85.68</v>
      </c>
      <c r="K161" s="2">
        <v>5192.4799999999996</v>
      </c>
      <c r="L161" s="2">
        <v>3941.28</v>
      </c>
      <c r="M161" s="2">
        <v>1251.2</v>
      </c>
      <c r="N161">
        <v>1</v>
      </c>
    </row>
    <row r="162" spans="1:14" x14ac:dyDescent="0.3">
      <c r="A162" s="1">
        <v>37739</v>
      </c>
      <c r="B162">
        <v>10119</v>
      </c>
      <c r="C162">
        <v>382</v>
      </c>
      <c r="D162" t="s">
        <v>149</v>
      </c>
      <c r="E162" t="s">
        <v>150</v>
      </c>
      <c r="F162" t="s">
        <v>83</v>
      </c>
      <c r="G162" t="s">
        <v>84</v>
      </c>
      <c r="H162">
        <v>43</v>
      </c>
      <c r="I162" s="2">
        <v>151.38</v>
      </c>
      <c r="J162" s="2">
        <v>77.27</v>
      </c>
      <c r="K162" s="2">
        <v>6509.34</v>
      </c>
      <c r="L162" s="2">
        <v>3322.61</v>
      </c>
      <c r="M162" s="2">
        <v>3186.73</v>
      </c>
      <c r="N162">
        <v>1</v>
      </c>
    </row>
    <row r="163" spans="1:14" x14ac:dyDescent="0.3">
      <c r="A163" s="1">
        <v>37739</v>
      </c>
      <c r="B163">
        <v>10119</v>
      </c>
      <c r="C163">
        <v>382</v>
      </c>
      <c r="D163" t="s">
        <v>149</v>
      </c>
      <c r="E163" t="s">
        <v>150</v>
      </c>
      <c r="F163" t="s">
        <v>71</v>
      </c>
      <c r="G163" t="s">
        <v>86</v>
      </c>
      <c r="H163">
        <v>21</v>
      </c>
      <c r="I163" s="2">
        <v>74.84</v>
      </c>
      <c r="J163" s="2">
        <v>51.61</v>
      </c>
      <c r="K163" s="2">
        <v>1571.64</v>
      </c>
      <c r="L163" s="2">
        <v>1083.81</v>
      </c>
      <c r="M163" s="2">
        <v>487.83</v>
      </c>
      <c r="N163">
        <v>1</v>
      </c>
    </row>
    <row r="164" spans="1:14" x14ac:dyDescent="0.3">
      <c r="A164" s="1">
        <v>37739</v>
      </c>
      <c r="B164">
        <v>10119</v>
      </c>
      <c r="C164">
        <v>382</v>
      </c>
      <c r="D164" t="s">
        <v>149</v>
      </c>
      <c r="E164" t="s">
        <v>150</v>
      </c>
      <c r="F164" t="s">
        <v>15</v>
      </c>
      <c r="G164" t="s">
        <v>87</v>
      </c>
      <c r="H164">
        <v>27</v>
      </c>
      <c r="I164" s="2">
        <v>95.28</v>
      </c>
      <c r="J164" s="2">
        <v>64.58</v>
      </c>
      <c r="K164" s="2">
        <v>2572.56</v>
      </c>
      <c r="L164" s="2">
        <v>1743.66</v>
      </c>
      <c r="M164" s="2">
        <v>828.9</v>
      </c>
      <c r="N164">
        <v>1</v>
      </c>
    </row>
    <row r="165" spans="1:14" x14ac:dyDescent="0.3">
      <c r="A165" s="1">
        <v>37739</v>
      </c>
      <c r="B165">
        <v>10119</v>
      </c>
      <c r="C165">
        <v>382</v>
      </c>
      <c r="D165" t="s">
        <v>149</v>
      </c>
      <c r="E165" t="s">
        <v>150</v>
      </c>
      <c r="F165" t="s">
        <v>83</v>
      </c>
      <c r="G165" t="s">
        <v>89</v>
      </c>
      <c r="H165">
        <v>41</v>
      </c>
      <c r="I165" s="2">
        <v>64.400000000000006</v>
      </c>
      <c r="J165" s="2">
        <v>34.25</v>
      </c>
      <c r="K165" s="2">
        <v>2640.4</v>
      </c>
      <c r="L165" s="2">
        <v>1404.25</v>
      </c>
      <c r="M165" s="2">
        <v>1236.1500000000001</v>
      </c>
      <c r="N165">
        <v>1</v>
      </c>
    </row>
    <row r="166" spans="1:14" x14ac:dyDescent="0.3">
      <c r="A166" s="1">
        <v>37739</v>
      </c>
      <c r="B166">
        <v>10119</v>
      </c>
      <c r="C166">
        <v>382</v>
      </c>
      <c r="D166" t="s">
        <v>149</v>
      </c>
      <c r="E166" t="s">
        <v>150</v>
      </c>
      <c r="F166" t="s">
        <v>15</v>
      </c>
      <c r="G166" t="s">
        <v>73</v>
      </c>
      <c r="H166">
        <v>35</v>
      </c>
      <c r="I166" s="2">
        <v>72.58</v>
      </c>
      <c r="J166" s="2">
        <v>46.91</v>
      </c>
      <c r="K166" s="2">
        <v>2540.3000000000002</v>
      </c>
      <c r="L166" s="2">
        <v>1641.85</v>
      </c>
      <c r="M166" s="2">
        <v>898.45</v>
      </c>
      <c r="N166">
        <v>1</v>
      </c>
    </row>
    <row r="167" spans="1:14" x14ac:dyDescent="0.3">
      <c r="A167" s="1">
        <v>37739</v>
      </c>
      <c r="B167">
        <v>10119</v>
      </c>
      <c r="C167">
        <v>382</v>
      </c>
      <c r="D167" t="s">
        <v>149</v>
      </c>
      <c r="E167" t="s">
        <v>150</v>
      </c>
      <c r="F167" t="s">
        <v>15</v>
      </c>
      <c r="G167" t="s">
        <v>90</v>
      </c>
      <c r="H167">
        <v>20</v>
      </c>
      <c r="I167" s="2">
        <v>63.12</v>
      </c>
      <c r="J167" s="2">
        <v>26.3</v>
      </c>
      <c r="K167" s="2">
        <v>1262.4000000000001</v>
      </c>
      <c r="L167" s="2">
        <v>526</v>
      </c>
      <c r="M167" s="2">
        <v>736.4</v>
      </c>
      <c r="N167">
        <v>1</v>
      </c>
    </row>
    <row r="168" spans="1:14" x14ac:dyDescent="0.3">
      <c r="A168" s="1">
        <v>37739</v>
      </c>
      <c r="B168">
        <v>10119</v>
      </c>
      <c r="C168">
        <v>382</v>
      </c>
      <c r="D168" t="s">
        <v>149</v>
      </c>
      <c r="E168" t="s">
        <v>150</v>
      </c>
      <c r="F168" t="s">
        <v>15</v>
      </c>
      <c r="G168" t="s">
        <v>74</v>
      </c>
      <c r="H168">
        <v>35</v>
      </c>
      <c r="I168" s="2">
        <v>82.18</v>
      </c>
      <c r="J168" s="2">
        <v>48.64</v>
      </c>
      <c r="K168" s="2">
        <v>2876.3</v>
      </c>
      <c r="L168" s="2">
        <v>1702.4</v>
      </c>
      <c r="M168" s="2">
        <v>1173.9000000000001</v>
      </c>
      <c r="N168">
        <v>1</v>
      </c>
    </row>
    <row r="169" spans="1:14" x14ac:dyDescent="0.3">
      <c r="A169" s="1">
        <v>37739</v>
      </c>
      <c r="B169">
        <v>10119</v>
      </c>
      <c r="C169">
        <v>382</v>
      </c>
      <c r="D169" t="s">
        <v>149</v>
      </c>
      <c r="E169" t="s">
        <v>150</v>
      </c>
      <c r="F169" t="s">
        <v>83</v>
      </c>
      <c r="G169" t="s">
        <v>91</v>
      </c>
      <c r="H169">
        <v>28</v>
      </c>
      <c r="I169" s="2">
        <v>62.1</v>
      </c>
      <c r="J169" s="2">
        <v>29.34</v>
      </c>
      <c r="K169" s="2">
        <v>1738.8</v>
      </c>
      <c r="L169" s="2">
        <v>821.52</v>
      </c>
      <c r="M169" s="2">
        <v>917.28</v>
      </c>
      <c r="N169">
        <v>1</v>
      </c>
    </row>
    <row r="170" spans="1:14" x14ac:dyDescent="0.3">
      <c r="A170" s="1">
        <v>37739</v>
      </c>
      <c r="B170">
        <v>10119</v>
      </c>
      <c r="C170">
        <v>382</v>
      </c>
      <c r="D170" t="s">
        <v>149</v>
      </c>
      <c r="E170" t="s">
        <v>150</v>
      </c>
      <c r="F170" t="s">
        <v>71</v>
      </c>
      <c r="G170" t="s">
        <v>75</v>
      </c>
      <c r="H170">
        <v>25</v>
      </c>
      <c r="I170" s="2">
        <v>57.34</v>
      </c>
      <c r="J170" s="2">
        <v>34</v>
      </c>
      <c r="K170" s="2">
        <v>1433.5</v>
      </c>
      <c r="L170" s="2">
        <v>850</v>
      </c>
      <c r="M170" s="2">
        <v>583.5</v>
      </c>
      <c r="N170">
        <v>1</v>
      </c>
    </row>
    <row r="171" spans="1:14" x14ac:dyDescent="0.3">
      <c r="A171" s="1">
        <v>37739</v>
      </c>
      <c r="B171">
        <v>10119</v>
      </c>
      <c r="C171">
        <v>382</v>
      </c>
      <c r="D171" t="s">
        <v>149</v>
      </c>
      <c r="E171" t="s">
        <v>150</v>
      </c>
      <c r="F171" t="s">
        <v>71</v>
      </c>
      <c r="G171" t="s">
        <v>96</v>
      </c>
      <c r="H171">
        <v>29</v>
      </c>
      <c r="I171" s="2">
        <v>74.23</v>
      </c>
      <c r="J171" s="2">
        <v>39.83</v>
      </c>
      <c r="K171" s="2">
        <v>2152.67</v>
      </c>
      <c r="L171" s="2">
        <v>1155.07</v>
      </c>
      <c r="M171" s="2">
        <v>997.6</v>
      </c>
      <c r="N171">
        <v>1</v>
      </c>
    </row>
    <row r="172" spans="1:14" x14ac:dyDescent="0.3">
      <c r="A172" s="1">
        <v>37739</v>
      </c>
      <c r="B172">
        <v>10119</v>
      </c>
      <c r="C172">
        <v>382</v>
      </c>
      <c r="D172" t="s">
        <v>149</v>
      </c>
      <c r="E172" t="s">
        <v>150</v>
      </c>
      <c r="F172" t="s">
        <v>71</v>
      </c>
      <c r="G172" t="s">
        <v>77</v>
      </c>
      <c r="H172">
        <v>38</v>
      </c>
      <c r="I172" s="2">
        <v>67.22</v>
      </c>
      <c r="J172" s="2">
        <v>33.97</v>
      </c>
      <c r="K172" s="2">
        <v>2554.36</v>
      </c>
      <c r="L172" s="2">
        <v>1290.8599999999999</v>
      </c>
      <c r="M172" s="2">
        <v>1263.5</v>
      </c>
      <c r="N172">
        <v>1</v>
      </c>
    </row>
    <row r="173" spans="1:14" x14ac:dyDescent="0.3">
      <c r="A173" s="1">
        <v>37739</v>
      </c>
      <c r="B173">
        <v>10119</v>
      </c>
      <c r="C173">
        <v>382</v>
      </c>
      <c r="D173" t="s">
        <v>149</v>
      </c>
      <c r="E173" t="s">
        <v>150</v>
      </c>
      <c r="F173" t="s">
        <v>83</v>
      </c>
      <c r="G173" t="s">
        <v>100</v>
      </c>
      <c r="H173">
        <v>26</v>
      </c>
      <c r="I173" s="2">
        <v>63.67</v>
      </c>
      <c r="J173" s="2">
        <v>36.270000000000003</v>
      </c>
      <c r="K173" s="2">
        <v>1655.42</v>
      </c>
      <c r="L173" s="2">
        <v>943.02</v>
      </c>
      <c r="M173" s="2">
        <v>712.4</v>
      </c>
      <c r="N173">
        <v>1</v>
      </c>
    </row>
    <row r="174" spans="1:14" x14ac:dyDescent="0.3">
      <c r="A174" s="1">
        <v>37739</v>
      </c>
      <c r="B174">
        <v>10119</v>
      </c>
      <c r="C174">
        <v>382</v>
      </c>
      <c r="D174" t="s">
        <v>149</v>
      </c>
      <c r="E174" t="s">
        <v>150</v>
      </c>
      <c r="F174" t="s">
        <v>83</v>
      </c>
      <c r="G174" t="s">
        <v>101</v>
      </c>
      <c r="H174">
        <v>28</v>
      </c>
      <c r="I174" s="2">
        <v>40.22</v>
      </c>
      <c r="J174" s="2">
        <v>32.770000000000003</v>
      </c>
      <c r="K174" s="2">
        <v>1126.1600000000001</v>
      </c>
      <c r="L174" s="2">
        <v>917.56</v>
      </c>
      <c r="M174" s="2">
        <v>208.6</v>
      </c>
      <c r="N174">
        <v>1</v>
      </c>
    </row>
    <row r="175" spans="1:14" x14ac:dyDescent="0.3">
      <c r="A175" s="1">
        <v>37740</v>
      </c>
      <c r="B175">
        <v>10120</v>
      </c>
      <c r="C175">
        <v>114</v>
      </c>
      <c r="D175" t="s">
        <v>210</v>
      </c>
      <c r="E175" t="s">
        <v>151</v>
      </c>
      <c r="F175" t="s">
        <v>102</v>
      </c>
      <c r="G175" t="s">
        <v>104</v>
      </c>
      <c r="H175">
        <v>29</v>
      </c>
      <c r="I175" s="2">
        <v>118.94</v>
      </c>
      <c r="J175" s="2">
        <v>68.989999999999995</v>
      </c>
      <c r="K175" s="2">
        <v>3449.26</v>
      </c>
      <c r="L175" s="2">
        <v>2000.71</v>
      </c>
      <c r="M175" s="2">
        <v>1448.55</v>
      </c>
      <c r="N175">
        <v>1</v>
      </c>
    </row>
    <row r="176" spans="1:14" x14ac:dyDescent="0.3">
      <c r="A176" s="1">
        <v>37740</v>
      </c>
      <c r="B176">
        <v>10120</v>
      </c>
      <c r="C176">
        <v>114</v>
      </c>
      <c r="D176" t="s">
        <v>210</v>
      </c>
      <c r="E176" t="s">
        <v>151</v>
      </c>
      <c r="F176" t="s">
        <v>102</v>
      </c>
      <c r="G176" t="s">
        <v>105</v>
      </c>
      <c r="H176">
        <v>46</v>
      </c>
      <c r="I176" s="2">
        <v>158.80000000000001</v>
      </c>
      <c r="J176" s="2">
        <v>91.02</v>
      </c>
      <c r="K176" s="2">
        <v>7304.8</v>
      </c>
      <c r="L176" s="2">
        <v>4186.92</v>
      </c>
      <c r="M176" s="2">
        <v>3117.88</v>
      </c>
      <c r="N176">
        <v>1</v>
      </c>
    </row>
    <row r="177" spans="1:14" x14ac:dyDescent="0.3">
      <c r="A177" s="1">
        <v>37740</v>
      </c>
      <c r="B177">
        <v>10120</v>
      </c>
      <c r="C177">
        <v>114</v>
      </c>
      <c r="D177" t="s">
        <v>210</v>
      </c>
      <c r="E177" t="s">
        <v>151</v>
      </c>
      <c r="F177" t="s">
        <v>83</v>
      </c>
      <c r="G177" t="s">
        <v>85</v>
      </c>
      <c r="H177">
        <v>29</v>
      </c>
      <c r="I177" s="2">
        <v>82.79</v>
      </c>
      <c r="J177" s="2">
        <v>49</v>
      </c>
      <c r="K177" s="2">
        <v>2400.91</v>
      </c>
      <c r="L177" s="2">
        <v>1421</v>
      </c>
      <c r="M177" s="2">
        <v>979.91</v>
      </c>
      <c r="N177">
        <v>1</v>
      </c>
    </row>
    <row r="178" spans="1:14" x14ac:dyDescent="0.3">
      <c r="A178" s="1">
        <v>37740</v>
      </c>
      <c r="B178">
        <v>10120</v>
      </c>
      <c r="C178">
        <v>114</v>
      </c>
      <c r="D178" t="s">
        <v>210</v>
      </c>
      <c r="E178" t="s">
        <v>151</v>
      </c>
      <c r="F178" t="s">
        <v>102</v>
      </c>
      <c r="G178" t="s">
        <v>107</v>
      </c>
      <c r="H178">
        <v>46</v>
      </c>
      <c r="I178" s="2">
        <v>57.54</v>
      </c>
      <c r="J178" s="2">
        <v>24.23</v>
      </c>
      <c r="K178" s="2">
        <v>2646.84</v>
      </c>
      <c r="L178" s="2">
        <v>1114.58</v>
      </c>
      <c r="M178" s="2">
        <v>1532.26</v>
      </c>
      <c r="N178">
        <v>1</v>
      </c>
    </row>
    <row r="179" spans="1:14" x14ac:dyDescent="0.3">
      <c r="A179" s="1">
        <v>37740</v>
      </c>
      <c r="B179">
        <v>10120</v>
      </c>
      <c r="C179">
        <v>114</v>
      </c>
      <c r="D179" t="s">
        <v>210</v>
      </c>
      <c r="E179" t="s">
        <v>151</v>
      </c>
      <c r="F179" t="s">
        <v>102</v>
      </c>
      <c r="G179" t="s">
        <v>108</v>
      </c>
      <c r="H179">
        <v>35</v>
      </c>
      <c r="I179" s="2">
        <v>110.45</v>
      </c>
      <c r="J179" s="2">
        <v>60.86</v>
      </c>
      <c r="K179" s="2">
        <v>3865.75</v>
      </c>
      <c r="L179" s="2">
        <v>2130.1</v>
      </c>
      <c r="M179" s="2">
        <v>1735.65</v>
      </c>
      <c r="N179">
        <v>1</v>
      </c>
    </row>
    <row r="180" spans="1:14" x14ac:dyDescent="0.3">
      <c r="A180" s="1">
        <v>37740</v>
      </c>
      <c r="B180">
        <v>10120</v>
      </c>
      <c r="C180">
        <v>114</v>
      </c>
      <c r="D180" t="s">
        <v>210</v>
      </c>
      <c r="E180" t="s">
        <v>151</v>
      </c>
      <c r="F180" t="s">
        <v>83</v>
      </c>
      <c r="G180" t="s">
        <v>88</v>
      </c>
      <c r="H180">
        <v>39</v>
      </c>
      <c r="I180" s="2">
        <v>93.01</v>
      </c>
      <c r="J180" s="2">
        <v>66.739999999999995</v>
      </c>
      <c r="K180" s="2">
        <v>3627.39</v>
      </c>
      <c r="L180" s="2">
        <v>2602.86</v>
      </c>
      <c r="M180" s="2">
        <v>1024.53</v>
      </c>
      <c r="N180">
        <v>1</v>
      </c>
    </row>
    <row r="181" spans="1:14" x14ac:dyDescent="0.3">
      <c r="A181" s="1">
        <v>37740</v>
      </c>
      <c r="B181">
        <v>10120</v>
      </c>
      <c r="C181">
        <v>114</v>
      </c>
      <c r="D181" t="s">
        <v>210</v>
      </c>
      <c r="E181" t="s">
        <v>151</v>
      </c>
      <c r="F181" t="s">
        <v>102</v>
      </c>
      <c r="G181" t="s">
        <v>109</v>
      </c>
      <c r="H181">
        <v>34</v>
      </c>
      <c r="I181" s="2">
        <v>72.36</v>
      </c>
      <c r="J181" s="2">
        <v>37.32</v>
      </c>
      <c r="K181" s="2">
        <v>2460.2399999999998</v>
      </c>
      <c r="L181" s="2">
        <v>1268.8800000000001</v>
      </c>
      <c r="M181" s="2">
        <v>1191.3599999999999</v>
      </c>
      <c r="N181">
        <v>1</v>
      </c>
    </row>
    <row r="182" spans="1:14" x14ac:dyDescent="0.3">
      <c r="A182" s="1">
        <v>37740</v>
      </c>
      <c r="B182">
        <v>10120</v>
      </c>
      <c r="C182">
        <v>114</v>
      </c>
      <c r="D182" t="s">
        <v>210</v>
      </c>
      <c r="E182" t="s">
        <v>151</v>
      </c>
      <c r="F182" t="s">
        <v>83</v>
      </c>
      <c r="G182" t="s">
        <v>92</v>
      </c>
      <c r="H182">
        <v>29</v>
      </c>
      <c r="I182" s="2">
        <v>71.73</v>
      </c>
      <c r="J182" s="2">
        <v>36.229999999999997</v>
      </c>
      <c r="K182" s="2">
        <v>2080.17</v>
      </c>
      <c r="L182" s="2">
        <v>1050.67</v>
      </c>
      <c r="M182" s="2">
        <v>1029.5</v>
      </c>
      <c r="N182">
        <v>1</v>
      </c>
    </row>
    <row r="183" spans="1:14" x14ac:dyDescent="0.3">
      <c r="A183" s="1">
        <v>37740</v>
      </c>
      <c r="B183">
        <v>10120</v>
      </c>
      <c r="C183">
        <v>114</v>
      </c>
      <c r="D183" t="s">
        <v>210</v>
      </c>
      <c r="E183" t="s">
        <v>151</v>
      </c>
      <c r="F183" t="s">
        <v>102</v>
      </c>
      <c r="G183" t="s">
        <v>110</v>
      </c>
      <c r="H183">
        <v>22</v>
      </c>
      <c r="I183" s="2">
        <v>94.9</v>
      </c>
      <c r="J183" s="2">
        <v>66.92</v>
      </c>
      <c r="K183" s="2">
        <v>2087.8000000000002</v>
      </c>
      <c r="L183" s="2">
        <v>1472.24</v>
      </c>
      <c r="M183" s="2">
        <v>615.55999999999995</v>
      </c>
      <c r="N183">
        <v>1</v>
      </c>
    </row>
    <row r="184" spans="1:14" x14ac:dyDescent="0.3">
      <c r="A184" s="1">
        <v>37740</v>
      </c>
      <c r="B184">
        <v>10120</v>
      </c>
      <c r="C184">
        <v>114</v>
      </c>
      <c r="D184" t="s">
        <v>210</v>
      </c>
      <c r="E184" t="s">
        <v>151</v>
      </c>
      <c r="F184" t="s">
        <v>15</v>
      </c>
      <c r="G184" t="s">
        <v>93</v>
      </c>
      <c r="H184">
        <v>29</v>
      </c>
      <c r="I184" s="2">
        <v>68.790000000000006</v>
      </c>
      <c r="J184" s="2">
        <v>33.020000000000003</v>
      </c>
      <c r="K184" s="2">
        <v>1994.91</v>
      </c>
      <c r="L184" s="2">
        <v>957.58</v>
      </c>
      <c r="M184" s="2">
        <v>1037.33</v>
      </c>
      <c r="N184">
        <v>1</v>
      </c>
    </row>
    <row r="185" spans="1:14" x14ac:dyDescent="0.3">
      <c r="A185" s="1">
        <v>37740</v>
      </c>
      <c r="B185">
        <v>10120</v>
      </c>
      <c r="C185">
        <v>114</v>
      </c>
      <c r="D185" t="s">
        <v>210</v>
      </c>
      <c r="E185" t="s">
        <v>151</v>
      </c>
      <c r="F185" t="s">
        <v>15</v>
      </c>
      <c r="G185" t="s">
        <v>94</v>
      </c>
      <c r="H185">
        <v>49</v>
      </c>
      <c r="I185" s="2">
        <v>41.46</v>
      </c>
      <c r="J185" s="2">
        <v>27.06</v>
      </c>
      <c r="K185" s="2">
        <v>2031.54</v>
      </c>
      <c r="L185" s="2">
        <v>1325.94</v>
      </c>
      <c r="M185" s="2">
        <v>705.6</v>
      </c>
      <c r="N185">
        <v>1</v>
      </c>
    </row>
    <row r="186" spans="1:14" x14ac:dyDescent="0.3">
      <c r="A186" s="1">
        <v>37740</v>
      </c>
      <c r="B186">
        <v>10120</v>
      </c>
      <c r="C186">
        <v>114</v>
      </c>
      <c r="D186" t="s">
        <v>210</v>
      </c>
      <c r="E186" t="s">
        <v>151</v>
      </c>
      <c r="F186" t="s">
        <v>83</v>
      </c>
      <c r="G186" t="s">
        <v>95</v>
      </c>
      <c r="H186">
        <v>47</v>
      </c>
      <c r="I186" s="2">
        <v>91.34</v>
      </c>
      <c r="J186" s="2">
        <v>51.15</v>
      </c>
      <c r="K186" s="2">
        <v>4292.9799999999996</v>
      </c>
      <c r="L186" s="2">
        <v>2404.0500000000002</v>
      </c>
      <c r="M186" s="2">
        <v>1888.93</v>
      </c>
      <c r="N186">
        <v>1</v>
      </c>
    </row>
    <row r="187" spans="1:14" x14ac:dyDescent="0.3">
      <c r="A187" s="1">
        <v>37740</v>
      </c>
      <c r="B187">
        <v>10120</v>
      </c>
      <c r="C187">
        <v>114</v>
      </c>
      <c r="D187" t="s">
        <v>210</v>
      </c>
      <c r="E187" t="s">
        <v>151</v>
      </c>
      <c r="F187" t="s">
        <v>83</v>
      </c>
      <c r="G187" t="s">
        <v>97</v>
      </c>
      <c r="H187">
        <v>24</v>
      </c>
      <c r="I187" s="2">
        <v>81.77</v>
      </c>
      <c r="J187" s="2">
        <v>68.8</v>
      </c>
      <c r="K187" s="2">
        <v>1962.48</v>
      </c>
      <c r="L187" s="2">
        <v>1651.2</v>
      </c>
      <c r="M187" s="2">
        <v>311.27999999999997</v>
      </c>
      <c r="N187">
        <v>1</v>
      </c>
    </row>
    <row r="188" spans="1:14" x14ac:dyDescent="0.3">
      <c r="A188" s="1">
        <v>37740</v>
      </c>
      <c r="B188">
        <v>10120</v>
      </c>
      <c r="C188">
        <v>114</v>
      </c>
      <c r="D188" t="s">
        <v>210</v>
      </c>
      <c r="E188" t="s">
        <v>151</v>
      </c>
      <c r="F188" t="s">
        <v>83</v>
      </c>
      <c r="G188" t="s">
        <v>98</v>
      </c>
      <c r="H188">
        <v>24</v>
      </c>
      <c r="I188" s="2">
        <v>106.79</v>
      </c>
      <c r="J188" s="2">
        <v>59.33</v>
      </c>
      <c r="K188" s="2">
        <v>2562.96</v>
      </c>
      <c r="L188" s="2">
        <v>1423.92</v>
      </c>
      <c r="M188" s="2">
        <v>1139.04</v>
      </c>
      <c r="N188">
        <v>1</v>
      </c>
    </row>
    <row r="189" spans="1:14" x14ac:dyDescent="0.3">
      <c r="A189" s="1">
        <v>37740</v>
      </c>
      <c r="B189">
        <v>10120</v>
      </c>
      <c r="C189">
        <v>114</v>
      </c>
      <c r="D189" t="s">
        <v>210</v>
      </c>
      <c r="E189" t="s">
        <v>151</v>
      </c>
      <c r="F189" t="s">
        <v>83</v>
      </c>
      <c r="G189" t="s">
        <v>99</v>
      </c>
      <c r="H189">
        <v>43</v>
      </c>
      <c r="I189" s="2">
        <v>72</v>
      </c>
      <c r="J189" s="2">
        <v>54.4</v>
      </c>
      <c r="K189" s="2">
        <v>3096</v>
      </c>
      <c r="L189" s="2">
        <v>2339.1999999999998</v>
      </c>
      <c r="M189" s="2">
        <v>756.8</v>
      </c>
      <c r="N189">
        <v>1</v>
      </c>
    </row>
    <row r="190" spans="1:14" x14ac:dyDescent="0.3">
      <c r="A190" s="1">
        <v>37748</v>
      </c>
      <c r="B190">
        <v>10121</v>
      </c>
      <c r="C190">
        <v>353</v>
      </c>
      <c r="D190" t="s">
        <v>152</v>
      </c>
      <c r="E190" t="s">
        <v>144</v>
      </c>
      <c r="F190" t="s">
        <v>102</v>
      </c>
      <c r="G190" t="s">
        <v>103</v>
      </c>
      <c r="H190">
        <v>34</v>
      </c>
      <c r="I190" s="2">
        <v>86.13</v>
      </c>
      <c r="J190" s="2">
        <v>48.81</v>
      </c>
      <c r="K190" s="2">
        <v>2928.42</v>
      </c>
      <c r="L190" s="2">
        <v>1659.54</v>
      </c>
      <c r="M190" s="2">
        <v>1268.8800000000001</v>
      </c>
      <c r="N190">
        <v>1</v>
      </c>
    </row>
    <row r="191" spans="1:14" x14ac:dyDescent="0.3">
      <c r="A191" s="1">
        <v>37748</v>
      </c>
      <c r="B191">
        <v>10121</v>
      </c>
      <c r="C191">
        <v>353</v>
      </c>
      <c r="D191" t="s">
        <v>152</v>
      </c>
      <c r="E191" t="s">
        <v>144</v>
      </c>
      <c r="F191" t="s">
        <v>102</v>
      </c>
      <c r="G191" t="s">
        <v>106</v>
      </c>
      <c r="H191">
        <v>50</v>
      </c>
      <c r="I191" s="2">
        <v>126.52</v>
      </c>
      <c r="J191" s="2">
        <v>66.27</v>
      </c>
      <c r="K191" s="2">
        <v>6326</v>
      </c>
      <c r="L191" s="2">
        <v>3313.5</v>
      </c>
      <c r="M191" s="2">
        <v>3012.5</v>
      </c>
      <c r="N191">
        <v>1</v>
      </c>
    </row>
    <row r="192" spans="1:14" x14ac:dyDescent="0.3">
      <c r="A192" s="1">
        <v>37748</v>
      </c>
      <c r="B192">
        <v>10121</v>
      </c>
      <c r="C192">
        <v>353</v>
      </c>
      <c r="D192" t="s">
        <v>152</v>
      </c>
      <c r="E192" t="s">
        <v>144</v>
      </c>
      <c r="F192" t="s">
        <v>102</v>
      </c>
      <c r="G192" t="s">
        <v>121</v>
      </c>
      <c r="H192">
        <v>32</v>
      </c>
      <c r="I192" s="2">
        <v>58.18</v>
      </c>
      <c r="J192" s="2">
        <v>47.1</v>
      </c>
      <c r="K192" s="2">
        <v>1861.76</v>
      </c>
      <c r="L192" s="2">
        <v>1507.2</v>
      </c>
      <c r="M192" s="2">
        <v>354.56</v>
      </c>
      <c r="N192">
        <v>1</v>
      </c>
    </row>
    <row r="193" spans="1:14" x14ac:dyDescent="0.3">
      <c r="A193" s="1">
        <v>37748</v>
      </c>
      <c r="B193">
        <v>10121</v>
      </c>
      <c r="C193">
        <v>353</v>
      </c>
      <c r="D193" t="s">
        <v>152</v>
      </c>
      <c r="E193" t="s">
        <v>144</v>
      </c>
      <c r="F193" t="s">
        <v>102</v>
      </c>
      <c r="G193" t="s">
        <v>126</v>
      </c>
      <c r="H193">
        <v>25</v>
      </c>
      <c r="I193" s="2">
        <v>95.93</v>
      </c>
      <c r="J193" s="2">
        <v>56.13</v>
      </c>
      <c r="K193" s="2">
        <v>2398.25</v>
      </c>
      <c r="L193" s="2">
        <v>1403.25</v>
      </c>
      <c r="M193" s="2">
        <v>995</v>
      </c>
      <c r="N193">
        <v>1</v>
      </c>
    </row>
    <row r="194" spans="1:14" x14ac:dyDescent="0.3">
      <c r="A194" s="1">
        <v>37748</v>
      </c>
      <c r="B194">
        <v>10121</v>
      </c>
      <c r="C194">
        <v>353</v>
      </c>
      <c r="D194" t="s">
        <v>152</v>
      </c>
      <c r="E194" t="s">
        <v>144</v>
      </c>
      <c r="F194" t="s">
        <v>102</v>
      </c>
      <c r="G194" t="s">
        <v>127</v>
      </c>
      <c r="H194">
        <v>44</v>
      </c>
      <c r="I194" s="2">
        <v>72.41</v>
      </c>
      <c r="J194" s="2">
        <v>34.17</v>
      </c>
      <c r="K194" s="2">
        <v>3186.04</v>
      </c>
      <c r="L194" s="2">
        <v>1503.48</v>
      </c>
      <c r="M194" s="2">
        <v>1682.56</v>
      </c>
      <c r="N194">
        <v>1</v>
      </c>
    </row>
    <row r="195" spans="1:14" x14ac:dyDescent="0.3">
      <c r="A195" s="1">
        <v>37749</v>
      </c>
      <c r="B195">
        <v>10122</v>
      </c>
      <c r="C195">
        <v>350</v>
      </c>
      <c r="D195" t="s">
        <v>153</v>
      </c>
      <c r="E195" t="s">
        <v>144</v>
      </c>
      <c r="F195" t="s">
        <v>29</v>
      </c>
      <c r="G195" t="s">
        <v>112</v>
      </c>
      <c r="H195">
        <v>42</v>
      </c>
      <c r="I195" s="2">
        <v>155.66</v>
      </c>
      <c r="J195" s="2">
        <v>95.34</v>
      </c>
      <c r="K195" s="2">
        <v>6537.72</v>
      </c>
      <c r="L195" s="2">
        <v>4004.28</v>
      </c>
      <c r="M195" s="2">
        <v>2533.44</v>
      </c>
      <c r="N195">
        <v>1</v>
      </c>
    </row>
    <row r="196" spans="1:14" x14ac:dyDescent="0.3">
      <c r="A196" s="1">
        <v>37749</v>
      </c>
      <c r="B196">
        <v>10122</v>
      </c>
      <c r="C196">
        <v>350</v>
      </c>
      <c r="D196" t="s">
        <v>153</v>
      </c>
      <c r="E196" t="s">
        <v>144</v>
      </c>
      <c r="F196" t="s">
        <v>29</v>
      </c>
      <c r="G196" t="s">
        <v>113</v>
      </c>
      <c r="H196">
        <v>37</v>
      </c>
      <c r="I196" s="2">
        <v>113.92</v>
      </c>
      <c r="J196" s="2">
        <v>75.16</v>
      </c>
      <c r="K196" s="2">
        <v>4215.04</v>
      </c>
      <c r="L196" s="2">
        <v>2780.92</v>
      </c>
      <c r="M196" s="2">
        <v>1434.12</v>
      </c>
      <c r="N196">
        <v>1</v>
      </c>
    </row>
    <row r="197" spans="1:14" x14ac:dyDescent="0.3">
      <c r="A197" s="1">
        <v>37749</v>
      </c>
      <c r="B197">
        <v>10122</v>
      </c>
      <c r="C197">
        <v>350</v>
      </c>
      <c r="D197" t="s">
        <v>153</v>
      </c>
      <c r="E197" t="s">
        <v>144</v>
      </c>
      <c r="F197" t="s">
        <v>29</v>
      </c>
      <c r="G197" t="s">
        <v>114</v>
      </c>
      <c r="H197">
        <v>32</v>
      </c>
      <c r="I197" s="2">
        <v>65.44</v>
      </c>
      <c r="J197" s="2">
        <v>31.92</v>
      </c>
      <c r="K197" s="2">
        <v>2094.08</v>
      </c>
      <c r="L197" s="2">
        <v>1021.44</v>
      </c>
      <c r="M197" s="2">
        <v>1072.6400000000001</v>
      </c>
      <c r="N197">
        <v>1</v>
      </c>
    </row>
    <row r="198" spans="1:14" x14ac:dyDescent="0.3">
      <c r="A198" s="1">
        <v>37749</v>
      </c>
      <c r="B198">
        <v>10122</v>
      </c>
      <c r="C198">
        <v>350</v>
      </c>
      <c r="D198" t="s">
        <v>153</v>
      </c>
      <c r="E198" t="s">
        <v>144</v>
      </c>
      <c r="F198" t="s">
        <v>29</v>
      </c>
      <c r="G198" t="s">
        <v>115</v>
      </c>
      <c r="H198">
        <v>20</v>
      </c>
      <c r="I198" s="2">
        <v>104.8</v>
      </c>
      <c r="J198" s="2">
        <v>58.73</v>
      </c>
      <c r="K198" s="2">
        <v>2096</v>
      </c>
      <c r="L198" s="2">
        <v>1174.5999999999999</v>
      </c>
      <c r="M198" s="2">
        <v>921.4</v>
      </c>
      <c r="N198">
        <v>1</v>
      </c>
    </row>
    <row r="199" spans="1:14" x14ac:dyDescent="0.3">
      <c r="A199" s="1">
        <v>37749</v>
      </c>
      <c r="B199">
        <v>10122</v>
      </c>
      <c r="C199">
        <v>350</v>
      </c>
      <c r="D199" t="s">
        <v>153</v>
      </c>
      <c r="E199" t="s">
        <v>144</v>
      </c>
      <c r="F199" t="s">
        <v>29</v>
      </c>
      <c r="G199" t="s">
        <v>128</v>
      </c>
      <c r="H199">
        <v>34</v>
      </c>
      <c r="I199" s="2">
        <v>114.65</v>
      </c>
      <c r="J199" s="2">
        <v>83.51</v>
      </c>
      <c r="K199" s="2">
        <v>3898.1</v>
      </c>
      <c r="L199" s="2">
        <v>2839.34</v>
      </c>
      <c r="M199" s="2">
        <v>1058.76</v>
      </c>
      <c r="N199">
        <v>1</v>
      </c>
    </row>
    <row r="200" spans="1:14" x14ac:dyDescent="0.3">
      <c r="A200" s="1">
        <v>37749</v>
      </c>
      <c r="B200">
        <v>10122</v>
      </c>
      <c r="C200">
        <v>350</v>
      </c>
      <c r="D200" t="s">
        <v>153</v>
      </c>
      <c r="E200" t="s">
        <v>144</v>
      </c>
      <c r="F200" t="s">
        <v>29</v>
      </c>
      <c r="G200" t="s">
        <v>116</v>
      </c>
      <c r="H200">
        <v>43</v>
      </c>
      <c r="I200" s="2">
        <v>62.37</v>
      </c>
      <c r="J200" s="2">
        <v>53.9</v>
      </c>
      <c r="K200" s="2">
        <v>2681.91</v>
      </c>
      <c r="L200" s="2">
        <v>2317.6999999999998</v>
      </c>
      <c r="M200" s="2">
        <v>364.21</v>
      </c>
      <c r="N200">
        <v>1</v>
      </c>
    </row>
    <row r="201" spans="1:14" x14ac:dyDescent="0.3">
      <c r="A201" s="1">
        <v>37749</v>
      </c>
      <c r="B201">
        <v>10122</v>
      </c>
      <c r="C201">
        <v>350</v>
      </c>
      <c r="D201" t="s">
        <v>153</v>
      </c>
      <c r="E201" t="s">
        <v>144</v>
      </c>
      <c r="F201" t="s">
        <v>29</v>
      </c>
      <c r="G201" t="s">
        <v>129</v>
      </c>
      <c r="H201">
        <v>31</v>
      </c>
      <c r="I201" s="2">
        <v>113.8</v>
      </c>
      <c r="J201" s="2">
        <v>93.89</v>
      </c>
      <c r="K201" s="2">
        <v>3527.8</v>
      </c>
      <c r="L201" s="2">
        <v>2910.59</v>
      </c>
      <c r="M201" s="2">
        <v>617.21</v>
      </c>
      <c r="N201">
        <v>1</v>
      </c>
    </row>
    <row r="202" spans="1:14" x14ac:dyDescent="0.3">
      <c r="A202" s="1">
        <v>37749</v>
      </c>
      <c r="B202">
        <v>10122</v>
      </c>
      <c r="C202">
        <v>350</v>
      </c>
      <c r="D202" t="s">
        <v>153</v>
      </c>
      <c r="E202" t="s">
        <v>144</v>
      </c>
      <c r="F202" t="s">
        <v>29</v>
      </c>
      <c r="G202" t="s">
        <v>53</v>
      </c>
      <c r="H202">
        <v>25</v>
      </c>
      <c r="I202" s="2">
        <v>137.16999999999999</v>
      </c>
      <c r="J202" s="2">
        <v>77.900000000000006</v>
      </c>
      <c r="K202" s="2">
        <v>3429.25</v>
      </c>
      <c r="L202" s="2">
        <v>1947.5</v>
      </c>
      <c r="M202" s="2">
        <v>1481.75</v>
      </c>
      <c r="N202">
        <v>1</v>
      </c>
    </row>
    <row r="203" spans="1:14" x14ac:dyDescent="0.3">
      <c r="A203" s="1">
        <v>37749</v>
      </c>
      <c r="B203">
        <v>10122</v>
      </c>
      <c r="C203">
        <v>350</v>
      </c>
      <c r="D203" t="s">
        <v>153</v>
      </c>
      <c r="E203" t="s">
        <v>144</v>
      </c>
      <c r="F203" t="s">
        <v>29</v>
      </c>
      <c r="G203" t="s">
        <v>117</v>
      </c>
      <c r="H203">
        <v>21</v>
      </c>
      <c r="I203" s="2">
        <v>69.150000000000006</v>
      </c>
      <c r="J203" s="2">
        <v>49.05</v>
      </c>
      <c r="K203" s="2">
        <v>1452.15</v>
      </c>
      <c r="L203" s="2">
        <v>1030.05</v>
      </c>
      <c r="M203" s="2">
        <v>422.1</v>
      </c>
      <c r="N203">
        <v>1</v>
      </c>
    </row>
    <row r="204" spans="1:14" x14ac:dyDescent="0.3">
      <c r="A204" s="1">
        <v>37749</v>
      </c>
      <c r="B204">
        <v>10122</v>
      </c>
      <c r="C204">
        <v>350</v>
      </c>
      <c r="D204" t="s">
        <v>153</v>
      </c>
      <c r="E204" t="s">
        <v>144</v>
      </c>
      <c r="F204" t="s">
        <v>29</v>
      </c>
      <c r="G204" t="s">
        <v>118</v>
      </c>
      <c r="H204">
        <v>21</v>
      </c>
      <c r="I204" s="2">
        <v>133.76</v>
      </c>
      <c r="J204" s="2">
        <v>73.489999999999995</v>
      </c>
      <c r="K204" s="2">
        <v>2808.96</v>
      </c>
      <c r="L204" s="2">
        <v>1543.29</v>
      </c>
      <c r="M204" s="2">
        <v>1265.67</v>
      </c>
      <c r="N204">
        <v>1</v>
      </c>
    </row>
    <row r="205" spans="1:14" x14ac:dyDescent="0.3">
      <c r="A205" s="1">
        <v>37749</v>
      </c>
      <c r="B205">
        <v>10122</v>
      </c>
      <c r="C205">
        <v>350</v>
      </c>
      <c r="D205" t="s">
        <v>153</v>
      </c>
      <c r="E205" t="s">
        <v>144</v>
      </c>
      <c r="F205" t="s">
        <v>102</v>
      </c>
      <c r="G205" t="s">
        <v>119</v>
      </c>
      <c r="H205">
        <v>35</v>
      </c>
      <c r="I205" s="2">
        <v>59.06</v>
      </c>
      <c r="J205" s="2">
        <v>32.950000000000003</v>
      </c>
      <c r="K205" s="2">
        <v>2067.1</v>
      </c>
      <c r="L205" s="2">
        <v>1153.25</v>
      </c>
      <c r="M205" s="2">
        <v>913.85</v>
      </c>
      <c r="N205">
        <v>1</v>
      </c>
    </row>
    <row r="206" spans="1:14" x14ac:dyDescent="0.3">
      <c r="A206" s="1">
        <v>37749</v>
      </c>
      <c r="B206">
        <v>10122</v>
      </c>
      <c r="C206">
        <v>350</v>
      </c>
      <c r="D206" t="s">
        <v>153</v>
      </c>
      <c r="E206" t="s">
        <v>144</v>
      </c>
      <c r="F206" t="s">
        <v>29</v>
      </c>
      <c r="G206" t="s">
        <v>120</v>
      </c>
      <c r="H206">
        <v>28</v>
      </c>
      <c r="I206" s="2">
        <v>145.82</v>
      </c>
      <c r="J206" s="2">
        <v>69.930000000000007</v>
      </c>
      <c r="K206" s="2">
        <v>4082.96</v>
      </c>
      <c r="L206" s="2">
        <v>1958.04</v>
      </c>
      <c r="M206" s="2">
        <v>2124.92</v>
      </c>
      <c r="N206">
        <v>1</v>
      </c>
    </row>
    <row r="207" spans="1:14" x14ac:dyDescent="0.3">
      <c r="A207" s="1">
        <v>37749</v>
      </c>
      <c r="B207">
        <v>10122</v>
      </c>
      <c r="C207">
        <v>350</v>
      </c>
      <c r="D207" t="s">
        <v>153</v>
      </c>
      <c r="E207" t="s">
        <v>144</v>
      </c>
      <c r="F207" t="s">
        <v>29</v>
      </c>
      <c r="G207" t="s">
        <v>132</v>
      </c>
      <c r="H207">
        <v>39</v>
      </c>
      <c r="I207" s="2">
        <v>34.74</v>
      </c>
      <c r="J207" s="2">
        <v>16.239999999999998</v>
      </c>
      <c r="K207" s="2">
        <v>1354.86</v>
      </c>
      <c r="L207" s="2">
        <v>633.36</v>
      </c>
      <c r="M207" s="2">
        <v>721.5</v>
      </c>
      <c r="N207">
        <v>1</v>
      </c>
    </row>
    <row r="208" spans="1:14" x14ac:dyDescent="0.3">
      <c r="A208" s="1">
        <v>37749</v>
      </c>
      <c r="B208">
        <v>10122</v>
      </c>
      <c r="C208">
        <v>350</v>
      </c>
      <c r="D208" t="s">
        <v>153</v>
      </c>
      <c r="E208" t="s">
        <v>144</v>
      </c>
      <c r="F208" t="s">
        <v>29</v>
      </c>
      <c r="G208" t="s">
        <v>122</v>
      </c>
      <c r="H208">
        <v>34</v>
      </c>
      <c r="I208" s="2">
        <v>50.82</v>
      </c>
      <c r="J208" s="2">
        <v>38.58</v>
      </c>
      <c r="K208" s="2">
        <v>1727.88</v>
      </c>
      <c r="L208" s="2">
        <v>1311.72</v>
      </c>
      <c r="M208" s="2">
        <v>416.16</v>
      </c>
      <c r="N208">
        <v>1</v>
      </c>
    </row>
    <row r="209" spans="1:14" x14ac:dyDescent="0.3">
      <c r="A209" s="1">
        <v>37749</v>
      </c>
      <c r="B209">
        <v>10122</v>
      </c>
      <c r="C209">
        <v>350</v>
      </c>
      <c r="D209" t="s">
        <v>153</v>
      </c>
      <c r="E209" t="s">
        <v>144</v>
      </c>
      <c r="F209" t="s">
        <v>29</v>
      </c>
      <c r="G209" t="s">
        <v>123</v>
      </c>
      <c r="H209">
        <v>43</v>
      </c>
      <c r="I209" s="2">
        <v>136.22</v>
      </c>
      <c r="J209" s="2">
        <v>98.3</v>
      </c>
      <c r="K209" s="2">
        <v>5857.46</v>
      </c>
      <c r="L209" s="2">
        <v>4226.8999999999996</v>
      </c>
      <c r="M209" s="2">
        <v>1630.56</v>
      </c>
      <c r="N209">
        <v>1</v>
      </c>
    </row>
    <row r="210" spans="1:14" x14ac:dyDescent="0.3">
      <c r="A210" s="1">
        <v>37749</v>
      </c>
      <c r="B210">
        <v>10122</v>
      </c>
      <c r="C210">
        <v>350</v>
      </c>
      <c r="D210" t="s">
        <v>153</v>
      </c>
      <c r="E210" t="s">
        <v>144</v>
      </c>
      <c r="F210" t="s">
        <v>29</v>
      </c>
      <c r="G210" t="s">
        <v>124</v>
      </c>
      <c r="H210">
        <v>29</v>
      </c>
      <c r="I210" s="2">
        <v>67.099999999999994</v>
      </c>
      <c r="J210" s="2">
        <v>32.33</v>
      </c>
      <c r="K210" s="2">
        <v>1945.9</v>
      </c>
      <c r="L210" s="2">
        <v>937.57</v>
      </c>
      <c r="M210" s="2">
        <v>1008.33</v>
      </c>
      <c r="N210">
        <v>1</v>
      </c>
    </row>
    <row r="211" spans="1:14" x14ac:dyDescent="0.3">
      <c r="A211" s="1">
        <v>37749</v>
      </c>
      <c r="B211">
        <v>10122</v>
      </c>
      <c r="C211">
        <v>350</v>
      </c>
      <c r="D211" t="s">
        <v>153</v>
      </c>
      <c r="E211" t="s">
        <v>144</v>
      </c>
      <c r="F211" t="s">
        <v>102</v>
      </c>
      <c r="G211" t="s">
        <v>125</v>
      </c>
      <c r="H211">
        <v>31</v>
      </c>
      <c r="I211" s="2">
        <v>33.79</v>
      </c>
      <c r="J211" s="2">
        <v>24.14</v>
      </c>
      <c r="K211" s="2">
        <v>1047.49</v>
      </c>
      <c r="L211" s="2">
        <v>748.34</v>
      </c>
      <c r="M211" s="2">
        <v>299.14999999999998</v>
      </c>
      <c r="N211">
        <v>1</v>
      </c>
    </row>
    <row r="212" spans="1:14" x14ac:dyDescent="0.3">
      <c r="A212" s="1">
        <v>37761</v>
      </c>
      <c r="B212">
        <v>10123</v>
      </c>
      <c r="C212">
        <v>103</v>
      </c>
      <c r="D212" t="s">
        <v>154</v>
      </c>
      <c r="E212" t="s">
        <v>144</v>
      </c>
      <c r="F212" t="s">
        <v>29</v>
      </c>
      <c r="G212" t="s">
        <v>134</v>
      </c>
      <c r="H212">
        <v>26</v>
      </c>
      <c r="I212" s="2">
        <v>120.71</v>
      </c>
      <c r="J212" s="2">
        <v>65.959999999999994</v>
      </c>
      <c r="K212" s="2">
        <v>3138.46</v>
      </c>
      <c r="L212" s="2">
        <v>1714.96</v>
      </c>
      <c r="M212" s="2">
        <v>1423.5</v>
      </c>
      <c r="N212">
        <v>1</v>
      </c>
    </row>
    <row r="213" spans="1:14" x14ac:dyDescent="0.3">
      <c r="A213" s="1">
        <v>37761</v>
      </c>
      <c r="B213">
        <v>10123</v>
      </c>
      <c r="C213">
        <v>103</v>
      </c>
      <c r="D213" t="s">
        <v>154</v>
      </c>
      <c r="E213" t="s">
        <v>144</v>
      </c>
      <c r="F213" t="s">
        <v>29</v>
      </c>
      <c r="G213" t="s">
        <v>130</v>
      </c>
      <c r="H213">
        <v>46</v>
      </c>
      <c r="I213" s="2">
        <v>114.84</v>
      </c>
      <c r="J213" s="2">
        <v>56.76</v>
      </c>
      <c r="K213" s="2">
        <v>5282.64</v>
      </c>
      <c r="L213" s="2">
        <v>2610.96</v>
      </c>
      <c r="M213" s="2">
        <v>2671.68</v>
      </c>
      <c r="N213">
        <v>1</v>
      </c>
    </row>
    <row r="214" spans="1:14" x14ac:dyDescent="0.3">
      <c r="A214" s="1">
        <v>37761</v>
      </c>
      <c r="B214">
        <v>10123</v>
      </c>
      <c r="C214">
        <v>103</v>
      </c>
      <c r="D214" t="s">
        <v>154</v>
      </c>
      <c r="E214" t="s">
        <v>144</v>
      </c>
      <c r="F214" t="s">
        <v>29</v>
      </c>
      <c r="G214" t="s">
        <v>131</v>
      </c>
      <c r="H214">
        <v>34</v>
      </c>
      <c r="I214" s="2">
        <v>117.26</v>
      </c>
      <c r="J214" s="2">
        <v>62.16</v>
      </c>
      <c r="K214" s="2">
        <v>3986.84</v>
      </c>
      <c r="L214" s="2">
        <v>2113.44</v>
      </c>
      <c r="M214" s="2">
        <v>1873.4</v>
      </c>
      <c r="N214">
        <v>1</v>
      </c>
    </row>
    <row r="215" spans="1:14" x14ac:dyDescent="0.3">
      <c r="A215" s="1">
        <v>37761</v>
      </c>
      <c r="B215">
        <v>10123</v>
      </c>
      <c r="C215">
        <v>103</v>
      </c>
      <c r="D215" t="s">
        <v>154</v>
      </c>
      <c r="E215" t="s">
        <v>144</v>
      </c>
      <c r="F215" t="s">
        <v>29</v>
      </c>
      <c r="G215" t="s">
        <v>137</v>
      </c>
      <c r="H215">
        <v>50</v>
      </c>
      <c r="I215" s="2">
        <v>43.27</v>
      </c>
      <c r="J215" s="2">
        <v>29.18</v>
      </c>
      <c r="K215" s="2">
        <v>2163.5</v>
      </c>
      <c r="L215" s="2">
        <v>1459</v>
      </c>
      <c r="M215" s="2">
        <v>704.5</v>
      </c>
      <c r="N215">
        <v>1</v>
      </c>
    </row>
    <row r="216" spans="1:14" x14ac:dyDescent="0.3">
      <c r="A216" s="1">
        <v>37762</v>
      </c>
      <c r="B216">
        <v>10124</v>
      </c>
      <c r="C216">
        <v>112</v>
      </c>
      <c r="D216" t="s">
        <v>155</v>
      </c>
      <c r="E216" t="s">
        <v>14</v>
      </c>
      <c r="F216" t="s">
        <v>15</v>
      </c>
      <c r="G216" t="s">
        <v>16</v>
      </c>
      <c r="H216">
        <v>21</v>
      </c>
      <c r="I216" s="2">
        <v>153</v>
      </c>
      <c r="J216" s="2">
        <v>86.7</v>
      </c>
      <c r="K216" s="2">
        <v>3213</v>
      </c>
      <c r="L216" s="2">
        <v>1820.7</v>
      </c>
      <c r="M216" s="2">
        <v>1392.3</v>
      </c>
      <c r="N216">
        <v>1</v>
      </c>
    </row>
    <row r="217" spans="1:14" x14ac:dyDescent="0.3">
      <c r="A217" s="1">
        <v>37762</v>
      </c>
      <c r="B217">
        <v>10124</v>
      </c>
      <c r="C217">
        <v>112</v>
      </c>
      <c r="D217" t="s">
        <v>155</v>
      </c>
      <c r="E217" t="s">
        <v>14</v>
      </c>
      <c r="F217" t="s">
        <v>15</v>
      </c>
      <c r="G217" t="s">
        <v>17</v>
      </c>
      <c r="H217">
        <v>42</v>
      </c>
      <c r="I217" s="2">
        <v>58.12</v>
      </c>
      <c r="J217" s="2">
        <v>33.299999999999997</v>
      </c>
      <c r="K217" s="2">
        <v>2441.04</v>
      </c>
      <c r="L217" s="2">
        <v>1398.6</v>
      </c>
      <c r="M217" s="2">
        <v>1042.44</v>
      </c>
      <c r="N217">
        <v>1</v>
      </c>
    </row>
    <row r="218" spans="1:14" x14ac:dyDescent="0.3">
      <c r="A218" s="1">
        <v>37762</v>
      </c>
      <c r="B218">
        <v>10124</v>
      </c>
      <c r="C218">
        <v>112</v>
      </c>
      <c r="D218" t="s">
        <v>155</v>
      </c>
      <c r="E218" t="s">
        <v>14</v>
      </c>
      <c r="F218" t="s">
        <v>15</v>
      </c>
      <c r="G218" t="s">
        <v>21</v>
      </c>
      <c r="H218">
        <v>42</v>
      </c>
      <c r="I218" s="2">
        <v>111.87</v>
      </c>
      <c r="J218" s="2">
        <v>58.48</v>
      </c>
      <c r="K218" s="2">
        <v>4698.54</v>
      </c>
      <c r="L218" s="2">
        <v>2456.16</v>
      </c>
      <c r="M218" s="2">
        <v>2242.38</v>
      </c>
      <c r="N218">
        <v>1</v>
      </c>
    </row>
    <row r="219" spans="1:14" x14ac:dyDescent="0.3">
      <c r="A219" s="1">
        <v>37762</v>
      </c>
      <c r="B219">
        <v>10124</v>
      </c>
      <c r="C219">
        <v>112</v>
      </c>
      <c r="D219" t="s">
        <v>155</v>
      </c>
      <c r="E219" t="s">
        <v>14</v>
      </c>
      <c r="F219" t="s">
        <v>15</v>
      </c>
      <c r="G219" t="s">
        <v>18</v>
      </c>
      <c r="H219">
        <v>36</v>
      </c>
      <c r="I219" s="2">
        <v>75.459999999999994</v>
      </c>
      <c r="J219" s="2">
        <v>43.26</v>
      </c>
      <c r="K219" s="2">
        <v>2716.56</v>
      </c>
      <c r="L219" s="2">
        <v>1557.36</v>
      </c>
      <c r="M219" s="2">
        <v>1159.2</v>
      </c>
      <c r="N219">
        <v>1</v>
      </c>
    </row>
    <row r="220" spans="1:14" x14ac:dyDescent="0.3">
      <c r="A220" s="1">
        <v>37762</v>
      </c>
      <c r="B220">
        <v>10124</v>
      </c>
      <c r="C220">
        <v>112</v>
      </c>
      <c r="D220" t="s">
        <v>155</v>
      </c>
      <c r="E220" t="s">
        <v>14</v>
      </c>
      <c r="F220" t="s">
        <v>29</v>
      </c>
      <c r="G220" t="s">
        <v>135</v>
      </c>
      <c r="H220">
        <v>23</v>
      </c>
      <c r="I220" s="2">
        <v>66.28</v>
      </c>
      <c r="J220" s="2">
        <v>34.21</v>
      </c>
      <c r="K220" s="2">
        <v>1524.44</v>
      </c>
      <c r="L220" s="2">
        <v>786.83</v>
      </c>
      <c r="M220" s="2">
        <v>737.61</v>
      </c>
      <c r="N220">
        <v>1</v>
      </c>
    </row>
    <row r="221" spans="1:14" x14ac:dyDescent="0.3">
      <c r="A221" s="1">
        <v>37762</v>
      </c>
      <c r="B221">
        <v>10124</v>
      </c>
      <c r="C221">
        <v>112</v>
      </c>
      <c r="D221" t="s">
        <v>155</v>
      </c>
      <c r="E221" t="s">
        <v>14</v>
      </c>
      <c r="F221" t="s">
        <v>29</v>
      </c>
      <c r="G221" t="s">
        <v>136</v>
      </c>
      <c r="H221">
        <v>22</v>
      </c>
      <c r="I221" s="2">
        <v>62.47</v>
      </c>
      <c r="J221" s="2">
        <v>49.24</v>
      </c>
      <c r="K221" s="2">
        <v>1374.34</v>
      </c>
      <c r="L221" s="2">
        <v>1083.28</v>
      </c>
      <c r="M221" s="2">
        <v>291.06</v>
      </c>
      <c r="N221">
        <v>1</v>
      </c>
    </row>
    <row r="222" spans="1:14" x14ac:dyDescent="0.3">
      <c r="A222" s="1">
        <v>37762</v>
      </c>
      <c r="B222">
        <v>10124</v>
      </c>
      <c r="C222">
        <v>112</v>
      </c>
      <c r="D222" t="s">
        <v>155</v>
      </c>
      <c r="E222" t="s">
        <v>14</v>
      </c>
      <c r="F222" t="s">
        <v>15</v>
      </c>
      <c r="G222" t="s">
        <v>23</v>
      </c>
      <c r="H222">
        <v>45</v>
      </c>
      <c r="I222" s="2">
        <v>30.53</v>
      </c>
      <c r="J222" s="2">
        <v>22.57</v>
      </c>
      <c r="K222" s="2">
        <v>1373.85</v>
      </c>
      <c r="L222" s="2">
        <v>1015.65</v>
      </c>
      <c r="M222" s="2">
        <v>358.2</v>
      </c>
      <c r="N222">
        <v>1</v>
      </c>
    </row>
    <row r="223" spans="1:14" x14ac:dyDescent="0.3">
      <c r="A223" s="1">
        <v>37762</v>
      </c>
      <c r="B223">
        <v>10124</v>
      </c>
      <c r="C223">
        <v>112</v>
      </c>
      <c r="D223" t="s">
        <v>155</v>
      </c>
      <c r="E223" t="s">
        <v>14</v>
      </c>
      <c r="F223" t="s">
        <v>15</v>
      </c>
      <c r="G223" t="s">
        <v>24</v>
      </c>
      <c r="H223">
        <v>22</v>
      </c>
      <c r="I223" s="2">
        <v>36.29</v>
      </c>
      <c r="J223" s="2">
        <v>20.61</v>
      </c>
      <c r="K223" s="2">
        <v>798.38</v>
      </c>
      <c r="L223" s="2">
        <v>453.42</v>
      </c>
      <c r="M223" s="2">
        <v>344.96</v>
      </c>
      <c r="N223">
        <v>1</v>
      </c>
    </row>
    <row r="224" spans="1:14" x14ac:dyDescent="0.3">
      <c r="A224" s="1">
        <v>37762</v>
      </c>
      <c r="B224">
        <v>10124</v>
      </c>
      <c r="C224">
        <v>112</v>
      </c>
      <c r="D224" t="s">
        <v>155</v>
      </c>
      <c r="E224" t="s">
        <v>14</v>
      </c>
      <c r="F224" t="s">
        <v>29</v>
      </c>
      <c r="G224" t="s">
        <v>138</v>
      </c>
      <c r="H224">
        <v>32</v>
      </c>
      <c r="I224" s="2">
        <v>74.510000000000005</v>
      </c>
      <c r="J224" s="2">
        <v>47.25</v>
      </c>
      <c r="K224" s="2">
        <v>2384.3200000000002</v>
      </c>
      <c r="L224" s="2">
        <v>1512</v>
      </c>
      <c r="M224" s="2">
        <v>872.32</v>
      </c>
      <c r="N224">
        <v>1</v>
      </c>
    </row>
    <row r="225" spans="1:14" x14ac:dyDescent="0.3">
      <c r="A225" s="1">
        <v>37762</v>
      </c>
      <c r="B225">
        <v>10124</v>
      </c>
      <c r="C225">
        <v>112</v>
      </c>
      <c r="D225" t="s">
        <v>155</v>
      </c>
      <c r="E225" t="s">
        <v>14</v>
      </c>
      <c r="F225" t="s">
        <v>29</v>
      </c>
      <c r="G225" t="s">
        <v>139</v>
      </c>
      <c r="H225">
        <v>25</v>
      </c>
      <c r="I225" s="2">
        <v>93.95</v>
      </c>
      <c r="J225" s="2">
        <v>72.819999999999993</v>
      </c>
      <c r="K225" s="2">
        <v>2348.75</v>
      </c>
      <c r="L225" s="2">
        <v>1820.5</v>
      </c>
      <c r="M225" s="2">
        <v>528.25</v>
      </c>
      <c r="N225">
        <v>1</v>
      </c>
    </row>
    <row r="226" spans="1:14" x14ac:dyDescent="0.3">
      <c r="A226" s="1">
        <v>37762</v>
      </c>
      <c r="B226">
        <v>10124</v>
      </c>
      <c r="C226">
        <v>112</v>
      </c>
      <c r="D226" t="s">
        <v>155</v>
      </c>
      <c r="E226" t="s">
        <v>14</v>
      </c>
      <c r="F226" t="s">
        <v>29</v>
      </c>
      <c r="G226" t="s">
        <v>140</v>
      </c>
      <c r="H226">
        <v>49</v>
      </c>
      <c r="I226" s="2">
        <v>76.19</v>
      </c>
      <c r="J226" s="2">
        <v>50.51</v>
      </c>
      <c r="K226" s="2">
        <v>3733.31</v>
      </c>
      <c r="L226" s="2">
        <v>2474.9899999999998</v>
      </c>
      <c r="M226" s="2">
        <v>1258.32</v>
      </c>
      <c r="N226">
        <v>1</v>
      </c>
    </row>
    <row r="227" spans="1:14" x14ac:dyDescent="0.3">
      <c r="A227" s="1">
        <v>37762</v>
      </c>
      <c r="B227">
        <v>10124</v>
      </c>
      <c r="C227">
        <v>112</v>
      </c>
      <c r="D227" t="s">
        <v>155</v>
      </c>
      <c r="E227" t="s">
        <v>14</v>
      </c>
      <c r="F227" t="s">
        <v>29</v>
      </c>
      <c r="G227" t="s">
        <v>141</v>
      </c>
      <c r="H227">
        <v>43</v>
      </c>
      <c r="I227" s="2">
        <v>101.73</v>
      </c>
      <c r="J227" s="2">
        <v>62.11</v>
      </c>
      <c r="K227" s="2">
        <v>4374.3900000000003</v>
      </c>
      <c r="L227" s="2">
        <v>2670.73</v>
      </c>
      <c r="M227" s="2">
        <v>1703.66</v>
      </c>
      <c r="N227">
        <v>1</v>
      </c>
    </row>
    <row r="228" spans="1:14" x14ac:dyDescent="0.3">
      <c r="A228" s="1">
        <v>37762</v>
      </c>
      <c r="B228">
        <v>10124</v>
      </c>
      <c r="C228">
        <v>112</v>
      </c>
      <c r="D228" t="s">
        <v>155</v>
      </c>
      <c r="E228" t="s">
        <v>14</v>
      </c>
      <c r="F228" t="s">
        <v>15</v>
      </c>
      <c r="G228" t="s">
        <v>19</v>
      </c>
      <c r="H228">
        <v>46</v>
      </c>
      <c r="I228" s="2">
        <v>36.11</v>
      </c>
      <c r="J228" s="2">
        <v>21.75</v>
      </c>
      <c r="K228" s="2">
        <v>1661.06</v>
      </c>
      <c r="L228" s="2">
        <v>1000.5</v>
      </c>
      <c r="M228" s="2">
        <v>660.56</v>
      </c>
      <c r="N228">
        <v>1</v>
      </c>
    </row>
    <row r="229" spans="1:14" x14ac:dyDescent="0.3">
      <c r="A229" s="1">
        <v>37762</v>
      </c>
      <c r="B229">
        <v>10125</v>
      </c>
      <c r="C229">
        <v>114</v>
      </c>
      <c r="D229" t="s">
        <v>210</v>
      </c>
      <c r="E229" t="s">
        <v>151</v>
      </c>
      <c r="F229" t="s">
        <v>15</v>
      </c>
      <c r="G229" t="s">
        <v>25</v>
      </c>
      <c r="H229">
        <v>32</v>
      </c>
      <c r="I229" s="2">
        <v>89.38</v>
      </c>
      <c r="J229" s="2">
        <v>60.62</v>
      </c>
      <c r="K229" s="2">
        <v>2860.16</v>
      </c>
      <c r="L229" s="2">
        <v>1939.84</v>
      </c>
      <c r="M229" s="2">
        <v>920.32</v>
      </c>
      <c r="N229">
        <v>2</v>
      </c>
    </row>
    <row r="230" spans="1:14" x14ac:dyDescent="0.3">
      <c r="A230" s="1">
        <v>37762</v>
      </c>
      <c r="B230">
        <v>10125</v>
      </c>
      <c r="C230">
        <v>114</v>
      </c>
      <c r="D230" t="s">
        <v>210</v>
      </c>
      <c r="E230" t="s">
        <v>151</v>
      </c>
      <c r="F230" t="s">
        <v>15</v>
      </c>
      <c r="G230" t="s">
        <v>22</v>
      </c>
      <c r="H230">
        <v>34</v>
      </c>
      <c r="I230" s="2">
        <v>138.38</v>
      </c>
      <c r="J230" s="2">
        <v>72.56</v>
      </c>
      <c r="K230" s="2">
        <v>4704.92</v>
      </c>
      <c r="L230" s="2">
        <v>2467.04</v>
      </c>
      <c r="M230" s="2">
        <v>2237.88</v>
      </c>
      <c r="N230">
        <v>2</v>
      </c>
    </row>
    <row r="231" spans="1:14" x14ac:dyDescent="0.3">
      <c r="A231" s="1">
        <v>37769</v>
      </c>
      <c r="B231">
        <v>10126</v>
      </c>
      <c r="C231">
        <v>458</v>
      </c>
      <c r="D231" t="s">
        <v>156</v>
      </c>
      <c r="E231" t="s">
        <v>48</v>
      </c>
      <c r="F231" t="s">
        <v>29</v>
      </c>
      <c r="G231" t="s">
        <v>30</v>
      </c>
      <c r="H231">
        <v>38</v>
      </c>
      <c r="I231" s="2">
        <v>205.73</v>
      </c>
      <c r="J231" s="2">
        <v>98.58</v>
      </c>
      <c r="K231" s="2">
        <v>7817.74</v>
      </c>
      <c r="L231" s="2">
        <v>3746.04</v>
      </c>
      <c r="M231" s="2">
        <v>4071.7</v>
      </c>
      <c r="N231">
        <v>1</v>
      </c>
    </row>
    <row r="232" spans="1:14" x14ac:dyDescent="0.3">
      <c r="A232" s="1">
        <v>37769</v>
      </c>
      <c r="B232">
        <v>10126</v>
      </c>
      <c r="C232">
        <v>458</v>
      </c>
      <c r="D232" t="s">
        <v>156</v>
      </c>
      <c r="E232" t="s">
        <v>48</v>
      </c>
      <c r="F232" t="s">
        <v>29</v>
      </c>
      <c r="G232" t="s">
        <v>31</v>
      </c>
      <c r="H232">
        <v>22</v>
      </c>
      <c r="I232" s="2">
        <v>122.62</v>
      </c>
      <c r="J232" s="2">
        <v>103.42</v>
      </c>
      <c r="K232" s="2">
        <v>2697.64</v>
      </c>
      <c r="L232" s="2">
        <v>2275.2399999999998</v>
      </c>
      <c r="M232" s="2">
        <v>422.4</v>
      </c>
      <c r="N232">
        <v>1</v>
      </c>
    </row>
    <row r="233" spans="1:14" x14ac:dyDescent="0.3">
      <c r="A233" s="1">
        <v>37769</v>
      </c>
      <c r="B233">
        <v>10126</v>
      </c>
      <c r="C233">
        <v>458</v>
      </c>
      <c r="D233" t="s">
        <v>156</v>
      </c>
      <c r="E233" t="s">
        <v>48</v>
      </c>
      <c r="F233" t="s">
        <v>32</v>
      </c>
      <c r="G233" t="s">
        <v>33</v>
      </c>
      <c r="H233">
        <v>21</v>
      </c>
      <c r="I233" s="2">
        <v>135.30000000000001</v>
      </c>
      <c r="J233" s="2">
        <v>77.900000000000006</v>
      </c>
      <c r="K233" s="2">
        <v>2841.3</v>
      </c>
      <c r="L233" s="2">
        <v>1635.9</v>
      </c>
      <c r="M233" s="2">
        <v>1205.4000000000001</v>
      </c>
      <c r="N233">
        <v>1</v>
      </c>
    </row>
    <row r="234" spans="1:14" x14ac:dyDescent="0.3">
      <c r="A234" s="1">
        <v>37769</v>
      </c>
      <c r="B234">
        <v>10126</v>
      </c>
      <c r="C234">
        <v>458</v>
      </c>
      <c r="D234" t="s">
        <v>156</v>
      </c>
      <c r="E234" t="s">
        <v>48</v>
      </c>
      <c r="F234" t="s">
        <v>32</v>
      </c>
      <c r="G234" t="s">
        <v>34</v>
      </c>
      <c r="H234">
        <v>38</v>
      </c>
      <c r="I234" s="2">
        <v>116.67</v>
      </c>
      <c r="J234" s="2">
        <v>58.33</v>
      </c>
      <c r="K234" s="2">
        <v>4433.46</v>
      </c>
      <c r="L234" s="2">
        <v>2216.54</v>
      </c>
      <c r="M234" s="2">
        <v>2216.92</v>
      </c>
      <c r="N234">
        <v>1</v>
      </c>
    </row>
    <row r="235" spans="1:14" x14ac:dyDescent="0.3">
      <c r="A235" s="1">
        <v>37769</v>
      </c>
      <c r="B235">
        <v>10126</v>
      </c>
      <c r="C235">
        <v>458</v>
      </c>
      <c r="D235" t="s">
        <v>156</v>
      </c>
      <c r="E235" t="s">
        <v>48</v>
      </c>
      <c r="F235" t="s">
        <v>15</v>
      </c>
      <c r="G235" t="s">
        <v>26</v>
      </c>
      <c r="H235">
        <v>42</v>
      </c>
      <c r="I235" s="2">
        <v>51.21</v>
      </c>
      <c r="J235" s="2">
        <v>24.26</v>
      </c>
      <c r="K235" s="2">
        <v>2150.8200000000002</v>
      </c>
      <c r="L235" s="2">
        <v>1018.92</v>
      </c>
      <c r="M235" s="2">
        <v>1131.9000000000001</v>
      </c>
      <c r="N235">
        <v>1</v>
      </c>
    </row>
    <row r="236" spans="1:14" x14ac:dyDescent="0.3">
      <c r="A236" s="1">
        <v>37769</v>
      </c>
      <c r="B236">
        <v>10126</v>
      </c>
      <c r="C236">
        <v>458</v>
      </c>
      <c r="D236" t="s">
        <v>156</v>
      </c>
      <c r="E236" t="s">
        <v>48</v>
      </c>
      <c r="F236" t="s">
        <v>32</v>
      </c>
      <c r="G236" t="s">
        <v>35</v>
      </c>
      <c r="H236">
        <v>43</v>
      </c>
      <c r="I236" s="2">
        <v>51.05</v>
      </c>
      <c r="J236" s="2">
        <v>24.92</v>
      </c>
      <c r="K236" s="2">
        <v>2195.15</v>
      </c>
      <c r="L236" s="2">
        <v>1071.56</v>
      </c>
      <c r="M236" s="2">
        <v>1123.5899999999999</v>
      </c>
      <c r="N236">
        <v>1</v>
      </c>
    </row>
    <row r="237" spans="1:14" x14ac:dyDescent="0.3">
      <c r="A237" s="1">
        <v>37769</v>
      </c>
      <c r="B237">
        <v>10126</v>
      </c>
      <c r="C237">
        <v>458</v>
      </c>
      <c r="D237" t="s">
        <v>156</v>
      </c>
      <c r="E237" t="s">
        <v>48</v>
      </c>
      <c r="F237" t="s">
        <v>15</v>
      </c>
      <c r="G237" t="s">
        <v>36</v>
      </c>
      <c r="H237">
        <v>31</v>
      </c>
      <c r="I237" s="2">
        <v>93.21</v>
      </c>
      <c r="J237" s="2">
        <v>60.78</v>
      </c>
      <c r="K237" s="2">
        <v>2889.51</v>
      </c>
      <c r="L237" s="2">
        <v>1884.18</v>
      </c>
      <c r="M237" s="2">
        <v>1005.33</v>
      </c>
      <c r="N237">
        <v>1</v>
      </c>
    </row>
    <row r="238" spans="1:14" x14ac:dyDescent="0.3">
      <c r="A238" s="1">
        <v>37769</v>
      </c>
      <c r="B238">
        <v>10126</v>
      </c>
      <c r="C238">
        <v>458</v>
      </c>
      <c r="D238" t="s">
        <v>156</v>
      </c>
      <c r="E238" t="s">
        <v>48</v>
      </c>
      <c r="F238" t="s">
        <v>15</v>
      </c>
      <c r="G238" t="s">
        <v>37</v>
      </c>
      <c r="H238">
        <v>46</v>
      </c>
      <c r="I238" s="2">
        <v>61.84</v>
      </c>
      <c r="J238" s="2">
        <v>34.35</v>
      </c>
      <c r="K238" s="2">
        <v>2844.64</v>
      </c>
      <c r="L238" s="2">
        <v>1580.1</v>
      </c>
      <c r="M238" s="2">
        <v>1264.54</v>
      </c>
      <c r="N238">
        <v>1</v>
      </c>
    </row>
    <row r="239" spans="1:14" x14ac:dyDescent="0.3">
      <c r="A239" s="1">
        <v>37769</v>
      </c>
      <c r="B239">
        <v>10126</v>
      </c>
      <c r="C239">
        <v>458</v>
      </c>
      <c r="D239" t="s">
        <v>156</v>
      </c>
      <c r="E239" t="s">
        <v>48</v>
      </c>
      <c r="F239" t="s">
        <v>15</v>
      </c>
      <c r="G239" t="s">
        <v>38</v>
      </c>
      <c r="H239">
        <v>30</v>
      </c>
      <c r="I239" s="2">
        <v>93.2</v>
      </c>
      <c r="J239" s="2">
        <v>60.74</v>
      </c>
      <c r="K239" s="2">
        <v>2796</v>
      </c>
      <c r="L239" s="2">
        <v>1822.2</v>
      </c>
      <c r="M239" s="2">
        <v>973.8</v>
      </c>
      <c r="N239">
        <v>1</v>
      </c>
    </row>
    <row r="240" spans="1:14" x14ac:dyDescent="0.3">
      <c r="A240" s="1">
        <v>37769</v>
      </c>
      <c r="B240">
        <v>10126</v>
      </c>
      <c r="C240">
        <v>458</v>
      </c>
      <c r="D240" t="s">
        <v>156</v>
      </c>
      <c r="E240" t="s">
        <v>48</v>
      </c>
      <c r="F240" t="s">
        <v>15</v>
      </c>
      <c r="G240" t="s">
        <v>39</v>
      </c>
      <c r="H240">
        <v>38</v>
      </c>
      <c r="I240" s="2">
        <v>94.25</v>
      </c>
      <c r="J240" s="2">
        <v>57.54</v>
      </c>
      <c r="K240" s="2">
        <v>3581.5</v>
      </c>
      <c r="L240" s="2">
        <v>2186.52</v>
      </c>
      <c r="M240" s="2">
        <v>1394.98</v>
      </c>
      <c r="N240">
        <v>1</v>
      </c>
    </row>
    <row r="241" spans="1:14" x14ac:dyDescent="0.3">
      <c r="A241" s="1">
        <v>37769</v>
      </c>
      <c r="B241">
        <v>10126</v>
      </c>
      <c r="C241">
        <v>458</v>
      </c>
      <c r="D241" t="s">
        <v>156</v>
      </c>
      <c r="E241" t="s">
        <v>48</v>
      </c>
      <c r="F241" t="s">
        <v>32</v>
      </c>
      <c r="G241" t="s">
        <v>40</v>
      </c>
      <c r="H241">
        <v>50</v>
      </c>
      <c r="I241" s="2">
        <v>102.92</v>
      </c>
      <c r="J241" s="2">
        <v>84.76</v>
      </c>
      <c r="K241" s="2">
        <v>5146</v>
      </c>
      <c r="L241" s="2">
        <v>4238</v>
      </c>
      <c r="M241" s="2">
        <v>908</v>
      </c>
      <c r="N241">
        <v>1</v>
      </c>
    </row>
    <row r="242" spans="1:14" x14ac:dyDescent="0.3">
      <c r="A242" s="1">
        <v>37769</v>
      </c>
      <c r="B242">
        <v>10126</v>
      </c>
      <c r="C242">
        <v>458</v>
      </c>
      <c r="D242" t="s">
        <v>156</v>
      </c>
      <c r="E242" t="s">
        <v>48</v>
      </c>
      <c r="F242" t="s">
        <v>15</v>
      </c>
      <c r="G242" t="s">
        <v>41</v>
      </c>
      <c r="H242">
        <v>43</v>
      </c>
      <c r="I242" s="2">
        <v>47.29</v>
      </c>
      <c r="J242" s="2">
        <v>23.14</v>
      </c>
      <c r="K242" s="2">
        <v>2033.47</v>
      </c>
      <c r="L242" s="2">
        <v>995.02</v>
      </c>
      <c r="M242" s="2">
        <v>1038.45</v>
      </c>
      <c r="N242">
        <v>1</v>
      </c>
    </row>
    <row r="243" spans="1:14" x14ac:dyDescent="0.3">
      <c r="A243" s="1">
        <v>37769</v>
      </c>
      <c r="B243">
        <v>10126</v>
      </c>
      <c r="C243">
        <v>458</v>
      </c>
      <c r="D243" t="s">
        <v>156</v>
      </c>
      <c r="E243" t="s">
        <v>48</v>
      </c>
      <c r="F243" t="s">
        <v>32</v>
      </c>
      <c r="G243" t="s">
        <v>42</v>
      </c>
      <c r="H243">
        <v>27</v>
      </c>
      <c r="I243" s="2">
        <v>122.68</v>
      </c>
      <c r="J243" s="2">
        <v>61.34</v>
      </c>
      <c r="K243" s="2">
        <v>3312.36</v>
      </c>
      <c r="L243" s="2">
        <v>1656.18</v>
      </c>
      <c r="M243" s="2">
        <v>1656.18</v>
      </c>
      <c r="N243">
        <v>1</v>
      </c>
    </row>
    <row r="244" spans="1:14" x14ac:dyDescent="0.3">
      <c r="A244" s="1">
        <v>37769</v>
      </c>
      <c r="B244">
        <v>10126</v>
      </c>
      <c r="C244">
        <v>458</v>
      </c>
      <c r="D244" t="s">
        <v>156</v>
      </c>
      <c r="E244" t="s">
        <v>48</v>
      </c>
      <c r="F244" t="s">
        <v>15</v>
      </c>
      <c r="G244" t="s">
        <v>43</v>
      </c>
      <c r="H244">
        <v>34</v>
      </c>
      <c r="I244" s="2">
        <v>83.76</v>
      </c>
      <c r="J244" s="2">
        <v>57.46</v>
      </c>
      <c r="K244" s="2">
        <v>2847.84</v>
      </c>
      <c r="L244" s="2">
        <v>1953.64</v>
      </c>
      <c r="M244" s="2">
        <v>894.2</v>
      </c>
      <c r="N244">
        <v>1</v>
      </c>
    </row>
    <row r="245" spans="1:14" x14ac:dyDescent="0.3">
      <c r="A245" s="1">
        <v>37769</v>
      </c>
      <c r="B245">
        <v>10126</v>
      </c>
      <c r="C245">
        <v>458</v>
      </c>
      <c r="D245" t="s">
        <v>156</v>
      </c>
      <c r="E245" t="s">
        <v>48</v>
      </c>
      <c r="F245" t="s">
        <v>32</v>
      </c>
      <c r="G245" t="s">
        <v>44</v>
      </c>
      <c r="H245">
        <v>43</v>
      </c>
      <c r="I245" s="2">
        <v>82.83</v>
      </c>
      <c r="J245" s="2">
        <v>53.93</v>
      </c>
      <c r="K245" s="2">
        <v>3561.69</v>
      </c>
      <c r="L245" s="2">
        <v>2318.9899999999998</v>
      </c>
      <c r="M245" s="2">
        <v>1242.7</v>
      </c>
      <c r="N245">
        <v>1</v>
      </c>
    </row>
    <row r="246" spans="1:14" x14ac:dyDescent="0.3">
      <c r="A246" s="1">
        <v>37769</v>
      </c>
      <c r="B246">
        <v>10126</v>
      </c>
      <c r="C246">
        <v>458</v>
      </c>
      <c r="D246" t="s">
        <v>156</v>
      </c>
      <c r="E246" t="s">
        <v>48</v>
      </c>
      <c r="F246" t="s">
        <v>32</v>
      </c>
      <c r="G246" t="s">
        <v>45</v>
      </c>
      <c r="H246">
        <v>26</v>
      </c>
      <c r="I246" s="2">
        <v>62.05</v>
      </c>
      <c r="J246" s="2">
        <v>33.61</v>
      </c>
      <c r="K246" s="2">
        <v>1613.3</v>
      </c>
      <c r="L246" s="2">
        <v>873.86</v>
      </c>
      <c r="M246" s="2">
        <v>739.44</v>
      </c>
      <c r="N246">
        <v>1</v>
      </c>
    </row>
    <row r="247" spans="1:14" x14ac:dyDescent="0.3">
      <c r="A247" s="1">
        <v>37769</v>
      </c>
      <c r="B247">
        <v>10126</v>
      </c>
      <c r="C247">
        <v>458</v>
      </c>
      <c r="D247" t="s">
        <v>156</v>
      </c>
      <c r="E247" t="s">
        <v>48</v>
      </c>
      <c r="F247" t="s">
        <v>29</v>
      </c>
      <c r="G247" t="s">
        <v>46</v>
      </c>
      <c r="H247">
        <v>45</v>
      </c>
      <c r="I247" s="2">
        <v>97.1</v>
      </c>
      <c r="J247" s="2">
        <v>46.53</v>
      </c>
      <c r="K247" s="2">
        <v>4369.5</v>
      </c>
      <c r="L247" s="2">
        <v>2093.85</v>
      </c>
      <c r="M247" s="2">
        <v>2275.65</v>
      </c>
      <c r="N247">
        <v>1</v>
      </c>
    </row>
    <row r="248" spans="1:14" x14ac:dyDescent="0.3">
      <c r="A248" s="1">
        <v>37775</v>
      </c>
      <c r="B248">
        <v>10127</v>
      </c>
      <c r="C248">
        <v>151</v>
      </c>
      <c r="D248" t="s">
        <v>157</v>
      </c>
      <c r="E248" t="s">
        <v>14</v>
      </c>
      <c r="F248" t="s">
        <v>29</v>
      </c>
      <c r="G248" t="s">
        <v>66</v>
      </c>
      <c r="H248">
        <v>46</v>
      </c>
      <c r="I248" s="2">
        <v>193.25</v>
      </c>
      <c r="J248" s="2">
        <v>95.59</v>
      </c>
      <c r="K248" s="2">
        <v>8889.5</v>
      </c>
      <c r="L248" s="2">
        <v>4397.1400000000003</v>
      </c>
      <c r="M248" s="2">
        <v>4492.3599999999997</v>
      </c>
      <c r="N248">
        <v>1</v>
      </c>
    </row>
    <row r="249" spans="1:14" x14ac:dyDescent="0.3">
      <c r="A249" s="1">
        <v>37775</v>
      </c>
      <c r="B249">
        <v>10127</v>
      </c>
      <c r="C249">
        <v>151</v>
      </c>
      <c r="D249" t="s">
        <v>157</v>
      </c>
      <c r="E249" t="s">
        <v>14</v>
      </c>
      <c r="F249" t="s">
        <v>29</v>
      </c>
      <c r="G249" t="s">
        <v>49</v>
      </c>
      <c r="H249">
        <v>46</v>
      </c>
      <c r="I249" s="2">
        <v>140.5</v>
      </c>
      <c r="J249" s="2">
        <v>89.14</v>
      </c>
      <c r="K249" s="2">
        <v>6463</v>
      </c>
      <c r="L249" s="2">
        <v>4100.4399999999996</v>
      </c>
      <c r="M249" s="2">
        <v>2362.56</v>
      </c>
      <c r="N249">
        <v>1</v>
      </c>
    </row>
    <row r="250" spans="1:14" x14ac:dyDescent="0.3">
      <c r="A250" s="1">
        <v>37775</v>
      </c>
      <c r="B250">
        <v>10127</v>
      </c>
      <c r="C250">
        <v>151</v>
      </c>
      <c r="D250" t="s">
        <v>157</v>
      </c>
      <c r="E250" t="s">
        <v>14</v>
      </c>
      <c r="F250" t="s">
        <v>29</v>
      </c>
      <c r="G250" t="s">
        <v>67</v>
      </c>
      <c r="H250">
        <v>42</v>
      </c>
      <c r="I250" s="2">
        <v>169.56</v>
      </c>
      <c r="J250" s="2">
        <v>83.05</v>
      </c>
      <c r="K250" s="2">
        <v>7121.52</v>
      </c>
      <c r="L250" s="2">
        <v>3488.1</v>
      </c>
      <c r="M250" s="2">
        <v>3633.42</v>
      </c>
      <c r="N250">
        <v>1</v>
      </c>
    </row>
    <row r="251" spans="1:14" x14ac:dyDescent="0.3">
      <c r="A251" s="1">
        <v>37775</v>
      </c>
      <c r="B251">
        <v>10127</v>
      </c>
      <c r="C251">
        <v>151</v>
      </c>
      <c r="D251" t="s">
        <v>157</v>
      </c>
      <c r="E251" t="s">
        <v>14</v>
      </c>
      <c r="F251" t="s">
        <v>32</v>
      </c>
      <c r="G251" t="s">
        <v>50</v>
      </c>
      <c r="H251">
        <v>24</v>
      </c>
      <c r="I251" s="2">
        <v>100.73</v>
      </c>
      <c r="J251" s="2">
        <v>55.7</v>
      </c>
      <c r="K251" s="2">
        <v>2417.52</v>
      </c>
      <c r="L251" s="2">
        <v>1336.8</v>
      </c>
      <c r="M251" s="2">
        <v>1080.72</v>
      </c>
      <c r="N251">
        <v>1</v>
      </c>
    </row>
    <row r="252" spans="1:14" x14ac:dyDescent="0.3">
      <c r="A252" s="1">
        <v>37775</v>
      </c>
      <c r="B252">
        <v>10127</v>
      </c>
      <c r="C252">
        <v>151</v>
      </c>
      <c r="D252" t="s">
        <v>157</v>
      </c>
      <c r="E252" t="s">
        <v>14</v>
      </c>
      <c r="F252" t="s">
        <v>29</v>
      </c>
      <c r="G252" t="s">
        <v>51</v>
      </c>
      <c r="H252">
        <v>45</v>
      </c>
      <c r="I252" s="2">
        <v>140.81</v>
      </c>
      <c r="J252" s="2">
        <v>101.51</v>
      </c>
      <c r="K252" s="2">
        <v>6336.45</v>
      </c>
      <c r="L252" s="2">
        <v>4567.95</v>
      </c>
      <c r="M252" s="2">
        <v>1768.5</v>
      </c>
      <c r="N252">
        <v>1</v>
      </c>
    </row>
    <row r="253" spans="1:14" x14ac:dyDescent="0.3">
      <c r="A253" s="1">
        <v>37775</v>
      </c>
      <c r="B253">
        <v>10127</v>
      </c>
      <c r="C253">
        <v>151</v>
      </c>
      <c r="D253" t="s">
        <v>157</v>
      </c>
      <c r="E253" t="s">
        <v>14</v>
      </c>
      <c r="F253" t="s">
        <v>32</v>
      </c>
      <c r="G253" t="s">
        <v>52</v>
      </c>
      <c r="H253">
        <v>45</v>
      </c>
      <c r="I253" s="2">
        <v>114.14</v>
      </c>
      <c r="J253" s="2">
        <v>74.86</v>
      </c>
      <c r="K253" s="2">
        <v>5136.3</v>
      </c>
      <c r="L253" s="2">
        <v>3368.7</v>
      </c>
      <c r="M253" s="2">
        <v>1767.6</v>
      </c>
      <c r="N253">
        <v>1</v>
      </c>
    </row>
    <row r="254" spans="1:14" x14ac:dyDescent="0.3">
      <c r="A254" s="1">
        <v>37775</v>
      </c>
      <c r="B254">
        <v>10127</v>
      </c>
      <c r="C254">
        <v>151</v>
      </c>
      <c r="D254" t="s">
        <v>157</v>
      </c>
      <c r="E254" t="s">
        <v>14</v>
      </c>
      <c r="F254" t="s">
        <v>29</v>
      </c>
      <c r="G254" t="s">
        <v>53</v>
      </c>
      <c r="H254">
        <v>22</v>
      </c>
      <c r="I254" s="2">
        <v>149.02000000000001</v>
      </c>
      <c r="J254" s="2">
        <v>77.900000000000006</v>
      </c>
      <c r="K254" s="2">
        <v>3278.44</v>
      </c>
      <c r="L254" s="2">
        <v>1713.8</v>
      </c>
      <c r="M254" s="2">
        <v>1564.64</v>
      </c>
      <c r="N254">
        <v>1</v>
      </c>
    </row>
    <row r="255" spans="1:14" x14ac:dyDescent="0.3">
      <c r="A255" s="1">
        <v>37775</v>
      </c>
      <c r="B255">
        <v>10127</v>
      </c>
      <c r="C255">
        <v>151</v>
      </c>
      <c r="D255" t="s">
        <v>157</v>
      </c>
      <c r="E255" t="s">
        <v>14</v>
      </c>
      <c r="F255" t="s">
        <v>29</v>
      </c>
      <c r="G255" t="s">
        <v>54</v>
      </c>
      <c r="H255">
        <v>25</v>
      </c>
      <c r="I255" s="2">
        <v>126.39</v>
      </c>
      <c r="J255" s="2">
        <v>91.92</v>
      </c>
      <c r="K255" s="2">
        <v>3159.75</v>
      </c>
      <c r="L255" s="2">
        <v>2298</v>
      </c>
      <c r="M255" s="2">
        <v>861.75</v>
      </c>
      <c r="N255">
        <v>1</v>
      </c>
    </row>
    <row r="256" spans="1:14" x14ac:dyDescent="0.3">
      <c r="A256" s="1">
        <v>37775</v>
      </c>
      <c r="B256">
        <v>10127</v>
      </c>
      <c r="C256">
        <v>151</v>
      </c>
      <c r="D256" t="s">
        <v>157</v>
      </c>
      <c r="E256" t="s">
        <v>14</v>
      </c>
      <c r="F256" t="s">
        <v>29</v>
      </c>
      <c r="G256" t="s">
        <v>55</v>
      </c>
      <c r="H256">
        <v>20</v>
      </c>
      <c r="I256" s="2">
        <v>50.86</v>
      </c>
      <c r="J256" s="2">
        <v>32.369999999999997</v>
      </c>
      <c r="K256" s="2">
        <v>1017.2</v>
      </c>
      <c r="L256" s="2">
        <v>647.4</v>
      </c>
      <c r="M256" s="2">
        <v>369.8</v>
      </c>
      <c r="N256">
        <v>1</v>
      </c>
    </row>
    <row r="257" spans="1:14" x14ac:dyDescent="0.3">
      <c r="A257" s="1">
        <v>37775</v>
      </c>
      <c r="B257">
        <v>10127</v>
      </c>
      <c r="C257">
        <v>151</v>
      </c>
      <c r="D257" t="s">
        <v>157</v>
      </c>
      <c r="E257" t="s">
        <v>14</v>
      </c>
      <c r="F257" t="s">
        <v>29</v>
      </c>
      <c r="G257" t="s">
        <v>56</v>
      </c>
      <c r="H257">
        <v>39</v>
      </c>
      <c r="I257" s="2">
        <v>34.299999999999997</v>
      </c>
      <c r="J257" s="2">
        <v>15.91</v>
      </c>
      <c r="K257" s="2">
        <v>1337.7</v>
      </c>
      <c r="L257" s="2">
        <v>620.49</v>
      </c>
      <c r="M257" s="2">
        <v>717.21</v>
      </c>
      <c r="N257">
        <v>1</v>
      </c>
    </row>
    <row r="258" spans="1:14" x14ac:dyDescent="0.3">
      <c r="A258" s="1">
        <v>37775</v>
      </c>
      <c r="B258">
        <v>10127</v>
      </c>
      <c r="C258">
        <v>151</v>
      </c>
      <c r="D258" t="s">
        <v>157</v>
      </c>
      <c r="E258" t="s">
        <v>14</v>
      </c>
      <c r="F258" t="s">
        <v>29</v>
      </c>
      <c r="G258" t="s">
        <v>57</v>
      </c>
      <c r="H258">
        <v>20</v>
      </c>
      <c r="I258" s="2">
        <v>107.63</v>
      </c>
      <c r="J258" s="2">
        <v>69.78</v>
      </c>
      <c r="K258" s="2">
        <v>2152.6</v>
      </c>
      <c r="L258" s="2">
        <v>1395.6</v>
      </c>
      <c r="M258" s="2">
        <v>757</v>
      </c>
      <c r="N258">
        <v>1</v>
      </c>
    </row>
    <row r="259" spans="1:14" x14ac:dyDescent="0.3">
      <c r="A259" s="1">
        <v>37775</v>
      </c>
      <c r="B259">
        <v>10127</v>
      </c>
      <c r="C259">
        <v>151</v>
      </c>
      <c r="D259" t="s">
        <v>157</v>
      </c>
      <c r="E259" t="s">
        <v>14</v>
      </c>
      <c r="F259" t="s">
        <v>32</v>
      </c>
      <c r="G259" t="s">
        <v>58</v>
      </c>
      <c r="H259">
        <v>45</v>
      </c>
      <c r="I259" s="2">
        <v>46.53</v>
      </c>
      <c r="J259" s="2">
        <v>25.98</v>
      </c>
      <c r="K259" s="2">
        <v>2093.85</v>
      </c>
      <c r="L259" s="2">
        <v>1169.0999999999999</v>
      </c>
      <c r="M259" s="2">
        <v>924.75</v>
      </c>
      <c r="N259">
        <v>1</v>
      </c>
    </row>
    <row r="260" spans="1:14" x14ac:dyDescent="0.3">
      <c r="A260" s="1">
        <v>37775</v>
      </c>
      <c r="B260">
        <v>10127</v>
      </c>
      <c r="C260">
        <v>151</v>
      </c>
      <c r="D260" t="s">
        <v>157</v>
      </c>
      <c r="E260" t="s">
        <v>14</v>
      </c>
      <c r="F260" t="s">
        <v>59</v>
      </c>
      <c r="G260" t="s">
        <v>60</v>
      </c>
      <c r="H260">
        <v>29</v>
      </c>
      <c r="I260" s="2">
        <v>60.9</v>
      </c>
      <c r="J260" s="2">
        <v>26.72</v>
      </c>
      <c r="K260" s="2">
        <v>1766.1</v>
      </c>
      <c r="L260" s="2">
        <v>774.88</v>
      </c>
      <c r="M260" s="2">
        <v>991.22</v>
      </c>
      <c r="N260">
        <v>1</v>
      </c>
    </row>
    <row r="261" spans="1:14" x14ac:dyDescent="0.3">
      <c r="A261" s="1">
        <v>37775</v>
      </c>
      <c r="B261">
        <v>10127</v>
      </c>
      <c r="C261">
        <v>151</v>
      </c>
      <c r="D261" t="s">
        <v>157</v>
      </c>
      <c r="E261" t="s">
        <v>14</v>
      </c>
      <c r="F261" t="s">
        <v>32</v>
      </c>
      <c r="G261" t="s">
        <v>61</v>
      </c>
      <c r="H261">
        <v>46</v>
      </c>
      <c r="I261" s="2">
        <v>111.12</v>
      </c>
      <c r="J261" s="2">
        <v>68.290000000000006</v>
      </c>
      <c r="K261" s="2">
        <v>5111.5200000000004</v>
      </c>
      <c r="L261" s="2">
        <v>3141.34</v>
      </c>
      <c r="M261" s="2">
        <v>1970.18</v>
      </c>
      <c r="N261">
        <v>1</v>
      </c>
    </row>
    <row r="262" spans="1:14" x14ac:dyDescent="0.3">
      <c r="A262" s="1">
        <v>37775</v>
      </c>
      <c r="B262">
        <v>10127</v>
      </c>
      <c r="C262">
        <v>151</v>
      </c>
      <c r="D262" t="s">
        <v>157</v>
      </c>
      <c r="E262" t="s">
        <v>14</v>
      </c>
      <c r="F262" t="s">
        <v>59</v>
      </c>
      <c r="G262" t="s">
        <v>62</v>
      </c>
      <c r="H262">
        <v>46</v>
      </c>
      <c r="I262" s="2">
        <v>55.65</v>
      </c>
      <c r="J262" s="2">
        <v>37.49</v>
      </c>
      <c r="K262" s="2">
        <v>2559.9</v>
      </c>
      <c r="L262" s="2">
        <v>1724.54</v>
      </c>
      <c r="M262" s="2">
        <v>835.36</v>
      </c>
      <c r="N262">
        <v>1</v>
      </c>
    </row>
    <row r="263" spans="1:14" x14ac:dyDescent="0.3">
      <c r="A263" s="1">
        <v>37778</v>
      </c>
      <c r="B263">
        <v>10128</v>
      </c>
      <c r="C263">
        <v>141</v>
      </c>
      <c r="D263" t="s">
        <v>47</v>
      </c>
      <c r="E263" t="s">
        <v>48</v>
      </c>
      <c r="F263" t="s">
        <v>15</v>
      </c>
      <c r="G263" t="s">
        <v>68</v>
      </c>
      <c r="H263">
        <v>41</v>
      </c>
      <c r="I263" s="2">
        <v>120.2</v>
      </c>
      <c r="J263" s="2">
        <v>68.3</v>
      </c>
      <c r="K263" s="2">
        <v>4928.2</v>
      </c>
      <c r="L263" s="2">
        <v>2800.3</v>
      </c>
      <c r="M263" s="2">
        <v>2127.9</v>
      </c>
      <c r="N263">
        <v>2</v>
      </c>
    </row>
    <row r="264" spans="1:14" x14ac:dyDescent="0.3">
      <c r="A264" s="1">
        <v>37778</v>
      </c>
      <c r="B264">
        <v>10128</v>
      </c>
      <c r="C264">
        <v>141</v>
      </c>
      <c r="D264" t="s">
        <v>47</v>
      </c>
      <c r="E264" t="s">
        <v>48</v>
      </c>
      <c r="F264" t="s">
        <v>59</v>
      </c>
      <c r="G264" t="s">
        <v>69</v>
      </c>
      <c r="H264">
        <v>41</v>
      </c>
      <c r="I264" s="2">
        <v>80.67</v>
      </c>
      <c r="J264" s="2">
        <v>67.56</v>
      </c>
      <c r="K264" s="2">
        <v>3307.47</v>
      </c>
      <c r="L264" s="2">
        <v>2769.96</v>
      </c>
      <c r="M264" s="2">
        <v>537.51</v>
      </c>
      <c r="N264">
        <v>2</v>
      </c>
    </row>
    <row r="265" spans="1:14" x14ac:dyDescent="0.3">
      <c r="A265" s="1">
        <v>37778</v>
      </c>
      <c r="B265">
        <v>10128</v>
      </c>
      <c r="C265">
        <v>141</v>
      </c>
      <c r="D265" t="s">
        <v>47</v>
      </c>
      <c r="E265" t="s">
        <v>48</v>
      </c>
      <c r="F265" t="s">
        <v>15</v>
      </c>
      <c r="G265" t="s">
        <v>70</v>
      </c>
      <c r="H265">
        <v>43</v>
      </c>
      <c r="I265" s="2">
        <v>77.239999999999995</v>
      </c>
      <c r="J265" s="2">
        <v>52.66</v>
      </c>
      <c r="K265" s="2">
        <v>3321.32</v>
      </c>
      <c r="L265" s="2">
        <v>2264.38</v>
      </c>
      <c r="M265" s="2">
        <v>1056.94</v>
      </c>
      <c r="N265">
        <v>2</v>
      </c>
    </row>
    <row r="266" spans="1:14" x14ac:dyDescent="0.3">
      <c r="A266" s="1">
        <v>37778</v>
      </c>
      <c r="B266">
        <v>10128</v>
      </c>
      <c r="C266">
        <v>141</v>
      </c>
      <c r="D266" t="s">
        <v>47</v>
      </c>
      <c r="E266" t="s">
        <v>48</v>
      </c>
      <c r="F266" t="s">
        <v>71</v>
      </c>
      <c r="G266" t="s">
        <v>76</v>
      </c>
      <c r="H266">
        <v>32</v>
      </c>
      <c r="I266" s="2">
        <v>72.75</v>
      </c>
      <c r="J266" s="2">
        <v>43.3</v>
      </c>
      <c r="K266" s="2">
        <v>2328</v>
      </c>
      <c r="L266" s="2">
        <v>1385.6</v>
      </c>
      <c r="M266" s="2">
        <v>942.4</v>
      </c>
      <c r="N266">
        <v>2</v>
      </c>
    </row>
    <row r="267" spans="1:14" x14ac:dyDescent="0.3">
      <c r="A267" s="1">
        <v>37784</v>
      </c>
      <c r="B267">
        <v>10129</v>
      </c>
      <c r="C267">
        <v>324</v>
      </c>
      <c r="D267" t="s">
        <v>211</v>
      </c>
      <c r="E267" t="s">
        <v>133</v>
      </c>
      <c r="F267" t="s">
        <v>29</v>
      </c>
      <c r="G267" t="s">
        <v>65</v>
      </c>
      <c r="H267">
        <v>33</v>
      </c>
      <c r="I267" s="2">
        <v>123.76</v>
      </c>
      <c r="J267" s="2">
        <v>85.68</v>
      </c>
      <c r="K267" s="2">
        <v>4084.08</v>
      </c>
      <c r="L267" s="2">
        <v>2827.44</v>
      </c>
      <c r="M267" s="2">
        <v>1256.6400000000001</v>
      </c>
      <c r="N267">
        <v>1</v>
      </c>
    </row>
    <row r="268" spans="1:14" x14ac:dyDescent="0.3">
      <c r="A268" s="1">
        <v>37784</v>
      </c>
      <c r="B268">
        <v>10129</v>
      </c>
      <c r="C268">
        <v>324</v>
      </c>
      <c r="D268" t="s">
        <v>211</v>
      </c>
      <c r="E268" t="s">
        <v>133</v>
      </c>
      <c r="F268" t="s">
        <v>71</v>
      </c>
      <c r="G268" t="s">
        <v>72</v>
      </c>
      <c r="H268">
        <v>45</v>
      </c>
      <c r="I268" s="2">
        <v>113.06</v>
      </c>
      <c r="J268" s="2">
        <v>82.34</v>
      </c>
      <c r="K268" s="2">
        <v>5087.7</v>
      </c>
      <c r="L268" s="2">
        <v>3705.3</v>
      </c>
      <c r="M268" s="2">
        <v>1382.4</v>
      </c>
      <c r="N268">
        <v>1</v>
      </c>
    </row>
    <row r="269" spans="1:14" x14ac:dyDescent="0.3">
      <c r="A269" s="1">
        <v>37784</v>
      </c>
      <c r="B269">
        <v>10129</v>
      </c>
      <c r="C269">
        <v>324</v>
      </c>
      <c r="D269" t="s">
        <v>211</v>
      </c>
      <c r="E269" t="s">
        <v>133</v>
      </c>
      <c r="F269" t="s">
        <v>15</v>
      </c>
      <c r="G269" t="s">
        <v>73</v>
      </c>
      <c r="H269">
        <v>41</v>
      </c>
      <c r="I269" s="2">
        <v>81.430000000000007</v>
      </c>
      <c r="J269" s="2">
        <v>46.91</v>
      </c>
      <c r="K269" s="2">
        <v>3338.63</v>
      </c>
      <c r="L269" s="2">
        <v>1923.31</v>
      </c>
      <c r="M269" s="2">
        <v>1415.32</v>
      </c>
      <c r="N269">
        <v>1</v>
      </c>
    </row>
    <row r="270" spans="1:14" x14ac:dyDescent="0.3">
      <c r="A270" s="1">
        <v>37784</v>
      </c>
      <c r="B270">
        <v>10129</v>
      </c>
      <c r="C270">
        <v>324</v>
      </c>
      <c r="D270" t="s">
        <v>211</v>
      </c>
      <c r="E270" t="s">
        <v>133</v>
      </c>
      <c r="F270" t="s">
        <v>15</v>
      </c>
      <c r="G270" t="s">
        <v>74</v>
      </c>
      <c r="H270">
        <v>50</v>
      </c>
      <c r="I270" s="2">
        <v>76.31</v>
      </c>
      <c r="J270" s="2">
        <v>48.64</v>
      </c>
      <c r="K270" s="2">
        <v>3815.5</v>
      </c>
      <c r="L270" s="2">
        <v>2432</v>
      </c>
      <c r="M270" s="2">
        <v>1383.5</v>
      </c>
      <c r="N270">
        <v>1</v>
      </c>
    </row>
    <row r="271" spans="1:14" x14ac:dyDescent="0.3">
      <c r="A271" s="1">
        <v>37784</v>
      </c>
      <c r="B271">
        <v>10129</v>
      </c>
      <c r="C271">
        <v>324</v>
      </c>
      <c r="D271" t="s">
        <v>211</v>
      </c>
      <c r="E271" t="s">
        <v>133</v>
      </c>
      <c r="F271" t="s">
        <v>71</v>
      </c>
      <c r="G271" t="s">
        <v>75</v>
      </c>
      <c r="H271">
        <v>31</v>
      </c>
      <c r="I271" s="2">
        <v>58.67</v>
      </c>
      <c r="J271" s="2">
        <v>34</v>
      </c>
      <c r="K271" s="2">
        <v>1818.77</v>
      </c>
      <c r="L271" s="2">
        <v>1054</v>
      </c>
      <c r="M271" s="2">
        <v>764.77</v>
      </c>
      <c r="N271">
        <v>1</v>
      </c>
    </row>
    <row r="272" spans="1:14" x14ac:dyDescent="0.3">
      <c r="A272" s="1">
        <v>37784</v>
      </c>
      <c r="B272">
        <v>10129</v>
      </c>
      <c r="C272">
        <v>324</v>
      </c>
      <c r="D272" t="s">
        <v>211</v>
      </c>
      <c r="E272" t="s">
        <v>133</v>
      </c>
      <c r="F272" t="s">
        <v>71</v>
      </c>
      <c r="G272" t="s">
        <v>77</v>
      </c>
      <c r="H272">
        <v>45</v>
      </c>
      <c r="I272" s="2">
        <v>72.28</v>
      </c>
      <c r="J272" s="2">
        <v>33.97</v>
      </c>
      <c r="K272" s="2">
        <v>3252.6</v>
      </c>
      <c r="L272" s="2">
        <v>1528.65</v>
      </c>
      <c r="M272" s="2">
        <v>1723.95</v>
      </c>
      <c r="N272">
        <v>1</v>
      </c>
    </row>
    <row r="273" spans="1:14" x14ac:dyDescent="0.3">
      <c r="A273" s="1">
        <v>37784</v>
      </c>
      <c r="B273">
        <v>10129</v>
      </c>
      <c r="C273">
        <v>324</v>
      </c>
      <c r="D273" t="s">
        <v>211</v>
      </c>
      <c r="E273" t="s">
        <v>133</v>
      </c>
      <c r="F273" t="s">
        <v>71</v>
      </c>
      <c r="G273" t="s">
        <v>78</v>
      </c>
      <c r="H273">
        <v>42</v>
      </c>
      <c r="I273" s="2">
        <v>90.15</v>
      </c>
      <c r="J273" s="2">
        <v>51.09</v>
      </c>
      <c r="K273" s="2">
        <v>3786.3</v>
      </c>
      <c r="L273" s="2">
        <v>2145.7800000000002</v>
      </c>
      <c r="M273" s="2">
        <v>1640.52</v>
      </c>
      <c r="N273">
        <v>1</v>
      </c>
    </row>
    <row r="274" spans="1:14" x14ac:dyDescent="0.3">
      <c r="A274" s="1">
        <v>37784</v>
      </c>
      <c r="B274">
        <v>10129</v>
      </c>
      <c r="C274">
        <v>324</v>
      </c>
      <c r="D274" t="s">
        <v>211</v>
      </c>
      <c r="E274" t="s">
        <v>133</v>
      </c>
      <c r="F274" t="s">
        <v>71</v>
      </c>
      <c r="G274" t="s">
        <v>79</v>
      </c>
      <c r="H274">
        <v>30</v>
      </c>
      <c r="I274" s="2">
        <v>94.34</v>
      </c>
      <c r="J274" s="2">
        <v>53.63</v>
      </c>
      <c r="K274" s="2">
        <v>2830.2</v>
      </c>
      <c r="L274" s="2">
        <v>1608.9</v>
      </c>
      <c r="M274" s="2">
        <v>1221.3</v>
      </c>
      <c r="N274">
        <v>1</v>
      </c>
    </row>
    <row r="275" spans="1:14" x14ac:dyDescent="0.3">
      <c r="A275" s="1">
        <v>37784</v>
      </c>
      <c r="B275">
        <v>10129</v>
      </c>
      <c r="C275">
        <v>324</v>
      </c>
      <c r="D275" t="s">
        <v>211</v>
      </c>
      <c r="E275" t="s">
        <v>133</v>
      </c>
      <c r="F275" t="s">
        <v>71</v>
      </c>
      <c r="G275" t="s">
        <v>80</v>
      </c>
      <c r="H275">
        <v>32</v>
      </c>
      <c r="I275" s="2">
        <v>44.23</v>
      </c>
      <c r="J275" s="2">
        <v>33.299999999999997</v>
      </c>
      <c r="K275" s="2">
        <v>1415.36</v>
      </c>
      <c r="L275" s="2">
        <v>1065.5999999999999</v>
      </c>
      <c r="M275" s="2">
        <v>349.76</v>
      </c>
      <c r="N275">
        <v>1</v>
      </c>
    </row>
    <row r="276" spans="1:14" x14ac:dyDescent="0.3">
      <c r="A276" s="1">
        <v>37788</v>
      </c>
      <c r="B276">
        <v>10131</v>
      </c>
      <c r="C276">
        <v>447</v>
      </c>
      <c r="D276" t="s">
        <v>212</v>
      </c>
      <c r="E276" t="s">
        <v>14</v>
      </c>
      <c r="F276" t="s">
        <v>83</v>
      </c>
      <c r="G276" t="s">
        <v>84</v>
      </c>
      <c r="H276">
        <v>21</v>
      </c>
      <c r="I276" s="2">
        <v>141.91999999999999</v>
      </c>
      <c r="J276" s="2">
        <v>77.27</v>
      </c>
      <c r="K276" s="2">
        <v>2980.32</v>
      </c>
      <c r="L276" s="2">
        <v>1622.67</v>
      </c>
      <c r="M276" s="2">
        <v>1357.65</v>
      </c>
      <c r="N276">
        <v>1</v>
      </c>
    </row>
    <row r="277" spans="1:14" x14ac:dyDescent="0.3">
      <c r="A277" s="1">
        <v>37788</v>
      </c>
      <c r="B277">
        <v>10131</v>
      </c>
      <c r="C277">
        <v>447</v>
      </c>
      <c r="D277" t="s">
        <v>212</v>
      </c>
      <c r="E277" t="s">
        <v>14</v>
      </c>
      <c r="F277" t="s">
        <v>83</v>
      </c>
      <c r="G277" t="s">
        <v>89</v>
      </c>
      <c r="H277">
        <v>35</v>
      </c>
      <c r="I277" s="2">
        <v>60.97</v>
      </c>
      <c r="J277" s="2">
        <v>34.25</v>
      </c>
      <c r="K277" s="2">
        <v>2133.9499999999998</v>
      </c>
      <c r="L277" s="2">
        <v>1198.75</v>
      </c>
      <c r="M277" s="2">
        <v>935.2</v>
      </c>
      <c r="N277">
        <v>1</v>
      </c>
    </row>
    <row r="278" spans="1:14" x14ac:dyDescent="0.3">
      <c r="A278" s="1">
        <v>37788</v>
      </c>
      <c r="B278">
        <v>10131</v>
      </c>
      <c r="C278">
        <v>447</v>
      </c>
      <c r="D278" t="s">
        <v>212</v>
      </c>
      <c r="E278" t="s">
        <v>14</v>
      </c>
      <c r="F278" t="s">
        <v>15</v>
      </c>
      <c r="G278" t="s">
        <v>90</v>
      </c>
      <c r="H278">
        <v>29</v>
      </c>
      <c r="I278" s="2">
        <v>52.6</v>
      </c>
      <c r="J278" s="2">
        <v>26.3</v>
      </c>
      <c r="K278" s="2">
        <v>1525.4</v>
      </c>
      <c r="L278" s="2">
        <v>762.7</v>
      </c>
      <c r="M278" s="2">
        <v>762.7</v>
      </c>
      <c r="N278">
        <v>1</v>
      </c>
    </row>
    <row r="279" spans="1:14" x14ac:dyDescent="0.3">
      <c r="A279" s="1">
        <v>37788</v>
      </c>
      <c r="B279">
        <v>10131</v>
      </c>
      <c r="C279">
        <v>447</v>
      </c>
      <c r="D279" t="s">
        <v>212</v>
      </c>
      <c r="E279" t="s">
        <v>14</v>
      </c>
      <c r="F279" t="s">
        <v>83</v>
      </c>
      <c r="G279" t="s">
        <v>91</v>
      </c>
      <c r="H279">
        <v>50</v>
      </c>
      <c r="I279" s="2">
        <v>54.59</v>
      </c>
      <c r="J279" s="2">
        <v>29.34</v>
      </c>
      <c r="K279" s="2">
        <v>2729.5</v>
      </c>
      <c r="L279" s="2">
        <v>1467</v>
      </c>
      <c r="M279" s="2">
        <v>1262.5</v>
      </c>
      <c r="N279">
        <v>1</v>
      </c>
    </row>
    <row r="280" spans="1:14" x14ac:dyDescent="0.3">
      <c r="A280" s="1">
        <v>37788</v>
      </c>
      <c r="B280">
        <v>10131</v>
      </c>
      <c r="C280">
        <v>447</v>
      </c>
      <c r="D280" t="s">
        <v>212</v>
      </c>
      <c r="E280" t="s">
        <v>14</v>
      </c>
      <c r="F280" t="s">
        <v>71</v>
      </c>
      <c r="G280" t="s">
        <v>96</v>
      </c>
      <c r="H280">
        <v>22</v>
      </c>
      <c r="I280" s="2">
        <v>76.94</v>
      </c>
      <c r="J280" s="2">
        <v>39.83</v>
      </c>
      <c r="K280" s="2">
        <v>1692.68</v>
      </c>
      <c r="L280" s="2">
        <v>876.26</v>
      </c>
      <c r="M280" s="2">
        <v>816.42</v>
      </c>
      <c r="N280">
        <v>1</v>
      </c>
    </row>
    <row r="281" spans="1:14" x14ac:dyDescent="0.3">
      <c r="A281" s="1">
        <v>37788</v>
      </c>
      <c r="B281">
        <v>10131</v>
      </c>
      <c r="C281">
        <v>447</v>
      </c>
      <c r="D281" t="s">
        <v>212</v>
      </c>
      <c r="E281" t="s">
        <v>14</v>
      </c>
      <c r="F281" t="s">
        <v>83</v>
      </c>
      <c r="G281" t="s">
        <v>97</v>
      </c>
      <c r="H281">
        <v>40</v>
      </c>
      <c r="I281" s="2">
        <v>86.76</v>
      </c>
      <c r="J281" s="2">
        <v>68.8</v>
      </c>
      <c r="K281" s="2">
        <v>3470.4</v>
      </c>
      <c r="L281" s="2">
        <v>2752</v>
      </c>
      <c r="M281" s="2">
        <v>718.4</v>
      </c>
      <c r="N281">
        <v>1</v>
      </c>
    </row>
    <row r="282" spans="1:14" x14ac:dyDescent="0.3">
      <c r="A282" s="1">
        <v>37788</v>
      </c>
      <c r="B282">
        <v>10131</v>
      </c>
      <c r="C282">
        <v>447</v>
      </c>
      <c r="D282" t="s">
        <v>212</v>
      </c>
      <c r="E282" t="s">
        <v>14</v>
      </c>
      <c r="F282" t="s">
        <v>83</v>
      </c>
      <c r="G282" t="s">
        <v>100</v>
      </c>
      <c r="H282">
        <v>26</v>
      </c>
      <c r="I282" s="2">
        <v>63.67</v>
      </c>
      <c r="J282" s="2">
        <v>36.270000000000003</v>
      </c>
      <c r="K282" s="2">
        <v>1655.42</v>
      </c>
      <c r="L282" s="2">
        <v>943.02</v>
      </c>
      <c r="M282" s="2">
        <v>712.4</v>
      </c>
      <c r="N282">
        <v>1</v>
      </c>
    </row>
    <row r="283" spans="1:14" x14ac:dyDescent="0.3">
      <c r="A283" s="1">
        <v>37788</v>
      </c>
      <c r="B283">
        <v>10131</v>
      </c>
      <c r="C283">
        <v>447</v>
      </c>
      <c r="D283" t="s">
        <v>212</v>
      </c>
      <c r="E283" t="s">
        <v>14</v>
      </c>
      <c r="F283" t="s">
        <v>83</v>
      </c>
      <c r="G283" t="s">
        <v>101</v>
      </c>
      <c r="H283">
        <v>21</v>
      </c>
      <c r="I283" s="2">
        <v>40.22</v>
      </c>
      <c r="J283" s="2">
        <v>32.770000000000003</v>
      </c>
      <c r="K283" s="2">
        <v>844.62</v>
      </c>
      <c r="L283" s="2">
        <v>688.17</v>
      </c>
      <c r="M283" s="2">
        <v>156.44999999999999</v>
      </c>
      <c r="N283">
        <v>1</v>
      </c>
    </row>
    <row r="284" spans="1:14" x14ac:dyDescent="0.3">
      <c r="A284" s="1">
        <v>37788</v>
      </c>
      <c r="B284">
        <v>10130</v>
      </c>
      <c r="C284">
        <v>198</v>
      </c>
      <c r="D284" t="s">
        <v>213</v>
      </c>
      <c r="E284" t="s">
        <v>14</v>
      </c>
      <c r="F284" t="s">
        <v>71</v>
      </c>
      <c r="G284" t="s">
        <v>86</v>
      </c>
      <c r="H284">
        <v>40</v>
      </c>
      <c r="I284" s="2">
        <v>68.819999999999993</v>
      </c>
      <c r="J284" s="2">
        <v>51.61</v>
      </c>
      <c r="K284" s="2">
        <v>2752.8</v>
      </c>
      <c r="L284" s="2">
        <v>2064.4</v>
      </c>
      <c r="M284" s="2">
        <v>688.4</v>
      </c>
      <c r="N284">
        <v>1</v>
      </c>
    </row>
    <row r="285" spans="1:14" x14ac:dyDescent="0.3">
      <c r="A285" s="1">
        <v>37788</v>
      </c>
      <c r="B285">
        <v>10130</v>
      </c>
      <c r="C285">
        <v>198</v>
      </c>
      <c r="D285" t="s">
        <v>213</v>
      </c>
      <c r="E285" t="s">
        <v>14</v>
      </c>
      <c r="F285" t="s">
        <v>15</v>
      </c>
      <c r="G285" t="s">
        <v>87</v>
      </c>
      <c r="H285">
        <v>33</v>
      </c>
      <c r="I285" s="2">
        <v>99.52</v>
      </c>
      <c r="J285" s="2">
        <v>64.58</v>
      </c>
      <c r="K285" s="2">
        <v>3284.16</v>
      </c>
      <c r="L285" s="2">
        <v>2131.14</v>
      </c>
      <c r="M285" s="2">
        <v>1153.02</v>
      </c>
      <c r="N285">
        <v>1</v>
      </c>
    </row>
    <row r="286" spans="1:14" x14ac:dyDescent="0.3">
      <c r="A286" s="1">
        <v>37797</v>
      </c>
      <c r="B286">
        <v>10132</v>
      </c>
      <c r="C286">
        <v>323</v>
      </c>
      <c r="D286" t="s">
        <v>158</v>
      </c>
      <c r="E286" t="s">
        <v>159</v>
      </c>
      <c r="F286" t="s">
        <v>83</v>
      </c>
      <c r="G286" t="s">
        <v>99</v>
      </c>
      <c r="H286">
        <v>36</v>
      </c>
      <c r="I286" s="2">
        <v>80</v>
      </c>
      <c r="J286" s="2">
        <v>54.4</v>
      </c>
      <c r="K286" s="2">
        <v>2880</v>
      </c>
      <c r="L286" s="2">
        <v>1958.4</v>
      </c>
      <c r="M286" s="2">
        <v>921.6</v>
      </c>
      <c r="N286">
        <v>1</v>
      </c>
    </row>
    <row r="287" spans="1:14" x14ac:dyDescent="0.3">
      <c r="A287" s="1">
        <v>37799</v>
      </c>
      <c r="B287">
        <v>10133</v>
      </c>
      <c r="C287">
        <v>141</v>
      </c>
      <c r="D287" t="s">
        <v>47</v>
      </c>
      <c r="E287" t="s">
        <v>48</v>
      </c>
      <c r="F287" t="s">
        <v>83</v>
      </c>
      <c r="G287" t="s">
        <v>85</v>
      </c>
      <c r="H287">
        <v>49</v>
      </c>
      <c r="I287" s="2">
        <v>80.260000000000005</v>
      </c>
      <c r="J287" s="2">
        <v>49</v>
      </c>
      <c r="K287" s="2">
        <v>3932.74</v>
      </c>
      <c r="L287" s="2">
        <v>2401</v>
      </c>
      <c r="M287" s="2">
        <v>1531.74</v>
      </c>
      <c r="N287">
        <v>3</v>
      </c>
    </row>
    <row r="288" spans="1:14" x14ac:dyDescent="0.3">
      <c r="A288" s="1">
        <v>37799</v>
      </c>
      <c r="B288">
        <v>10133</v>
      </c>
      <c r="C288">
        <v>141</v>
      </c>
      <c r="D288" t="s">
        <v>47</v>
      </c>
      <c r="E288" t="s">
        <v>48</v>
      </c>
      <c r="F288" t="s">
        <v>83</v>
      </c>
      <c r="G288" t="s">
        <v>88</v>
      </c>
      <c r="H288">
        <v>41</v>
      </c>
      <c r="I288" s="2">
        <v>109.42</v>
      </c>
      <c r="J288" s="2">
        <v>66.739999999999995</v>
      </c>
      <c r="K288" s="2">
        <v>4486.22</v>
      </c>
      <c r="L288" s="2">
        <v>2736.34</v>
      </c>
      <c r="M288" s="2">
        <v>1749.88</v>
      </c>
      <c r="N288">
        <v>3</v>
      </c>
    </row>
    <row r="289" spans="1:14" x14ac:dyDescent="0.3">
      <c r="A289" s="1">
        <v>37799</v>
      </c>
      <c r="B289">
        <v>10133</v>
      </c>
      <c r="C289">
        <v>141</v>
      </c>
      <c r="D289" t="s">
        <v>47</v>
      </c>
      <c r="E289" t="s">
        <v>48</v>
      </c>
      <c r="F289" t="s">
        <v>83</v>
      </c>
      <c r="G289" t="s">
        <v>92</v>
      </c>
      <c r="H289">
        <v>46</v>
      </c>
      <c r="I289" s="2">
        <v>61.58</v>
      </c>
      <c r="J289" s="2">
        <v>36.229999999999997</v>
      </c>
      <c r="K289" s="2">
        <v>2832.68</v>
      </c>
      <c r="L289" s="2">
        <v>1666.58</v>
      </c>
      <c r="M289" s="2">
        <v>1166.0999999999999</v>
      </c>
      <c r="N289">
        <v>3</v>
      </c>
    </row>
    <row r="290" spans="1:14" x14ac:dyDescent="0.3">
      <c r="A290" s="1">
        <v>37799</v>
      </c>
      <c r="B290">
        <v>10133</v>
      </c>
      <c r="C290">
        <v>141</v>
      </c>
      <c r="D290" t="s">
        <v>47</v>
      </c>
      <c r="E290" t="s">
        <v>48</v>
      </c>
      <c r="F290" t="s">
        <v>102</v>
      </c>
      <c r="G290" t="s">
        <v>110</v>
      </c>
      <c r="H290">
        <v>23</v>
      </c>
      <c r="I290" s="2">
        <v>80.91</v>
      </c>
      <c r="J290" s="2">
        <v>66.92</v>
      </c>
      <c r="K290" s="2">
        <v>1860.93</v>
      </c>
      <c r="L290" s="2">
        <v>1539.16</v>
      </c>
      <c r="M290" s="2">
        <v>321.77</v>
      </c>
      <c r="N290">
        <v>3</v>
      </c>
    </row>
    <row r="291" spans="1:14" x14ac:dyDescent="0.3">
      <c r="A291" s="1">
        <v>37799</v>
      </c>
      <c r="B291">
        <v>10133</v>
      </c>
      <c r="C291">
        <v>141</v>
      </c>
      <c r="D291" t="s">
        <v>47</v>
      </c>
      <c r="E291" t="s">
        <v>48</v>
      </c>
      <c r="F291" t="s">
        <v>15</v>
      </c>
      <c r="G291" t="s">
        <v>93</v>
      </c>
      <c r="H291">
        <v>49</v>
      </c>
      <c r="I291" s="2">
        <v>67.41</v>
      </c>
      <c r="J291" s="2">
        <v>33.020000000000003</v>
      </c>
      <c r="K291" s="2">
        <v>3303.09</v>
      </c>
      <c r="L291" s="2">
        <v>1617.98</v>
      </c>
      <c r="M291" s="2">
        <v>1685.11</v>
      </c>
      <c r="N291">
        <v>3</v>
      </c>
    </row>
    <row r="292" spans="1:14" x14ac:dyDescent="0.3">
      <c r="A292" s="1">
        <v>37799</v>
      </c>
      <c r="B292">
        <v>10133</v>
      </c>
      <c r="C292">
        <v>141</v>
      </c>
      <c r="D292" t="s">
        <v>47</v>
      </c>
      <c r="E292" t="s">
        <v>48</v>
      </c>
      <c r="F292" t="s">
        <v>15</v>
      </c>
      <c r="G292" t="s">
        <v>94</v>
      </c>
      <c r="H292">
        <v>27</v>
      </c>
      <c r="I292" s="2">
        <v>37.090000000000003</v>
      </c>
      <c r="J292" s="2">
        <v>27.06</v>
      </c>
      <c r="K292" s="2">
        <v>1001.43</v>
      </c>
      <c r="L292" s="2">
        <v>730.62</v>
      </c>
      <c r="M292" s="2">
        <v>270.81</v>
      </c>
      <c r="N292">
        <v>3</v>
      </c>
    </row>
    <row r="293" spans="1:14" x14ac:dyDescent="0.3">
      <c r="A293" s="1">
        <v>37799</v>
      </c>
      <c r="B293">
        <v>10133</v>
      </c>
      <c r="C293">
        <v>141</v>
      </c>
      <c r="D293" t="s">
        <v>47</v>
      </c>
      <c r="E293" t="s">
        <v>48</v>
      </c>
      <c r="F293" t="s">
        <v>83</v>
      </c>
      <c r="G293" t="s">
        <v>95</v>
      </c>
      <c r="H293">
        <v>24</v>
      </c>
      <c r="I293" s="2">
        <v>76.73</v>
      </c>
      <c r="J293" s="2">
        <v>51.15</v>
      </c>
      <c r="K293" s="2">
        <v>1841.52</v>
      </c>
      <c r="L293" s="2">
        <v>1227.5999999999999</v>
      </c>
      <c r="M293" s="2">
        <v>613.91999999999996</v>
      </c>
      <c r="N293">
        <v>3</v>
      </c>
    </row>
    <row r="294" spans="1:14" x14ac:dyDescent="0.3">
      <c r="A294" s="1">
        <v>37799</v>
      </c>
      <c r="B294">
        <v>10133</v>
      </c>
      <c r="C294">
        <v>141</v>
      </c>
      <c r="D294" t="s">
        <v>47</v>
      </c>
      <c r="E294" t="s">
        <v>48</v>
      </c>
      <c r="F294" t="s">
        <v>83</v>
      </c>
      <c r="G294" t="s">
        <v>98</v>
      </c>
      <c r="H294">
        <v>27</v>
      </c>
      <c r="I294" s="2">
        <v>115.09</v>
      </c>
      <c r="J294" s="2">
        <v>59.33</v>
      </c>
      <c r="K294" s="2">
        <v>3107.43</v>
      </c>
      <c r="L294" s="2">
        <v>1601.91</v>
      </c>
      <c r="M294" s="2">
        <v>1505.52</v>
      </c>
      <c r="N294">
        <v>3</v>
      </c>
    </row>
    <row r="295" spans="1:14" x14ac:dyDescent="0.3">
      <c r="A295" s="1">
        <v>37803</v>
      </c>
      <c r="B295">
        <v>10134</v>
      </c>
      <c r="C295">
        <v>250</v>
      </c>
      <c r="D295" t="s">
        <v>160</v>
      </c>
      <c r="E295" t="s">
        <v>144</v>
      </c>
      <c r="F295" t="s">
        <v>102</v>
      </c>
      <c r="G295" t="s">
        <v>103</v>
      </c>
      <c r="H295">
        <v>41</v>
      </c>
      <c r="I295" s="2">
        <v>90.92</v>
      </c>
      <c r="J295" s="2">
        <v>48.81</v>
      </c>
      <c r="K295" s="2">
        <v>3727.72</v>
      </c>
      <c r="L295" s="2">
        <v>2001.21</v>
      </c>
      <c r="M295" s="2">
        <v>1726.51</v>
      </c>
      <c r="N295">
        <v>1</v>
      </c>
    </row>
    <row r="296" spans="1:14" x14ac:dyDescent="0.3">
      <c r="A296" s="1">
        <v>37803</v>
      </c>
      <c r="B296">
        <v>10134</v>
      </c>
      <c r="C296">
        <v>250</v>
      </c>
      <c r="D296" t="s">
        <v>160</v>
      </c>
      <c r="E296" t="s">
        <v>144</v>
      </c>
      <c r="F296" t="s">
        <v>102</v>
      </c>
      <c r="G296" t="s">
        <v>104</v>
      </c>
      <c r="H296">
        <v>27</v>
      </c>
      <c r="I296" s="2">
        <v>116.56</v>
      </c>
      <c r="J296" s="2">
        <v>68.989999999999995</v>
      </c>
      <c r="K296" s="2">
        <v>3147.12</v>
      </c>
      <c r="L296" s="2">
        <v>1862.73</v>
      </c>
      <c r="M296" s="2">
        <v>1284.3900000000001</v>
      </c>
      <c r="N296">
        <v>1</v>
      </c>
    </row>
    <row r="297" spans="1:14" x14ac:dyDescent="0.3">
      <c r="A297" s="1">
        <v>37803</v>
      </c>
      <c r="B297">
        <v>10134</v>
      </c>
      <c r="C297">
        <v>250</v>
      </c>
      <c r="D297" t="s">
        <v>160</v>
      </c>
      <c r="E297" t="s">
        <v>144</v>
      </c>
      <c r="F297" t="s">
        <v>102</v>
      </c>
      <c r="G297" t="s">
        <v>105</v>
      </c>
      <c r="H297">
        <v>31</v>
      </c>
      <c r="I297" s="2">
        <v>187.85</v>
      </c>
      <c r="J297" s="2">
        <v>91.02</v>
      </c>
      <c r="K297" s="2">
        <v>5823.35</v>
      </c>
      <c r="L297" s="2">
        <v>2821.62</v>
      </c>
      <c r="M297" s="2">
        <v>3001.73</v>
      </c>
      <c r="N297">
        <v>1</v>
      </c>
    </row>
    <row r="298" spans="1:14" x14ac:dyDescent="0.3">
      <c r="A298" s="1">
        <v>37803</v>
      </c>
      <c r="B298">
        <v>10134</v>
      </c>
      <c r="C298">
        <v>250</v>
      </c>
      <c r="D298" t="s">
        <v>160</v>
      </c>
      <c r="E298" t="s">
        <v>144</v>
      </c>
      <c r="F298" t="s">
        <v>102</v>
      </c>
      <c r="G298" t="s">
        <v>106</v>
      </c>
      <c r="H298">
        <v>20</v>
      </c>
      <c r="I298" s="2">
        <v>131.04</v>
      </c>
      <c r="J298" s="2">
        <v>66.27</v>
      </c>
      <c r="K298" s="2">
        <v>2620.8000000000002</v>
      </c>
      <c r="L298" s="2">
        <v>1325.4</v>
      </c>
      <c r="M298" s="2">
        <v>1295.4000000000001</v>
      </c>
      <c r="N298">
        <v>1</v>
      </c>
    </row>
    <row r="299" spans="1:14" x14ac:dyDescent="0.3">
      <c r="A299" s="1">
        <v>37803</v>
      </c>
      <c r="B299">
        <v>10134</v>
      </c>
      <c r="C299">
        <v>250</v>
      </c>
      <c r="D299" t="s">
        <v>160</v>
      </c>
      <c r="E299" t="s">
        <v>144</v>
      </c>
      <c r="F299" t="s">
        <v>102</v>
      </c>
      <c r="G299" t="s">
        <v>107</v>
      </c>
      <c r="H299">
        <v>30</v>
      </c>
      <c r="I299" s="2">
        <v>51.48</v>
      </c>
      <c r="J299" s="2">
        <v>24.23</v>
      </c>
      <c r="K299" s="2">
        <v>1544.4</v>
      </c>
      <c r="L299" s="2">
        <v>726.9</v>
      </c>
      <c r="M299" s="2">
        <v>817.5</v>
      </c>
      <c r="N299">
        <v>1</v>
      </c>
    </row>
    <row r="300" spans="1:14" x14ac:dyDescent="0.3">
      <c r="A300" s="1">
        <v>37803</v>
      </c>
      <c r="B300">
        <v>10134</v>
      </c>
      <c r="C300">
        <v>250</v>
      </c>
      <c r="D300" t="s">
        <v>160</v>
      </c>
      <c r="E300" t="s">
        <v>144</v>
      </c>
      <c r="F300" t="s">
        <v>102</v>
      </c>
      <c r="G300" t="s">
        <v>108</v>
      </c>
      <c r="H300">
        <v>35</v>
      </c>
      <c r="I300" s="2">
        <v>94.67</v>
      </c>
      <c r="J300" s="2">
        <v>60.86</v>
      </c>
      <c r="K300" s="2">
        <v>3313.45</v>
      </c>
      <c r="L300" s="2">
        <v>2130.1</v>
      </c>
      <c r="M300" s="2">
        <v>1183.3499999999999</v>
      </c>
      <c r="N300">
        <v>1</v>
      </c>
    </row>
    <row r="301" spans="1:14" x14ac:dyDescent="0.3">
      <c r="A301" s="1">
        <v>37803</v>
      </c>
      <c r="B301">
        <v>10134</v>
      </c>
      <c r="C301">
        <v>250</v>
      </c>
      <c r="D301" t="s">
        <v>160</v>
      </c>
      <c r="E301" t="s">
        <v>144</v>
      </c>
      <c r="F301" t="s">
        <v>102</v>
      </c>
      <c r="G301" t="s">
        <v>109</v>
      </c>
      <c r="H301">
        <v>43</v>
      </c>
      <c r="I301" s="2">
        <v>75.41</v>
      </c>
      <c r="J301" s="2">
        <v>37.32</v>
      </c>
      <c r="K301" s="2">
        <v>3242.63</v>
      </c>
      <c r="L301" s="2">
        <v>1604.76</v>
      </c>
      <c r="M301" s="2">
        <v>1637.87</v>
      </c>
      <c r="N301">
        <v>1</v>
      </c>
    </row>
    <row r="302" spans="1:14" x14ac:dyDescent="0.3">
      <c r="A302" s="1">
        <v>37804</v>
      </c>
      <c r="B302">
        <v>10135</v>
      </c>
      <c r="C302">
        <v>124</v>
      </c>
      <c r="D302" t="s">
        <v>206</v>
      </c>
      <c r="E302" t="s">
        <v>14</v>
      </c>
      <c r="F302" t="s">
        <v>29</v>
      </c>
      <c r="G302" t="s">
        <v>112</v>
      </c>
      <c r="H302">
        <v>42</v>
      </c>
      <c r="I302" s="2">
        <v>173.17</v>
      </c>
      <c r="J302" s="2">
        <v>95.34</v>
      </c>
      <c r="K302" s="2">
        <v>7273.14</v>
      </c>
      <c r="L302" s="2">
        <v>4004.28</v>
      </c>
      <c r="M302" s="2">
        <v>3268.86</v>
      </c>
      <c r="N302">
        <v>2</v>
      </c>
    </row>
    <row r="303" spans="1:14" x14ac:dyDescent="0.3">
      <c r="A303" s="1">
        <v>37804</v>
      </c>
      <c r="B303">
        <v>10135</v>
      </c>
      <c r="C303">
        <v>124</v>
      </c>
      <c r="D303" t="s">
        <v>206</v>
      </c>
      <c r="E303" t="s">
        <v>14</v>
      </c>
      <c r="F303" t="s">
        <v>29</v>
      </c>
      <c r="G303" t="s">
        <v>113</v>
      </c>
      <c r="H303">
        <v>48</v>
      </c>
      <c r="I303" s="2">
        <v>110.39</v>
      </c>
      <c r="J303" s="2">
        <v>75.16</v>
      </c>
      <c r="K303" s="2">
        <v>5298.72</v>
      </c>
      <c r="L303" s="2">
        <v>3607.68</v>
      </c>
      <c r="M303" s="2">
        <v>1691.04</v>
      </c>
      <c r="N303">
        <v>2</v>
      </c>
    </row>
    <row r="304" spans="1:14" x14ac:dyDescent="0.3">
      <c r="A304" s="1">
        <v>37804</v>
      </c>
      <c r="B304">
        <v>10135</v>
      </c>
      <c r="C304">
        <v>124</v>
      </c>
      <c r="D304" t="s">
        <v>206</v>
      </c>
      <c r="E304" t="s">
        <v>14</v>
      </c>
      <c r="F304" t="s">
        <v>29</v>
      </c>
      <c r="G304" t="s">
        <v>114</v>
      </c>
      <c r="H304">
        <v>24</v>
      </c>
      <c r="I304" s="2">
        <v>72.62</v>
      </c>
      <c r="J304" s="2">
        <v>31.92</v>
      </c>
      <c r="K304" s="2">
        <v>1742.88</v>
      </c>
      <c r="L304" s="2">
        <v>766.08</v>
      </c>
      <c r="M304" s="2">
        <v>976.8</v>
      </c>
      <c r="N304">
        <v>2</v>
      </c>
    </row>
    <row r="305" spans="1:14" x14ac:dyDescent="0.3">
      <c r="A305" s="1">
        <v>37804</v>
      </c>
      <c r="B305">
        <v>10135</v>
      </c>
      <c r="C305">
        <v>124</v>
      </c>
      <c r="D305" t="s">
        <v>206</v>
      </c>
      <c r="E305" t="s">
        <v>14</v>
      </c>
      <c r="F305" t="s">
        <v>29</v>
      </c>
      <c r="G305" t="s">
        <v>115</v>
      </c>
      <c r="H305">
        <v>29</v>
      </c>
      <c r="I305" s="2">
        <v>103.64</v>
      </c>
      <c r="J305" s="2">
        <v>58.73</v>
      </c>
      <c r="K305" s="2">
        <v>3005.56</v>
      </c>
      <c r="L305" s="2">
        <v>1703.17</v>
      </c>
      <c r="M305" s="2">
        <v>1302.3900000000001</v>
      </c>
      <c r="N305">
        <v>2</v>
      </c>
    </row>
    <row r="306" spans="1:14" x14ac:dyDescent="0.3">
      <c r="A306" s="1">
        <v>37804</v>
      </c>
      <c r="B306">
        <v>10135</v>
      </c>
      <c r="C306">
        <v>124</v>
      </c>
      <c r="D306" t="s">
        <v>206</v>
      </c>
      <c r="E306" t="s">
        <v>14</v>
      </c>
      <c r="F306" t="s">
        <v>29</v>
      </c>
      <c r="G306" t="s">
        <v>116</v>
      </c>
      <c r="H306">
        <v>48</v>
      </c>
      <c r="I306" s="2">
        <v>66.989999999999995</v>
      </c>
      <c r="J306" s="2">
        <v>53.9</v>
      </c>
      <c r="K306" s="2">
        <v>3215.52</v>
      </c>
      <c r="L306" s="2">
        <v>2587.1999999999998</v>
      </c>
      <c r="M306" s="2">
        <v>628.32000000000005</v>
      </c>
      <c r="N306">
        <v>2</v>
      </c>
    </row>
    <row r="307" spans="1:14" x14ac:dyDescent="0.3">
      <c r="A307" s="1">
        <v>37804</v>
      </c>
      <c r="B307">
        <v>10135</v>
      </c>
      <c r="C307">
        <v>124</v>
      </c>
      <c r="D307" t="s">
        <v>206</v>
      </c>
      <c r="E307" t="s">
        <v>14</v>
      </c>
      <c r="F307" t="s">
        <v>29</v>
      </c>
      <c r="G307" t="s">
        <v>117</v>
      </c>
      <c r="H307">
        <v>45</v>
      </c>
      <c r="I307" s="2">
        <v>65.94</v>
      </c>
      <c r="J307" s="2">
        <v>49.05</v>
      </c>
      <c r="K307" s="2">
        <v>2967.3</v>
      </c>
      <c r="L307" s="2">
        <v>2207.25</v>
      </c>
      <c r="M307" s="2">
        <v>760.05</v>
      </c>
      <c r="N307">
        <v>2</v>
      </c>
    </row>
    <row r="308" spans="1:14" x14ac:dyDescent="0.3">
      <c r="A308" s="1">
        <v>37804</v>
      </c>
      <c r="B308">
        <v>10135</v>
      </c>
      <c r="C308">
        <v>124</v>
      </c>
      <c r="D308" t="s">
        <v>206</v>
      </c>
      <c r="E308" t="s">
        <v>14</v>
      </c>
      <c r="F308" t="s">
        <v>29</v>
      </c>
      <c r="G308" t="s">
        <v>118</v>
      </c>
      <c r="H308">
        <v>42</v>
      </c>
      <c r="I308" s="2">
        <v>139.63999999999999</v>
      </c>
      <c r="J308" s="2">
        <v>73.489999999999995</v>
      </c>
      <c r="K308" s="2">
        <v>5864.88</v>
      </c>
      <c r="L308" s="2">
        <v>3086.58</v>
      </c>
      <c r="M308" s="2">
        <v>2778.3</v>
      </c>
      <c r="N308">
        <v>2</v>
      </c>
    </row>
    <row r="309" spans="1:14" x14ac:dyDescent="0.3">
      <c r="A309" s="1">
        <v>37804</v>
      </c>
      <c r="B309">
        <v>10135</v>
      </c>
      <c r="C309">
        <v>124</v>
      </c>
      <c r="D309" t="s">
        <v>206</v>
      </c>
      <c r="E309" t="s">
        <v>14</v>
      </c>
      <c r="F309" t="s">
        <v>102</v>
      </c>
      <c r="G309" t="s">
        <v>119</v>
      </c>
      <c r="H309">
        <v>45</v>
      </c>
      <c r="I309" s="2">
        <v>49.74</v>
      </c>
      <c r="J309" s="2">
        <v>32.950000000000003</v>
      </c>
      <c r="K309" s="2">
        <v>2238.3000000000002</v>
      </c>
      <c r="L309" s="2">
        <v>1482.75</v>
      </c>
      <c r="M309" s="2">
        <v>755.55</v>
      </c>
      <c r="N309">
        <v>2</v>
      </c>
    </row>
    <row r="310" spans="1:14" x14ac:dyDescent="0.3">
      <c r="A310" s="1">
        <v>37804</v>
      </c>
      <c r="B310">
        <v>10135</v>
      </c>
      <c r="C310">
        <v>124</v>
      </c>
      <c r="D310" t="s">
        <v>206</v>
      </c>
      <c r="E310" t="s">
        <v>14</v>
      </c>
      <c r="F310" t="s">
        <v>29</v>
      </c>
      <c r="G310" t="s">
        <v>120</v>
      </c>
      <c r="H310">
        <v>31</v>
      </c>
      <c r="I310" s="2">
        <v>133.91999999999999</v>
      </c>
      <c r="J310" s="2">
        <v>69.930000000000007</v>
      </c>
      <c r="K310" s="2">
        <v>4151.5200000000004</v>
      </c>
      <c r="L310" s="2">
        <v>2167.83</v>
      </c>
      <c r="M310" s="2">
        <v>1983.69</v>
      </c>
      <c r="N310">
        <v>2</v>
      </c>
    </row>
    <row r="311" spans="1:14" x14ac:dyDescent="0.3">
      <c r="A311" s="1">
        <v>37804</v>
      </c>
      <c r="B311">
        <v>10135</v>
      </c>
      <c r="C311">
        <v>124</v>
      </c>
      <c r="D311" t="s">
        <v>206</v>
      </c>
      <c r="E311" t="s">
        <v>14</v>
      </c>
      <c r="F311" t="s">
        <v>102</v>
      </c>
      <c r="G311" t="s">
        <v>121</v>
      </c>
      <c r="H311">
        <v>29</v>
      </c>
      <c r="I311" s="2">
        <v>67.180000000000007</v>
      </c>
      <c r="J311" s="2">
        <v>47.1</v>
      </c>
      <c r="K311" s="2">
        <v>1948.22</v>
      </c>
      <c r="L311" s="2">
        <v>1365.9</v>
      </c>
      <c r="M311" s="2">
        <v>582.32000000000005</v>
      </c>
      <c r="N311">
        <v>2</v>
      </c>
    </row>
    <row r="312" spans="1:14" x14ac:dyDescent="0.3">
      <c r="A312" s="1">
        <v>37804</v>
      </c>
      <c r="B312">
        <v>10135</v>
      </c>
      <c r="C312">
        <v>124</v>
      </c>
      <c r="D312" t="s">
        <v>206</v>
      </c>
      <c r="E312" t="s">
        <v>14</v>
      </c>
      <c r="F312" t="s">
        <v>29</v>
      </c>
      <c r="G312" t="s">
        <v>132</v>
      </c>
      <c r="H312">
        <v>20</v>
      </c>
      <c r="I312" s="2">
        <v>34.36</v>
      </c>
      <c r="J312" s="2">
        <v>16.239999999999998</v>
      </c>
      <c r="K312" s="2">
        <v>687.2</v>
      </c>
      <c r="L312" s="2">
        <v>324.8</v>
      </c>
      <c r="M312" s="2">
        <v>362.4</v>
      </c>
      <c r="N312">
        <v>2</v>
      </c>
    </row>
    <row r="313" spans="1:14" x14ac:dyDescent="0.3">
      <c r="A313" s="1">
        <v>37804</v>
      </c>
      <c r="B313">
        <v>10135</v>
      </c>
      <c r="C313">
        <v>124</v>
      </c>
      <c r="D313" t="s">
        <v>206</v>
      </c>
      <c r="E313" t="s">
        <v>14</v>
      </c>
      <c r="F313" t="s">
        <v>29</v>
      </c>
      <c r="G313" t="s">
        <v>122</v>
      </c>
      <c r="H313">
        <v>27</v>
      </c>
      <c r="I313" s="2">
        <v>52.05</v>
      </c>
      <c r="J313" s="2">
        <v>38.58</v>
      </c>
      <c r="K313" s="2">
        <v>1405.35</v>
      </c>
      <c r="L313" s="2">
        <v>1041.6600000000001</v>
      </c>
      <c r="M313" s="2">
        <v>363.69</v>
      </c>
      <c r="N313">
        <v>2</v>
      </c>
    </row>
    <row r="314" spans="1:14" x14ac:dyDescent="0.3">
      <c r="A314" s="1">
        <v>37804</v>
      </c>
      <c r="B314">
        <v>10135</v>
      </c>
      <c r="C314">
        <v>124</v>
      </c>
      <c r="D314" t="s">
        <v>206</v>
      </c>
      <c r="E314" t="s">
        <v>14</v>
      </c>
      <c r="F314" t="s">
        <v>29</v>
      </c>
      <c r="G314" t="s">
        <v>123</v>
      </c>
      <c r="H314">
        <v>47</v>
      </c>
      <c r="I314" s="2">
        <v>139.03</v>
      </c>
      <c r="J314" s="2">
        <v>98.3</v>
      </c>
      <c r="K314" s="2">
        <v>6534.41</v>
      </c>
      <c r="L314" s="2">
        <v>4620.1000000000004</v>
      </c>
      <c r="M314" s="2">
        <v>1914.31</v>
      </c>
      <c r="N314">
        <v>2</v>
      </c>
    </row>
    <row r="315" spans="1:14" x14ac:dyDescent="0.3">
      <c r="A315" s="1">
        <v>37804</v>
      </c>
      <c r="B315">
        <v>10135</v>
      </c>
      <c r="C315">
        <v>124</v>
      </c>
      <c r="D315" t="s">
        <v>206</v>
      </c>
      <c r="E315" t="s">
        <v>14</v>
      </c>
      <c r="F315" t="s">
        <v>29</v>
      </c>
      <c r="G315" t="s">
        <v>124</v>
      </c>
      <c r="H315">
        <v>23</v>
      </c>
      <c r="I315" s="2">
        <v>76.8</v>
      </c>
      <c r="J315" s="2">
        <v>32.33</v>
      </c>
      <c r="K315" s="2">
        <v>1766.4</v>
      </c>
      <c r="L315" s="2">
        <v>743.59</v>
      </c>
      <c r="M315" s="2">
        <v>1022.81</v>
      </c>
      <c r="N315">
        <v>2</v>
      </c>
    </row>
    <row r="316" spans="1:14" x14ac:dyDescent="0.3">
      <c r="A316" s="1">
        <v>37804</v>
      </c>
      <c r="B316">
        <v>10135</v>
      </c>
      <c r="C316">
        <v>124</v>
      </c>
      <c r="D316" t="s">
        <v>206</v>
      </c>
      <c r="E316" t="s">
        <v>14</v>
      </c>
      <c r="F316" t="s">
        <v>102</v>
      </c>
      <c r="G316" t="s">
        <v>125</v>
      </c>
      <c r="H316">
        <v>33</v>
      </c>
      <c r="I316" s="2">
        <v>38.619999999999997</v>
      </c>
      <c r="J316" s="2">
        <v>24.14</v>
      </c>
      <c r="K316" s="2">
        <v>1274.46</v>
      </c>
      <c r="L316" s="2">
        <v>796.62</v>
      </c>
      <c r="M316" s="2">
        <v>477.84</v>
      </c>
      <c r="N316">
        <v>2</v>
      </c>
    </row>
    <row r="317" spans="1:14" x14ac:dyDescent="0.3">
      <c r="A317" s="1">
        <v>37804</v>
      </c>
      <c r="B317">
        <v>10135</v>
      </c>
      <c r="C317">
        <v>124</v>
      </c>
      <c r="D317" t="s">
        <v>206</v>
      </c>
      <c r="E317" t="s">
        <v>14</v>
      </c>
      <c r="F317" t="s">
        <v>102</v>
      </c>
      <c r="G317" t="s">
        <v>126</v>
      </c>
      <c r="H317">
        <v>30</v>
      </c>
      <c r="I317" s="2">
        <v>91.85</v>
      </c>
      <c r="J317" s="2">
        <v>56.13</v>
      </c>
      <c r="K317" s="2">
        <v>2755.5</v>
      </c>
      <c r="L317" s="2">
        <v>1683.9</v>
      </c>
      <c r="M317" s="2">
        <v>1071.5999999999999</v>
      </c>
      <c r="N317">
        <v>2</v>
      </c>
    </row>
    <row r="318" spans="1:14" x14ac:dyDescent="0.3">
      <c r="A318" s="1">
        <v>37804</v>
      </c>
      <c r="B318">
        <v>10135</v>
      </c>
      <c r="C318">
        <v>124</v>
      </c>
      <c r="D318" t="s">
        <v>206</v>
      </c>
      <c r="E318" t="s">
        <v>14</v>
      </c>
      <c r="F318" t="s">
        <v>102</v>
      </c>
      <c r="G318" t="s">
        <v>127</v>
      </c>
      <c r="H318">
        <v>44</v>
      </c>
      <c r="I318" s="2">
        <v>78.92</v>
      </c>
      <c r="J318" s="2">
        <v>34.17</v>
      </c>
      <c r="K318" s="2">
        <v>3472.48</v>
      </c>
      <c r="L318" s="2">
        <v>1503.48</v>
      </c>
      <c r="M318" s="2">
        <v>1969</v>
      </c>
      <c r="N318">
        <v>2</v>
      </c>
    </row>
    <row r="319" spans="1:14" x14ac:dyDescent="0.3">
      <c r="A319" s="1">
        <v>37806</v>
      </c>
      <c r="B319">
        <v>10136</v>
      </c>
      <c r="C319">
        <v>242</v>
      </c>
      <c r="D319" t="s">
        <v>161</v>
      </c>
      <c r="E319" t="s">
        <v>144</v>
      </c>
      <c r="F319" t="s">
        <v>29</v>
      </c>
      <c r="G319" t="s">
        <v>128</v>
      </c>
      <c r="H319">
        <v>25</v>
      </c>
      <c r="I319" s="2">
        <v>117.48</v>
      </c>
      <c r="J319" s="2">
        <v>83.51</v>
      </c>
      <c r="K319" s="2">
        <v>2937</v>
      </c>
      <c r="L319" s="2">
        <v>2087.75</v>
      </c>
      <c r="M319" s="2">
        <v>849.25</v>
      </c>
      <c r="N319">
        <v>1</v>
      </c>
    </row>
    <row r="320" spans="1:14" x14ac:dyDescent="0.3">
      <c r="A320" s="1">
        <v>37806</v>
      </c>
      <c r="B320">
        <v>10136</v>
      </c>
      <c r="C320">
        <v>242</v>
      </c>
      <c r="D320" t="s">
        <v>161</v>
      </c>
      <c r="E320" t="s">
        <v>144</v>
      </c>
      <c r="F320" t="s">
        <v>29</v>
      </c>
      <c r="G320" t="s">
        <v>129</v>
      </c>
      <c r="H320">
        <v>36</v>
      </c>
      <c r="I320" s="2">
        <v>120.91</v>
      </c>
      <c r="J320" s="2">
        <v>93.89</v>
      </c>
      <c r="K320" s="2">
        <v>4352.76</v>
      </c>
      <c r="L320" s="2">
        <v>3380.04</v>
      </c>
      <c r="M320" s="2">
        <v>972.72</v>
      </c>
      <c r="N320">
        <v>1</v>
      </c>
    </row>
    <row r="321" spans="1:14" x14ac:dyDescent="0.3">
      <c r="A321" s="1">
        <v>37806</v>
      </c>
      <c r="B321">
        <v>10136</v>
      </c>
      <c r="C321">
        <v>242</v>
      </c>
      <c r="D321" t="s">
        <v>161</v>
      </c>
      <c r="E321" t="s">
        <v>144</v>
      </c>
      <c r="F321" t="s">
        <v>29</v>
      </c>
      <c r="G321" t="s">
        <v>53</v>
      </c>
      <c r="H321">
        <v>41</v>
      </c>
      <c r="I321" s="2">
        <v>169.34</v>
      </c>
      <c r="J321" s="2">
        <v>77.900000000000006</v>
      </c>
      <c r="K321" s="2">
        <v>6942.94</v>
      </c>
      <c r="L321" s="2">
        <v>3193.9</v>
      </c>
      <c r="M321" s="2">
        <v>3749.04</v>
      </c>
      <c r="N321">
        <v>1</v>
      </c>
    </row>
    <row r="322" spans="1:14" x14ac:dyDescent="0.3">
      <c r="A322" s="1">
        <v>37809</v>
      </c>
      <c r="B322">
        <v>10138</v>
      </c>
      <c r="C322">
        <v>496</v>
      </c>
      <c r="D322" t="s">
        <v>162</v>
      </c>
      <c r="E322" t="s">
        <v>159</v>
      </c>
      <c r="F322" t="s">
        <v>15</v>
      </c>
      <c r="G322" t="s">
        <v>16</v>
      </c>
      <c r="H322">
        <v>33</v>
      </c>
      <c r="I322" s="2">
        <v>149.6</v>
      </c>
      <c r="J322" s="2">
        <v>86.7</v>
      </c>
      <c r="K322" s="2">
        <v>4936.8</v>
      </c>
      <c r="L322" s="2">
        <v>2861.1</v>
      </c>
      <c r="M322" s="2">
        <v>2075.6999999999998</v>
      </c>
      <c r="N322">
        <v>1</v>
      </c>
    </row>
    <row r="323" spans="1:14" x14ac:dyDescent="0.3">
      <c r="A323" s="1">
        <v>37809</v>
      </c>
      <c r="B323">
        <v>10138</v>
      </c>
      <c r="C323">
        <v>496</v>
      </c>
      <c r="D323" t="s">
        <v>162</v>
      </c>
      <c r="E323" t="s">
        <v>159</v>
      </c>
      <c r="F323" t="s">
        <v>15</v>
      </c>
      <c r="G323" t="s">
        <v>17</v>
      </c>
      <c r="H323">
        <v>22</v>
      </c>
      <c r="I323" s="2">
        <v>51.46</v>
      </c>
      <c r="J323" s="2">
        <v>33.299999999999997</v>
      </c>
      <c r="K323" s="2">
        <v>1132.1199999999999</v>
      </c>
      <c r="L323" s="2">
        <v>732.6</v>
      </c>
      <c r="M323" s="2">
        <v>399.52</v>
      </c>
      <c r="N323">
        <v>1</v>
      </c>
    </row>
    <row r="324" spans="1:14" x14ac:dyDescent="0.3">
      <c r="A324" s="1">
        <v>37809</v>
      </c>
      <c r="B324">
        <v>10138</v>
      </c>
      <c r="C324">
        <v>496</v>
      </c>
      <c r="D324" t="s">
        <v>162</v>
      </c>
      <c r="E324" t="s">
        <v>159</v>
      </c>
      <c r="F324" t="s">
        <v>15</v>
      </c>
      <c r="G324" t="s">
        <v>21</v>
      </c>
      <c r="H324">
        <v>38</v>
      </c>
      <c r="I324" s="2">
        <v>114.42</v>
      </c>
      <c r="J324" s="2">
        <v>58.48</v>
      </c>
      <c r="K324" s="2">
        <v>4347.96</v>
      </c>
      <c r="L324" s="2">
        <v>2222.2399999999998</v>
      </c>
      <c r="M324" s="2">
        <v>2125.7199999999998</v>
      </c>
      <c r="N324">
        <v>1</v>
      </c>
    </row>
    <row r="325" spans="1:14" x14ac:dyDescent="0.3">
      <c r="A325" s="1">
        <v>37809</v>
      </c>
      <c r="B325">
        <v>10138</v>
      </c>
      <c r="C325">
        <v>496</v>
      </c>
      <c r="D325" t="s">
        <v>162</v>
      </c>
      <c r="E325" t="s">
        <v>159</v>
      </c>
      <c r="F325" t="s">
        <v>15</v>
      </c>
      <c r="G325" t="s">
        <v>18</v>
      </c>
      <c r="H325">
        <v>47</v>
      </c>
      <c r="I325" s="2">
        <v>79.150000000000006</v>
      </c>
      <c r="J325" s="2">
        <v>43.26</v>
      </c>
      <c r="K325" s="2">
        <v>3720.05</v>
      </c>
      <c r="L325" s="2">
        <v>2033.22</v>
      </c>
      <c r="M325" s="2">
        <v>1686.83</v>
      </c>
      <c r="N325">
        <v>1</v>
      </c>
    </row>
    <row r="326" spans="1:14" x14ac:dyDescent="0.3">
      <c r="A326" s="1">
        <v>37809</v>
      </c>
      <c r="B326">
        <v>10138</v>
      </c>
      <c r="C326">
        <v>496</v>
      </c>
      <c r="D326" t="s">
        <v>162</v>
      </c>
      <c r="E326" t="s">
        <v>159</v>
      </c>
      <c r="F326" t="s">
        <v>29</v>
      </c>
      <c r="G326" t="s">
        <v>135</v>
      </c>
      <c r="H326">
        <v>23</v>
      </c>
      <c r="I326" s="2">
        <v>64.86</v>
      </c>
      <c r="J326" s="2">
        <v>34.21</v>
      </c>
      <c r="K326" s="2">
        <v>1491.78</v>
      </c>
      <c r="L326" s="2">
        <v>786.83</v>
      </c>
      <c r="M326" s="2">
        <v>704.95</v>
      </c>
      <c r="N326">
        <v>1</v>
      </c>
    </row>
    <row r="327" spans="1:14" x14ac:dyDescent="0.3">
      <c r="A327" s="1">
        <v>37809</v>
      </c>
      <c r="B327">
        <v>10138</v>
      </c>
      <c r="C327">
        <v>496</v>
      </c>
      <c r="D327" t="s">
        <v>162</v>
      </c>
      <c r="E327" t="s">
        <v>159</v>
      </c>
      <c r="F327" t="s">
        <v>29</v>
      </c>
      <c r="G327" t="s">
        <v>136</v>
      </c>
      <c r="H327">
        <v>45</v>
      </c>
      <c r="I327" s="2">
        <v>59.53</v>
      </c>
      <c r="J327" s="2">
        <v>49.24</v>
      </c>
      <c r="K327" s="2">
        <v>2678.85</v>
      </c>
      <c r="L327" s="2">
        <v>2215.8000000000002</v>
      </c>
      <c r="M327" s="2">
        <v>463.05</v>
      </c>
      <c r="N327">
        <v>1</v>
      </c>
    </row>
    <row r="328" spans="1:14" x14ac:dyDescent="0.3">
      <c r="A328" s="1">
        <v>37809</v>
      </c>
      <c r="B328">
        <v>10138</v>
      </c>
      <c r="C328">
        <v>496</v>
      </c>
      <c r="D328" t="s">
        <v>162</v>
      </c>
      <c r="E328" t="s">
        <v>159</v>
      </c>
      <c r="F328" t="s">
        <v>15</v>
      </c>
      <c r="G328" t="s">
        <v>23</v>
      </c>
      <c r="H328">
        <v>22</v>
      </c>
      <c r="I328" s="2">
        <v>33.19</v>
      </c>
      <c r="J328" s="2">
        <v>22.57</v>
      </c>
      <c r="K328" s="2">
        <v>730.18</v>
      </c>
      <c r="L328" s="2">
        <v>496.54</v>
      </c>
      <c r="M328" s="2">
        <v>233.64</v>
      </c>
      <c r="N328">
        <v>1</v>
      </c>
    </row>
    <row r="329" spans="1:14" x14ac:dyDescent="0.3">
      <c r="A329" s="1">
        <v>37809</v>
      </c>
      <c r="B329">
        <v>10138</v>
      </c>
      <c r="C329">
        <v>496</v>
      </c>
      <c r="D329" t="s">
        <v>162</v>
      </c>
      <c r="E329" t="s">
        <v>159</v>
      </c>
      <c r="F329" t="s">
        <v>15</v>
      </c>
      <c r="G329" t="s">
        <v>24</v>
      </c>
      <c r="H329">
        <v>33</v>
      </c>
      <c r="I329" s="2">
        <v>38.53</v>
      </c>
      <c r="J329" s="2">
        <v>20.61</v>
      </c>
      <c r="K329" s="2">
        <v>1271.49</v>
      </c>
      <c r="L329" s="2">
        <v>680.13</v>
      </c>
      <c r="M329" s="2">
        <v>591.36</v>
      </c>
      <c r="N329">
        <v>1</v>
      </c>
    </row>
    <row r="330" spans="1:14" x14ac:dyDescent="0.3">
      <c r="A330" s="1">
        <v>37809</v>
      </c>
      <c r="B330">
        <v>10138</v>
      </c>
      <c r="C330">
        <v>496</v>
      </c>
      <c r="D330" t="s">
        <v>162</v>
      </c>
      <c r="E330" t="s">
        <v>159</v>
      </c>
      <c r="F330" t="s">
        <v>29</v>
      </c>
      <c r="G330" t="s">
        <v>138</v>
      </c>
      <c r="H330">
        <v>28</v>
      </c>
      <c r="I330" s="2">
        <v>73.599999999999994</v>
      </c>
      <c r="J330" s="2">
        <v>47.25</v>
      </c>
      <c r="K330" s="2">
        <v>2060.8000000000002</v>
      </c>
      <c r="L330" s="2">
        <v>1323</v>
      </c>
      <c r="M330" s="2">
        <v>737.8</v>
      </c>
      <c r="N330">
        <v>1</v>
      </c>
    </row>
    <row r="331" spans="1:14" x14ac:dyDescent="0.3">
      <c r="A331" s="1">
        <v>37809</v>
      </c>
      <c r="B331">
        <v>10138</v>
      </c>
      <c r="C331">
        <v>496</v>
      </c>
      <c r="D331" t="s">
        <v>162</v>
      </c>
      <c r="E331" t="s">
        <v>159</v>
      </c>
      <c r="F331" t="s">
        <v>29</v>
      </c>
      <c r="G331" t="s">
        <v>139</v>
      </c>
      <c r="H331">
        <v>30</v>
      </c>
      <c r="I331" s="2">
        <v>96.3</v>
      </c>
      <c r="J331" s="2">
        <v>72.819999999999993</v>
      </c>
      <c r="K331" s="2">
        <v>2889</v>
      </c>
      <c r="L331" s="2">
        <v>2184.6</v>
      </c>
      <c r="M331" s="2">
        <v>704.4</v>
      </c>
      <c r="N331">
        <v>1</v>
      </c>
    </row>
    <row r="332" spans="1:14" x14ac:dyDescent="0.3">
      <c r="A332" s="1">
        <v>37809</v>
      </c>
      <c r="B332">
        <v>10138</v>
      </c>
      <c r="C332">
        <v>496</v>
      </c>
      <c r="D332" t="s">
        <v>162</v>
      </c>
      <c r="E332" t="s">
        <v>159</v>
      </c>
      <c r="F332" t="s">
        <v>29</v>
      </c>
      <c r="G332" t="s">
        <v>140</v>
      </c>
      <c r="H332">
        <v>49</v>
      </c>
      <c r="I332" s="2">
        <v>77.05</v>
      </c>
      <c r="J332" s="2">
        <v>50.51</v>
      </c>
      <c r="K332" s="2">
        <v>3775.45</v>
      </c>
      <c r="L332" s="2">
        <v>2474.9899999999998</v>
      </c>
      <c r="M332" s="2">
        <v>1300.46</v>
      </c>
      <c r="N332">
        <v>1</v>
      </c>
    </row>
    <row r="333" spans="1:14" x14ac:dyDescent="0.3">
      <c r="A333" s="1">
        <v>37809</v>
      </c>
      <c r="B333">
        <v>10138</v>
      </c>
      <c r="C333">
        <v>496</v>
      </c>
      <c r="D333" t="s">
        <v>162</v>
      </c>
      <c r="E333" t="s">
        <v>159</v>
      </c>
      <c r="F333" t="s">
        <v>29</v>
      </c>
      <c r="G333" t="s">
        <v>141</v>
      </c>
      <c r="H333">
        <v>21</v>
      </c>
      <c r="I333" s="2">
        <v>99.58</v>
      </c>
      <c r="J333" s="2">
        <v>62.11</v>
      </c>
      <c r="K333" s="2">
        <v>2091.1799999999998</v>
      </c>
      <c r="L333" s="2">
        <v>1304.31</v>
      </c>
      <c r="M333" s="2">
        <v>786.87</v>
      </c>
      <c r="N333">
        <v>1</v>
      </c>
    </row>
    <row r="334" spans="1:14" x14ac:dyDescent="0.3">
      <c r="A334" s="1">
        <v>37809</v>
      </c>
      <c r="B334">
        <v>10138</v>
      </c>
      <c r="C334">
        <v>496</v>
      </c>
      <c r="D334" t="s">
        <v>162</v>
      </c>
      <c r="E334" t="s">
        <v>159</v>
      </c>
      <c r="F334" t="s">
        <v>15</v>
      </c>
      <c r="G334" t="s">
        <v>19</v>
      </c>
      <c r="H334">
        <v>29</v>
      </c>
      <c r="I334" s="2">
        <v>32.82</v>
      </c>
      <c r="J334" s="2">
        <v>21.75</v>
      </c>
      <c r="K334" s="2">
        <v>951.78</v>
      </c>
      <c r="L334" s="2">
        <v>630.75</v>
      </c>
      <c r="M334" s="2">
        <v>321.02999999999997</v>
      </c>
      <c r="N334">
        <v>1</v>
      </c>
    </row>
    <row r="335" spans="1:14" x14ac:dyDescent="0.3">
      <c r="A335" s="1">
        <v>37812</v>
      </c>
      <c r="B335">
        <v>10137</v>
      </c>
      <c r="C335">
        <v>353</v>
      </c>
      <c r="D335" t="s">
        <v>152</v>
      </c>
      <c r="E335" t="s">
        <v>144</v>
      </c>
      <c r="F335" t="s">
        <v>29</v>
      </c>
      <c r="G335" t="s">
        <v>134</v>
      </c>
      <c r="H335">
        <v>44</v>
      </c>
      <c r="I335" s="2">
        <v>115.73</v>
      </c>
      <c r="J335" s="2">
        <v>65.959999999999994</v>
      </c>
      <c r="K335" s="2">
        <v>5092.12</v>
      </c>
      <c r="L335" s="2">
        <v>2902.24</v>
      </c>
      <c r="M335" s="2">
        <v>2189.88</v>
      </c>
      <c r="N335">
        <v>2</v>
      </c>
    </row>
    <row r="336" spans="1:14" x14ac:dyDescent="0.3">
      <c r="A336" s="1">
        <v>37812</v>
      </c>
      <c r="B336">
        <v>10137</v>
      </c>
      <c r="C336">
        <v>353</v>
      </c>
      <c r="D336" t="s">
        <v>152</v>
      </c>
      <c r="E336" t="s">
        <v>144</v>
      </c>
      <c r="F336" t="s">
        <v>29</v>
      </c>
      <c r="G336" t="s">
        <v>130</v>
      </c>
      <c r="H336">
        <v>37</v>
      </c>
      <c r="I336" s="2">
        <v>110.88</v>
      </c>
      <c r="J336" s="2">
        <v>56.76</v>
      </c>
      <c r="K336" s="2">
        <v>4102.5600000000004</v>
      </c>
      <c r="L336" s="2">
        <v>2100.12</v>
      </c>
      <c r="M336" s="2">
        <v>2002.44</v>
      </c>
      <c r="N336">
        <v>2</v>
      </c>
    </row>
    <row r="337" spans="1:14" x14ac:dyDescent="0.3">
      <c r="A337" s="1">
        <v>37812</v>
      </c>
      <c r="B337">
        <v>10137</v>
      </c>
      <c r="C337">
        <v>353</v>
      </c>
      <c r="D337" t="s">
        <v>152</v>
      </c>
      <c r="E337" t="s">
        <v>144</v>
      </c>
      <c r="F337" t="s">
        <v>29</v>
      </c>
      <c r="G337" t="s">
        <v>131</v>
      </c>
      <c r="H337">
        <v>31</v>
      </c>
      <c r="I337" s="2">
        <v>118.68</v>
      </c>
      <c r="J337" s="2">
        <v>62.16</v>
      </c>
      <c r="K337" s="2">
        <v>3679.08</v>
      </c>
      <c r="L337" s="2">
        <v>1926.96</v>
      </c>
      <c r="M337" s="2">
        <v>1752.12</v>
      </c>
      <c r="N337">
        <v>2</v>
      </c>
    </row>
    <row r="338" spans="1:14" x14ac:dyDescent="0.3">
      <c r="A338" s="1">
        <v>37812</v>
      </c>
      <c r="B338">
        <v>10137</v>
      </c>
      <c r="C338">
        <v>353</v>
      </c>
      <c r="D338" t="s">
        <v>152</v>
      </c>
      <c r="E338" t="s">
        <v>144</v>
      </c>
      <c r="F338" t="s">
        <v>29</v>
      </c>
      <c r="G338" t="s">
        <v>137</v>
      </c>
      <c r="H338">
        <v>26</v>
      </c>
      <c r="I338" s="2">
        <v>40.25</v>
      </c>
      <c r="J338" s="2">
        <v>29.18</v>
      </c>
      <c r="K338" s="2">
        <v>1046.5</v>
      </c>
      <c r="L338" s="2">
        <v>758.68</v>
      </c>
      <c r="M338" s="2">
        <v>287.82</v>
      </c>
      <c r="N338">
        <v>2</v>
      </c>
    </row>
    <row r="339" spans="1:14" x14ac:dyDescent="0.3">
      <c r="A339" s="1">
        <v>37818</v>
      </c>
      <c r="B339">
        <v>10139</v>
      </c>
      <c r="C339">
        <v>282</v>
      </c>
      <c r="D339" t="s">
        <v>214</v>
      </c>
      <c r="E339" t="s">
        <v>151</v>
      </c>
      <c r="F339" t="s">
        <v>15</v>
      </c>
      <c r="G339" t="s">
        <v>25</v>
      </c>
      <c r="H339">
        <v>31</v>
      </c>
      <c r="I339" s="2">
        <v>89.38</v>
      </c>
      <c r="J339" s="2">
        <v>60.62</v>
      </c>
      <c r="K339" s="2">
        <v>2770.78</v>
      </c>
      <c r="L339" s="2">
        <v>1879.22</v>
      </c>
      <c r="M339" s="2">
        <v>891.56</v>
      </c>
      <c r="N339">
        <v>1</v>
      </c>
    </row>
    <row r="340" spans="1:14" x14ac:dyDescent="0.3">
      <c r="A340" s="1">
        <v>37818</v>
      </c>
      <c r="B340">
        <v>10139</v>
      </c>
      <c r="C340">
        <v>282</v>
      </c>
      <c r="D340" t="s">
        <v>214</v>
      </c>
      <c r="E340" t="s">
        <v>151</v>
      </c>
      <c r="F340" t="s">
        <v>15</v>
      </c>
      <c r="G340" t="s">
        <v>26</v>
      </c>
      <c r="H340">
        <v>49</v>
      </c>
      <c r="I340" s="2">
        <v>52.83</v>
      </c>
      <c r="J340" s="2">
        <v>24.26</v>
      </c>
      <c r="K340" s="2">
        <v>2588.67</v>
      </c>
      <c r="L340" s="2">
        <v>1188.74</v>
      </c>
      <c r="M340" s="2">
        <v>1399.93</v>
      </c>
      <c r="N340">
        <v>1</v>
      </c>
    </row>
    <row r="341" spans="1:14" x14ac:dyDescent="0.3">
      <c r="A341" s="1">
        <v>37818</v>
      </c>
      <c r="B341">
        <v>10139</v>
      </c>
      <c r="C341">
        <v>282</v>
      </c>
      <c r="D341" t="s">
        <v>214</v>
      </c>
      <c r="E341" t="s">
        <v>151</v>
      </c>
      <c r="F341" t="s">
        <v>15</v>
      </c>
      <c r="G341" t="s">
        <v>22</v>
      </c>
      <c r="H341">
        <v>41</v>
      </c>
      <c r="I341" s="2">
        <v>151.88</v>
      </c>
      <c r="J341" s="2">
        <v>72.56</v>
      </c>
      <c r="K341" s="2">
        <v>6227.08</v>
      </c>
      <c r="L341" s="2">
        <v>2974.96</v>
      </c>
      <c r="M341" s="2">
        <v>3252.12</v>
      </c>
      <c r="N341">
        <v>1</v>
      </c>
    </row>
    <row r="342" spans="1:14" x14ac:dyDescent="0.3">
      <c r="A342" s="1">
        <v>37818</v>
      </c>
      <c r="B342">
        <v>10139</v>
      </c>
      <c r="C342">
        <v>282</v>
      </c>
      <c r="D342" t="s">
        <v>214</v>
      </c>
      <c r="E342" t="s">
        <v>151</v>
      </c>
      <c r="F342" t="s">
        <v>15</v>
      </c>
      <c r="G342" t="s">
        <v>36</v>
      </c>
      <c r="H342">
        <v>46</v>
      </c>
      <c r="I342" s="2">
        <v>91.18</v>
      </c>
      <c r="J342" s="2">
        <v>60.78</v>
      </c>
      <c r="K342" s="2">
        <v>4194.28</v>
      </c>
      <c r="L342" s="2">
        <v>2795.88</v>
      </c>
      <c r="M342" s="2">
        <v>1398.4</v>
      </c>
      <c r="N342">
        <v>1</v>
      </c>
    </row>
    <row r="343" spans="1:14" x14ac:dyDescent="0.3">
      <c r="A343" s="1">
        <v>37818</v>
      </c>
      <c r="B343">
        <v>10139</v>
      </c>
      <c r="C343">
        <v>282</v>
      </c>
      <c r="D343" t="s">
        <v>214</v>
      </c>
      <c r="E343" t="s">
        <v>151</v>
      </c>
      <c r="F343" t="s">
        <v>15</v>
      </c>
      <c r="G343" t="s">
        <v>37</v>
      </c>
      <c r="H343">
        <v>20</v>
      </c>
      <c r="I343" s="2">
        <v>52.47</v>
      </c>
      <c r="J343" s="2">
        <v>34.35</v>
      </c>
      <c r="K343" s="2">
        <v>1049.4000000000001</v>
      </c>
      <c r="L343" s="2">
        <v>687</v>
      </c>
      <c r="M343" s="2">
        <v>362.4</v>
      </c>
      <c r="N343">
        <v>1</v>
      </c>
    </row>
    <row r="344" spans="1:14" x14ac:dyDescent="0.3">
      <c r="A344" s="1">
        <v>37818</v>
      </c>
      <c r="B344">
        <v>10139</v>
      </c>
      <c r="C344">
        <v>282</v>
      </c>
      <c r="D344" t="s">
        <v>214</v>
      </c>
      <c r="E344" t="s">
        <v>151</v>
      </c>
      <c r="F344" t="s">
        <v>15</v>
      </c>
      <c r="G344" t="s">
        <v>38</v>
      </c>
      <c r="H344">
        <v>20</v>
      </c>
      <c r="I344" s="2">
        <v>101.58</v>
      </c>
      <c r="J344" s="2">
        <v>60.74</v>
      </c>
      <c r="K344" s="2">
        <v>2031.6</v>
      </c>
      <c r="L344" s="2">
        <v>1214.8</v>
      </c>
      <c r="M344" s="2">
        <v>816.8</v>
      </c>
      <c r="N344">
        <v>1</v>
      </c>
    </row>
    <row r="345" spans="1:14" x14ac:dyDescent="0.3">
      <c r="A345" s="1">
        <v>37818</v>
      </c>
      <c r="B345">
        <v>10139</v>
      </c>
      <c r="C345">
        <v>282</v>
      </c>
      <c r="D345" t="s">
        <v>214</v>
      </c>
      <c r="E345" t="s">
        <v>151</v>
      </c>
      <c r="F345" t="s">
        <v>15</v>
      </c>
      <c r="G345" t="s">
        <v>39</v>
      </c>
      <c r="H345">
        <v>30</v>
      </c>
      <c r="I345" s="2">
        <v>81.349999999999994</v>
      </c>
      <c r="J345" s="2">
        <v>57.54</v>
      </c>
      <c r="K345" s="2">
        <v>2440.5</v>
      </c>
      <c r="L345" s="2">
        <v>1726.2</v>
      </c>
      <c r="M345" s="2">
        <v>714.3</v>
      </c>
      <c r="N345">
        <v>1</v>
      </c>
    </row>
    <row r="346" spans="1:14" x14ac:dyDescent="0.3">
      <c r="A346" s="1">
        <v>37818</v>
      </c>
      <c r="B346">
        <v>10139</v>
      </c>
      <c r="C346">
        <v>282</v>
      </c>
      <c r="D346" t="s">
        <v>214</v>
      </c>
      <c r="E346" t="s">
        <v>151</v>
      </c>
      <c r="F346" t="s">
        <v>15</v>
      </c>
      <c r="G346" t="s">
        <v>43</v>
      </c>
      <c r="H346">
        <v>29</v>
      </c>
      <c r="I346" s="2">
        <v>93.49</v>
      </c>
      <c r="J346" s="2">
        <v>57.46</v>
      </c>
      <c r="K346" s="2">
        <v>2711.21</v>
      </c>
      <c r="L346" s="2">
        <v>1666.34</v>
      </c>
      <c r="M346" s="2">
        <v>1044.8699999999999</v>
      </c>
      <c r="N346">
        <v>1</v>
      </c>
    </row>
    <row r="347" spans="1:14" x14ac:dyDescent="0.3">
      <c r="A347" s="1">
        <v>37826</v>
      </c>
      <c r="B347">
        <v>10140</v>
      </c>
      <c r="C347">
        <v>161</v>
      </c>
      <c r="D347" t="s">
        <v>215</v>
      </c>
      <c r="E347" t="s">
        <v>14</v>
      </c>
      <c r="F347" t="s">
        <v>29</v>
      </c>
      <c r="G347" t="s">
        <v>30</v>
      </c>
      <c r="H347">
        <v>37</v>
      </c>
      <c r="I347" s="2">
        <v>186.44</v>
      </c>
      <c r="J347" s="2">
        <v>98.58</v>
      </c>
      <c r="K347" s="2">
        <v>6898.28</v>
      </c>
      <c r="L347" s="2">
        <v>3647.46</v>
      </c>
      <c r="M347" s="2">
        <v>3250.82</v>
      </c>
      <c r="N347">
        <v>1</v>
      </c>
    </row>
    <row r="348" spans="1:14" x14ac:dyDescent="0.3">
      <c r="A348" s="1">
        <v>37826</v>
      </c>
      <c r="B348">
        <v>10140</v>
      </c>
      <c r="C348">
        <v>161</v>
      </c>
      <c r="D348" t="s">
        <v>215</v>
      </c>
      <c r="E348" t="s">
        <v>14</v>
      </c>
      <c r="F348" t="s">
        <v>29</v>
      </c>
      <c r="G348" t="s">
        <v>31</v>
      </c>
      <c r="H348">
        <v>26</v>
      </c>
      <c r="I348" s="2">
        <v>131.49</v>
      </c>
      <c r="J348" s="2">
        <v>103.42</v>
      </c>
      <c r="K348" s="2">
        <v>3418.74</v>
      </c>
      <c r="L348" s="2">
        <v>2688.92</v>
      </c>
      <c r="M348" s="2">
        <v>729.82</v>
      </c>
      <c r="N348">
        <v>1</v>
      </c>
    </row>
    <row r="349" spans="1:14" x14ac:dyDescent="0.3">
      <c r="A349" s="1">
        <v>37826</v>
      </c>
      <c r="B349">
        <v>10140</v>
      </c>
      <c r="C349">
        <v>161</v>
      </c>
      <c r="D349" t="s">
        <v>215</v>
      </c>
      <c r="E349" t="s">
        <v>14</v>
      </c>
      <c r="F349" t="s">
        <v>32</v>
      </c>
      <c r="G349" t="s">
        <v>33</v>
      </c>
      <c r="H349">
        <v>38</v>
      </c>
      <c r="I349" s="2">
        <v>118.9</v>
      </c>
      <c r="J349" s="2">
        <v>77.900000000000006</v>
      </c>
      <c r="K349" s="2">
        <v>4518.2</v>
      </c>
      <c r="L349" s="2">
        <v>2960.2</v>
      </c>
      <c r="M349" s="2">
        <v>1558</v>
      </c>
      <c r="N349">
        <v>1</v>
      </c>
    </row>
    <row r="350" spans="1:14" x14ac:dyDescent="0.3">
      <c r="A350" s="1">
        <v>37826</v>
      </c>
      <c r="B350">
        <v>10140</v>
      </c>
      <c r="C350">
        <v>161</v>
      </c>
      <c r="D350" t="s">
        <v>215</v>
      </c>
      <c r="E350" t="s">
        <v>14</v>
      </c>
      <c r="F350" t="s">
        <v>32</v>
      </c>
      <c r="G350" t="s">
        <v>34</v>
      </c>
      <c r="H350">
        <v>32</v>
      </c>
      <c r="I350" s="2">
        <v>95.67</v>
      </c>
      <c r="J350" s="2">
        <v>58.33</v>
      </c>
      <c r="K350" s="2">
        <v>3061.44</v>
      </c>
      <c r="L350" s="2">
        <v>1866.56</v>
      </c>
      <c r="M350" s="2">
        <v>1194.8800000000001</v>
      </c>
      <c r="N350">
        <v>1</v>
      </c>
    </row>
    <row r="351" spans="1:14" x14ac:dyDescent="0.3">
      <c r="A351" s="1">
        <v>37826</v>
      </c>
      <c r="B351">
        <v>10140</v>
      </c>
      <c r="C351">
        <v>161</v>
      </c>
      <c r="D351" t="s">
        <v>215</v>
      </c>
      <c r="E351" t="s">
        <v>14</v>
      </c>
      <c r="F351" t="s">
        <v>32</v>
      </c>
      <c r="G351" t="s">
        <v>35</v>
      </c>
      <c r="H351">
        <v>46</v>
      </c>
      <c r="I351" s="2">
        <v>51.05</v>
      </c>
      <c r="J351" s="2">
        <v>24.92</v>
      </c>
      <c r="K351" s="2">
        <v>2348.3000000000002</v>
      </c>
      <c r="L351" s="2">
        <v>1146.32</v>
      </c>
      <c r="M351" s="2">
        <v>1201.98</v>
      </c>
      <c r="N351">
        <v>1</v>
      </c>
    </row>
    <row r="352" spans="1:14" x14ac:dyDescent="0.3">
      <c r="A352" s="1">
        <v>37826</v>
      </c>
      <c r="B352">
        <v>10140</v>
      </c>
      <c r="C352">
        <v>161</v>
      </c>
      <c r="D352" t="s">
        <v>215</v>
      </c>
      <c r="E352" t="s">
        <v>14</v>
      </c>
      <c r="F352" t="s">
        <v>32</v>
      </c>
      <c r="G352" t="s">
        <v>40</v>
      </c>
      <c r="H352">
        <v>40</v>
      </c>
      <c r="I352" s="2">
        <v>100.5</v>
      </c>
      <c r="J352" s="2">
        <v>84.76</v>
      </c>
      <c r="K352" s="2">
        <v>4020</v>
      </c>
      <c r="L352" s="2">
        <v>3390.4</v>
      </c>
      <c r="M352" s="2">
        <v>629.6</v>
      </c>
      <c r="N352">
        <v>1</v>
      </c>
    </row>
    <row r="353" spans="1:14" x14ac:dyDescent="0.3">
      <c r="A353" s="1">
        <v>37826</v>
      </c>
      <c r="B353">
        <v>10140</v>
      </c>
      <c r="C353">
        <v>161</v>
      </c>
      <c r="D353" t="s">
        <v>215</v>
      </c>
      <c r="E353" t="s">
        <v>14</v>
      </c>
      <c r="F353" t="s">
        <v>15</v>
      </c>
      <c r="G353" t="s">
        <v>41</v>
      </c>
      <c r="H353">
        <v>29</v>
      </c>
      <c r="I353" s="2">
        <v>40.25</v>
      </c>
      <c r="J353" s="2">
        <v>23.14</v>
      </c>
      <c r="K353" s="2">
        <v>1167.25</v>
      </c>
      <c r="L353" s="2">
        <v>671.06</v>
      </c>
      <c r="M353" s="2">
        <v>496.19</v>
      </c>
      <c r="N353">
        <v>1</v>
      </c>
    </row>
    <row r="354" spans="1:14" x14ac:dyDescent="0.3">
      <c r="A354" s="1">
        <v>37826</v>
      </c>
      <c r="B354">
        <v>10140</v>
      </c>
      <c r="C354">
        <v>161</v>
      </c>
      <c r="D354" t="s">
        <v>215</v>
      </c>
      <c r="E354" t="s">
        <v>14</v>
      </c>
      <c r="F354" t="s">
        <v>32</v>
      </c>
      <c r="G354" t="s">
        <v>42</v>
      </c>
      <c r="H354">
        <v>47</v>
      </c>
      <c r="I354" s="2">
        <v>118.84</v>
      </c>
      <c r="J354" s="2">
        <v>61.34</v>
      </c>
      <c r="K354" s="2">
        <v>5585.48</v>
      </c>
      <c r="L354" s="2">
        <v>2882.98</v>
      </c>
      <c r="M354" s="2">
        <v>2702.5</v>
      </c>
      <c r="N354">
        <v>1</v>
      </c>
    </row>
    <row r="355" spans="1:14" x14ac:dyDescent="0.3">
      <c r="A355" s="1">
        <v>37826</v>
      </c>
      <c r="B355">
        <v>10140</v>
      </c>
      <c r="C355">
        <v>161</v>
      </c>
      <c r="D355" t="s">
        <v>215</v>
      </c>
      <c r="E355" t="s">
        <v>14</v>
      </c>
      <c r="F355" t="s">
        <v>32</v>
      </c>
      <c r="G355" t="s">
        <v>44</v>
      </c>
      <c r="H355">
        <v>26</v>
      </c>
      <c r="I355" s="2">
        <v>87.64</v>
      </c>
      <c r="J355" s="2">
        <v>53.93</v>
      </c>
      <c r="K355" s="2">
        <v>2278.64</v>
      </c>
      <c r="L355" s="2">
        <v>1402.18</v>
      </c>
      <c r="M355" s="2">
        <v>876.46</v>
      </c>
      <c r="N355">
        <v>1</v>
      </c>
    </row>
    <row r="356" spans="1:14" x14ac:dyDescent="0.3">
      <c r="A356" s="1">
        <v>37826</v>
      </c>
      <c r="B356">
        <v>10140</v>
      </c>
      <c r="C356">
        <v>161</v>
      </c>
      <c r="D356" t="s">
        <v>215</v>
      </c>
      <c r="E356" t="s">
        <v>14</v>
      </c>
      <c r="F356" t="s">
        <v>32</v>
      </c>
      <c r="G356" t="s">
        <v>45</v>
      </c>
      <c r="H356">
        <v>28</v>
      </c>
      <c r="I356" s="2">
        <v>62.05</v>
      </c>
      <c r="J356" s="2">
        <v>33.61</v>
      </c>
      <c r="K356" s="2">
        <v>1737.4</v>
      </c>
      <c r="L356" s="2">
        <v>941.08</v>
      </c>
      <c r="M356" s="2">
        <v>796.32</v>
      </c>
      <c r="N356">
        <v>1</v>
      </c>
    </row>
    <row r="357" spans="1:14" x14ac:dyDescent="0.3">
      <c r="A357" s="1">
        <v>37826</v>
      </c>
      <c r="B357">
        <v>10140</v>
      </c>
      <c r="C357">
        <v>161</v>
      </c>
      <c r="D357" t="s">
        <v>215</v>
      </c>
      <c r="E357" t="s">
        <v>14</v>
      </c>
      <c r="F357" t="s">
        <v>29</v>
      </c>
      <c r="G357" t="s">
        <v>46</v>
      </c>
      <c r="H357">
        <v>36</v>
      </c>
      <c r="I357" s="2">
        <v>101.15</v>
      </c>
      <c r="J357" s="2">
        <v>46.53</v>
      </c>
      <c r="K357" s="2">
        <v>3641.4</v>
      </c>
      <c r="L357" s="2">
        <v>1675.08</v>
      </c>
      <c r="M357" s="2">
        <v>1966.32</v>
      </c>
      <c r="N357">
        <v>1</v>
      </c>
    </row>
    <row r="358" spans="1:14" x14ac:dyDescent="0.3">
      <c r="A358" s="1">
        <v>37834</v>
      </c>
      <c r="B358">
        <v>10141</v>
      </c>
      <c r="C358">
        <v>334</v>
      </c>
      <c r="D358" t="s">
        <v>163</v>
      </c>
      <c r="E358" t="s">
        <v>164</v>
      </c>
      <c r="F358" t="s">
        <v>32</v>
      </c>
      <c r="G358" t="s">
        <v>50</v>
      </c>
      <c r="H358">
        <v>21</v>
      </c>
      <c r="I358" s="2">
        <v>114.95</v>
      </c>
      <c r="J358" s="2">
        <v>55.7</v>
      </c>
      <c r="K358" s="2">
        <v>2413.9499999999998</v>
      </c>
      <c r="L358" s="2">
        <v>1169.7</v>
      </c>
      <c r="M358" s="2">
        <v>1244.25</v>
      </c>
      <c r="N358">
        <v>1</v>
      </c>
    </row>
    <row r="359" spans="1:14" x14ac:dyDescent="0.3">
      <c r="A359" s="1">
        <v>37834</v>
      </c>
      <c r="B359">
        <v>10141</v>
      </c>
      <c r="C359">
        <v>334</v>
      </c>
      <c r="D359" t="s">
        <v>163</v>
      </c>
      <c r="E359" t="s">
        <v>164</v>
      </c>
      <c r="F359" t="s">
        <v>29</v>
      </c>
      <c r="G359" t="s">
        <v>51</v>
      </c>
      <c r="H359">
        <v>39</v>
      </c>
      <c r="I359" s="2">
        <v>160.46</v>
      </c>
      <c r="J359" s="2">
        <v>101.51</v>
      </c>
      <c r="K359" s="2">
        <v>6257.94</v>
      </c>
      <c r="L359" s="2">
        <v>3958.89</v>
      </c>
      <c r="M359" s="2">
        <v>2299.0500000000002</v>
      </c>
      <c r="N359">
        <v>1</v>
      </c>
    </row>
    <row r="360" spans="1:14" x14ac:dyDescent="0.3">
      <c r="A360" s="1">
        <v>37834</v>
      </c>
      <c r="B360">
        <v>10141</v>
      </c>
      <c r="C360">
        <v>334</v>
      </c>
      <c r="D360" t="s">
        <v>163</v>
      </c>
      <c r="E360" t="s">
        <v>164</v>
      </c>
      <c r="F360" t="s">
        <v>32</v>
      </c>
      <c r="G360" t="s">
        <v>52</v>
      </c>
      <c r="H360">
        <v>47</v>
      </c>
      <c r="I360" s="2">
        <v>103.09</v>
      </c>
      <c r="J360" s="2">
        <v>74.86</v>
      </c>
      <c r="K360" s="2">
        <v>4845.2299999999996</v>
      </c>
      <c r="L360" s="2">
        <v>3518.42</v>
      </c>
      <c r="M360" s="2">
        <v>1326.81</v>
      </c>
      <c r="N360">
        <v>1</v>
      </c>
    </row>
    <row r="361" spans="1:14" x14ac:dyDescent="0.3">
      <c r="A361" s="1">
        <v>37834</v>
      </c>
      <c r="B361">
        <v>10141</v>
      </c>
      <c r="C361">
        <v>334</v>
      </c>
      <c r="D361" t="s">
        <v>163</v>
      </c>
      <c r="E361" t="s">
        <v>164</v>
      </c>
      <c r="F361" t="s">
        <v>29</v>
      </c>
      <c r="G361" t="s">
        <v>53</v>
      </c>
      <c r="H361">
        <v>34</v>
      </c>
      <c r="I361" s="2">
        <v>143.94</v>
      </c>
      <c r="J361" s="2">
        <v>77.900000000000006</v>
      </c>
      <c r="K361" s="2">
        <v>4893.96</v>
      </c>
      <c r="L361" s="2">
        <v>2648.6</v>
      </c>
      <c r="M361" s="2">
        <v>2245.36</v>
      </c>
      <c r="N361">
        <v>1</v>
      </c>
    </row>
    <row r="362" spans="1:14" x14ac:dyDescent="0.3">
      <c r="A362" s="1">
        <v>37834</v>
      </c>
      <c r="B362">
        <v>10141</v>
      </c>
      <c r="C362">
        <v>334</v>
      </c>
      <c r="D362" t="s">
        <v>163</v>
      </c>
      <c r="E362" t="s">
        <v>164</v>
      </c>
      <c r="F362" t="s">
        <v>29</v>
      </c>
      <c r="G362" t="s">
        <v>55</v>
      </c>
      <c r="H362">
        <v>20</v>
      </c>
      <c r="I362" s="2">
        <v>50.86</v>
      </c>
      <c r="J362" s="2">
        <v>32.369999999999997</v>
      </c>
      <c r="K362" s="2">
        <v>1017.2</v>
      </c>
      <c r="L362" s="2">
        <v>647.4</v>
      </c>
      <c r="M362" s="2">
        <v>369.8</v>
      </c>
      <c r="N362">
        <v>1</v>
      </c>
    </row>
    <row r="363" spans="1:14" x14ac:dyDescent="0.3">
      <c r="A363" s="1">
        <v>37834</v>
      </c>
      <c r="B363">
        <v>10141</v>
      </c>
      <c r="C363">
        <v>334</v>
      </c>
      <c r="D363" t="s">
        <v>163</v>
      </c>
      <c r="E363" t="s">
        <v>164</v>
      </c>
      <c r="F363" t="s">
        <v>29</v>
      </c>
      <c r="G363" t="s">
        <v>56</v>
      </c>
      <c r="H363">
        <v>21</v>
      </c>
      <c r="I363" s="2">
        <v>32.18</v>
      </c>
      <c r="J363" s="2">
        <v>15.91</v>
      </c>
      <c r="K363" s="2">
        <v>675.78</v>
      </c>
      <c r="L363" s="2">
        <v>334.11</v>
      </c>
      <c r="M363" s="2">
        <v>341.67</v>
      </c>
      <c r="N363">
        <v>1</v>
      </c>
    </row>
    <row r="364" spans="1:14" x14ac:dyDescent="0.3">
      <c r="A364" s="1">
        <v>37834</v>
      </c>
      <c r="B364">
        <v>10141</v>
      </c>
      <c r="C364">
        <v>334</v>
      </c>
      <c r="D364" t="s">
        <v>163</v>
      </c>
      <c r="E364" t="s">
        <v>164</v>
      </c>
      <c r="F364" t="s">
        <v>29</v>
      </c>
      <c r="G364" t="s">
        <v>57</v>
      </c>
      <c r="H364">
        <v>40</v>
      </c>
      <c r="I364" s="2">
        <v>104.09</v>
      </c>
      <c r="J364" s="2">
        <v>69.78</v>
      </c>
      <c r="K364" s="2">
        <v>4163.6000000000004</v>
      </c>
      <c r="L364" s="2">
        <v>2791.2</v>
      </c>
      <c r="M364" s="2">
        <v>1372.4</v>
      </c>
      <c r="N364">
        <v>1</v>
      </c>
    </row>
    <row r="365" spans="1:14" x14ac:dyDescent="0.3">
      <c r="A365" s="1">
        <v>37834</v>
      </c>
      <c r="B365">
        <v>10141</v>
      </c>
      <c r="C365">
        <v>334</v>
      </c>
      <c r="D365" t="s">
        <v>163</v>
      </c>
      <c r="E365" t="s">
        <v>164</v>
      </c>
      <c r="F365" t="s">
        <v>32</v>
      </c>
      <c r="G365" t="s">
        <v>58</v>
      </c>
      <c r="H365">
        <v>24</v>
      </c>
      <c r="I365" s="2">
        <v>53.03</v>
      </c>
      <c r="J365" s="2">
        <v>25.98</v>
      </c>
      <c r="K365" s="2">
        <v>1272.72</v>
      </c>
      <c r="L365" s="2">
        <v>623.52</v>
      </c>
      <c r="M365" s="2">
        <v>649.20000000000005</v>
      </c>
      <c r="N365">
        <v>1</v>
      </c>
    </row>
    <row r="366" spans="1:14" x14ac:dyDescent="0.3">
      <c r="A366" s="1">
        <v>37834</v>
      </c>
      <c r="B366">
        <v>10141</v>
      </c>
      <c r="C366">
        <v>334</v>
      </c>
      <c r="D366" t="s">
        <v>163</v>
      </c>
      <c r="E366" t="s">
        <v>164</v>
      </c>
      <c r="F366" t="s">
        <v>32</v>
      </c>
      <c r="G366" t="s">
        <v>61</v>
      </c>
      <c r="H366">
        <v>44</v>
      </c>
      <c r="I366" s="2">
        <v>94.92</v>
      </c>
      <c r="J366" s="2">
        <v>68.290000000000006</v>
      </c>
      <c r="K366" s="2">
        <v>4176.4799999999996</v>
      </c>
      <c r="L366" s="2">
        <v>3004.76</v>
      </c>
      <c r="M366" s="2">
        <v>1171.72</v>
      </c>
      <c r="N366">
        <v>1</v>
      </c>
    </row>
    <row r="367" spans="1:14" x14ac:dyDescent="0.3">
      <c r="A367" s="1">
        <v>37841</v>
      </c>
      <c r="B367">
        <v>10142</v>
      </c>
      <c r="C367">
        <v>124</v>
      </c>
      <c r="D367" t="s">
        <v>206</v>
      </c>
      <c r="E367" t="s">
        <v>14</v>
      </c>
      <c r="F367" t="s">
        <v>29</v>
      </c>
      <c r="G367" t="s">
        <v>66</v>
      </c>
      <c r="H367">
        <v>33</v>
      </c>
      <c r="I367" s="2">
        <v>166.24</v>
      </c>
      <c r="J367" s="2">
        <v>95.59</v>
      </c>
      <c r="K367" s="2">
        <v>5485.92</v>
      </c>
      <c r="L367" s="2">
        <v>3154.47</v>
      </c>
      <c r="M367" s="2">
        <v>2331.4499999999998</v>
      </c>
      <c r="N367">
        <v>3</v>
      </c>
    </row>
    <row r="368" spans="1:14" x14ac:dyDescent="0.3">
      <c r="A368" s="1">
        <v>37841</v>
      </c>
      <c r="B368">
        <v>10142</v>
      </c>
      <c r="C368">
        <v>124</v>
      </c>
      <c r="D368" t="s">
        <v>206</v>
      </c>
      <c r="E368" t="s">
        <v>14</v>
      </c>
      <c r="F368" t="s">
        <v>29</v>
      </c>
      <c r="G368" t="s">
        <v>49</v>
      </c>
      <c r="H368">
        <v>33</v>
      </c>
      <c r="I368" s="2">
        <v>140.5</v>
      </c>
      <c r="J368" s="2">
        <v>89.14</v>
      </c>
      <c r="K368" s="2">
        <v>4636.5</v>
      </c>
      <c r="L368" s="2">
        <v>2941.62</v>
      </c>
      <c r="M368" s="2">
        <v>1694.88</v>
      </c>
      <c r="N368">
        <v>3</v>
      </c>
    </row>
    <row r="369" spans="1:14" x14ac:dyDescent="0.3">
      <c r="A369" s="1">
        <v>37841</v>
      </c>
      <c r="B369">
        <v>10142</v>
      </c>
      <c r="C369">
        <v>124</v>
      </c>
      <c r="D369" t="s">
        <v>206</v>
      </c>
      <c r="E369" t="s">
        <v>14</v>
      </c>
      <c r="F369" t="s">
        <v>29</v>
      </c>
      <c r="G369" t="s">
        <v>67</v>
      </c>
      <c r="H369">
        <v>46</v>
      </c>
      <c r="I369" s="2">
        <v>167.83</v>
      </c>
      <c r="J369" s="2">
        <v>83.05</v>
      </c>
      <c r="K369" s="2">
        <v>7720.18</v>
      </c>
      <c r="L369" s="2">
        <v>3820.3</v>
      </c>
      <c r="M369" s="2">
        <v>3899.88</v>
      </c>
      <c r="N369">
        <v>3</v>
      </c>
    </row>
    <row r="370" spans="1:14" x14ac:dyDescent="0.3">
      <c r="A370" s="1">
        <v>37841</v>
      </c>
      <c r="B370">
        <v>10142</v>
      </c>
      <c r="C370">
        <v>124</v>
      </c>
      <c r="D370" t="s">
        <v>206</v>
      </c>
      <c r="E370" t="s">
        <v>14</v>
      </c>
      <c r="F370" t="s">
        <v>15</v>
      </c>
      <c r="G370" t="s">
        <v>68</v>
      </c>
      <c r="H370">
        <v>47</v>
      </c>
      <c r="I370" s="2">
        <v>129.76</v>
      </c>
      <c r="J370" s="2">
        <v>68.3</v>
      </c>
      <c r="K370" s="2">
        <v>6098.72</v>
      </c>
      <c r="L370" s="2">
        <v>3210.1</v>
      </c>
      <c r="M370" s="2">
        <v>2888.62</v>
      </c>
      <c r="N370">
        <v>3</v>
      </c>
    </row>
    <row r="371" spans="1:14" x14ac:dyDescent="0.3">
      <c r="A371" s="1">
        <v>37841</v>
      </c>
      <c r="B371">
        <v>10142</v>
      </c>
      <c r="C371">
        <v>124</v>
      </c>
      <c r="D371" t="s">
        <v>206</v>
      </c>
      <c r="E371" t="s">
        <v>14</v>
      </c>
      <c r="F371" t="s">
        <v>59</v>
      </c>
      <c r="G371" t="s">
        <v>69</v>
      </c>
      <c r="H371">
        <v>22</v>
      </c>
      <c r="I371" s="2">
        <v>95.8</v>
      </c>
      <c r="J371" s="2">
        <v>67.56</v>
      </c>
      <c r="K371" s="2">
        <v>2107.6</v>
      </c>
      <c r="L371" s="2">
        <v>1486.32</v>
      </c>
      <c r="M371" s="2">
        <v>621.28</v>
      </c>
      <c r="N371">
        <v>3</v>
      </c>
    </row>
    <row r="372" spans="1:14" x14ac:dyDescent="0.3">
      <c r="A372" s="1">
        <v>37841</v>
      </c>
      <c r="B372">
        <v>10142</v>
      </c>
      <c r="C372">
        <v>124</v>
      </c>
      <c r="D372" t="s">
        <v>206</v>
      </c>
      <c r="E372" t="s">
        <v>14</v>
      </c>
      <c r="F372" t="s">
        <v>29</v>
      </c>
      <c r="G372" t="s">
        <v>54</v>
      </c>
      <c r="H372">
        <v>24</v>
      </c>
      <c r="I372" s="2">
        <v>122.08</v>
      </c>
      <c r="J372" s="2">
        <v>91.92</v>
      </c>
      <c r="K372" s="2">
        <v>2929.92</v>
      </c>
      <c r="L372" s="2">
        <v>2206.08</v>
      </c>
      <c r="M372" s="2">
        <v>723.84</v>
      </c>
      <c r="N372">
        <v>3</v>
      </c>
    </row>
    <row r="373" spans="1:14" x14ac:dyDescent="0.3">
      <c r="A373" s="1">
        <v>37841</v>
      </c>
      <c r="B373">
        <v>10142</v>
      </c>
      <c r="C373">
        <v>124</v>
      </c>
      <c r="D373" t="s">
        <v>206</v>
      </c>
      <c r="E373" t="s">
        <v>14</v>
      </c>
      <c r="F373" t="s">
        <v>15</v>
      </c>
      <c r="G373" t="s">
        <v>70</v>
      </c>
      <c r="H373">
        <v>24</v>
      </c>
      <c r="I373" s="2">
        <v>79.87</v>
      </c>
      <c r="J373" s="2">
        <v>52.66</v>
      </c>
      <c r="K373" s="2">
        <v>1916.88</v>
      </c>
      <c r="L373" s="2">
        <v>1263.8399999999999</v>
      </c>
      <c r="M373" s="2">
        <v>653.04</v>
      </c>
      <c r="N373">
        <v>3</v>
      </c>
    </row>
    <row r="374" spans="1:14" x14ac:dyDescent="0.3">
      <c r="A374" s="1">
        <v>37841</v>
      </c>
      <c r="B374">
        <v>10142</v>
      </c>
      <c r="C374">
        <v>124</v>
      </c>
      <c r="D374" t="s">
        <v>206</v>
      </c>
      <c r="E374" t="s">
        <v>14</v>
      </c>
      <c r="F374" t="s">
        <v>71</v>
      </c>
      <c r="G374" t="s">
        <v>72</v>
      </c>
      <c r="H374">
        <v>33</v>
      </c>
      <c r="I374" s="2">
        <v>114.29</v>
      </c>
      <c r="J374" s="2">
        <v>82.34</v>
      </c>
      <c r="K374" s="2">
        <v>3771.57</v>
      </c>
      <c r="L374" s="2">
        <v>2717.22</v>
      </c>
      <c r="M374" s="2">
        <v>1054.3499999999999</v>
      </c>
      <c r="N374">
        <v>3</v>
      </c>
    </row>
    <row r="375" spans="1:14" x14ac:dyDescent="0.3">
      <c r="A375" s="1">
        <v>37841</v>
      </c>
      <c r="B375">
        <v>10142</v>
      </c>
      <c r="C375">
        <v>124</v>
      </c>
      <c r="D375" t="s">
        <v>206</v>
      </c>
      <c r="E375" t="s">
        <v>14</v>
      </c>
      <c r="F375" t="s">
        <v>15</v>
      </c>
      <c r="G375" t="s">
        <v>73</v>
      </c>
      <c r="H375">
        <v>49</v>
      </c>
      <c r="I375" s="2">
        <v>74.349999999999994</v>
      </c>
      <c r="J375" s="2">
        <v>46.91</v>
      </c>
      <c r="K375" s="2">
        <v>3643.15</v>
      </c>
      <c r="L375" s="2">
        <v>2298.59</v>
      </c>
      <c r="M375" s="2">
        <v>1344.56</v>
      </c>
      <c r="N375">
        <v>3</v>
      </c>
    </row>
    <row r="376" spans="1:14" x14ac:dyDescent="0.3">
      <c r="A376" s="1">
        <v>37841</v>
      </c>
      <c r="B376">
        <v>10142</v>
      </c>
      <c r="C376">
        <v>124</v>
      </c>
      <c r="D376" t="s">
        <v>206</v>
      </c>
      <c r="E376" t="s">
        <v>14</v>
      </c>
      <c r="F376" t="s">
        <v>59</v>
      </c>
      <c r="G376" t="s">
        <v>60</v>
      </c>
      <c r="H376">
        <v>42</v>
      </c>
      <c r="I376" s="2">
        <v>60.9</v>
      </c>
      <c r="J376" s="2">
        <v>26.72</v>
      </c>
      <c r="K376" s="2">
        <v>2557.8000000000002</v>
      </c>
      <c r="L376" s="2">
        <v>1122.24</v>
      </c>
      <c r="M376" s="2">
        <v>1435.56</v>
      </c>
      <c r="N376">
        <v>3</v>
      </c>
    </row>
    <row r="377" spans="1:14" x14ac:dyDescent="0.3">
      <c r="A377" s="1">
        <v>37841</v>
      </c>
      <c r="B377">
        <v>10142</v>
      </c>
      <c r="C377">
        <v>124</v>
      </c>
      <c r="D377" t="s">
        <v>206</v>
      </c>
      <c r="E377" t="s">
        <v>14</v>
      </c>
      <c r="F377" t="s">
        <v>59</v>
      </c>
      <c r="G377" t="s">
        <v>62</v>
      </c>
      <c r="H377">
        <v>42</v>
      </c>
      <c r="I377" s="2">
        <v>56.24</v>
      </c>
      <c r="J377" s="2">
        <v>37.49</v>
      </c>
      <c r="K377" s="2">
        <v>2362.08</v>
      </c>
      <c r="L377" s="2">
        <v>1574.58</v>
      </c>
      <c r="M377" s="2">
        <v>787.5</v>
      </c>
      <c r="N377">
        <v>3</v>
      </c>
    </row>
    <row r="378" spans="1:14" x14ac:dyDescent="0.3">
      <c r="A378" s="1">
        <v>37841</v>
      </c>
      <c r="B378">
        <v>10142</v>
      </c>
      <c r="C378">
        <v>124</v>
      </c>
      <c r="D378" t="s">
        <v>206</v>
      </c>
      <c r="E378" t="s">
        <v>14</v>
      </c>
      <c r="F378" t="s">
        <v>71</v>
      </c>
      <c r="G378" t="s">
        <v>75</v>
      </c>
      <c r="H378">
        <v>41</v>
      </c>
      <c r="I378" s="2">
        <v>55.34</v>
      </c>
      <c r="J378" s="2">
        <v>34</v>
      </c>
      <c r="K378" s="2">
        <v>2268.94</v>
      </c>
      <c r="L378" s="2">
        <v>1394</v>
      </c>
      <c r="M378" s="2">
        <v>874.94</v>
      </c>
      <c r="N378">
        <v>3</v>
      </c>
    </row>
    <row r="379" spans="1:14" x14ac:dyDescent="0.3">
      <c r="A379" s="1">
        <v>37841</v>
      </c>
      <c r="B379">
        <v>10142</v>
      </c>
      <c r="C379">
        <v>124</v>
      </c>
      <c r="D379" t="s">
        <v>206</v>
      </c>
      <c r="E379" t="s">
        <v>14</v>
      </c>
      <c r="F379" t="s">
        <v>71</v>
      </c>
      <c r="G379" t="s">
        <v>76</v>
      </c>
      <c r="H379">
        <v>43</v>
      </c>
      <c r="I379" s="2">
        <v>77.08</v>
      </c>
      <c r="J379" s="2">
        <v>43.3</v>
      </c>
      <c r="K379" s="2">
        <v>3314.44</v>
      </c>
      <c r="L379" s="2">
        <v>1861.9</v>
      </c>
      <c r="M379" s="2">
        <v>1452.54</v>
      </c>
      <c r="N379">
        <v>3</v>
      </c>
    </row>
    <row r="380" spans="1:14" x14ac:dyDescent="0.3">
      <c r="A380" s="1">
        <v>37841</v>
      </c>
      <c r="B380">
        <v>10142</v>
      </c>
      <c r="C380">
        <v>124</v>
      </c>
      <c r="D380" t="s">
        <v>206</v>
      </c>
      <c r="E380" t="s">
        <v>14</v>
      </c>
      <c r="F380" t="s">
        <v>71</v>
      </c>
      <c r="G380" t="s">
        <v>78</v>
      </c>
      <c r="H380">
        <v>21</v>
      </c>
      <c r="I380" s="2">
        <v>92.16</v>
      </c>
      <c r="J380" s="2">
        <v>51.09</v>
      </c>
      <c r="K380" s="2">
        <v>1935.36</v>
      </c>
      <c r="L380" s="2">
        <v>1072.8900000000001</v>
      </c>
      <c r="M380" s="2">
        <v>862.47</v>
      </c>
      <c r="N380">
        <v>3</v>
      </c>
    </row>
    <row r="381" spans="1:14" x14ac:dyDescent="0.3">
      <c r="A381" s="1">
        <v>37841</v>
      </c>
      <c r="B381">
        <v>10142</v>
      </c>
      <c r="C381">
        <v>124</v>
      </c>
      <c r="D381" t="s">
        <v>206</v>
      </c>
      <c r="E381" t="s">
        <v>14</v>
      </c>
      <c r="F381" t="s">
        <v>71</v>
      </c>
      <c r="G381" t="s">
        <v>79</v>
      </c>
      <c r="H381">
        <v>38</v>
      </c>
      <c r="I381" s="2">
        <v>91.37</v>
      </c>
      <c r="J381" s="2">
        <v>53.63</v>
      </c>
      <c r="K381" s="2">
        <v>3472.06</v>
      </c>
      <c r="L381" s="2">
        <v>2037.94</v>
      </c>
      <c r="M381" s="2">
        <v>1434.12</v>
      </c>
      <c r="N381">
        <v>3</v>
      </c>
    </row>
    <row r="382" spans="1:14" x14ac:dyDescent="0.3">
      <c r="A382" s="1">
        <v>37841</v>
      </c>
      <c r="B382">
        <v>10142</v>
      </c>
      <c r="C382">
        <v>124</v>
      </c>
      <c r="D382" t="s">
        <v>206</v>
      </c>
      <c r="E382" t="s">
        <v>14</v>
      </c>
      <c r="F382" t="s">
        <v>71</v>
      </c>
      <c r="G382" t="s">
        <v>80</v>
      </c>
      <c r="H382">
        <v>39</v>
      </c>
      <c r="I382" s="2">
        <v>46.96</v>
      </c>
      <c r="J382" s="2">
        <v>33.299999999999997</v>
      </c>
      <c r="K382" s="2">
        <v>1831.44</v>
      </c>
      <c r="L382" s="2">
        <v>1298.7</v>
      </c>
      <c r="M382" s="2">
        <v>532.74</v>
      </c>
      <c r="N382">
        <v>3</v>
      </c>
    </row>
    <row r="383" spans="1:14" x14ac:dyDescent="0.3">
      <c r="A383" s="1">
        <v>37843</v>
      </c>
      <c r="B383">
        <v>10143</v>
      </c>
      <c r="C383">
        <v>320</v>
      </c>
      <c r="D383" t="s">
        <v>216</v>
      </c>
      <c r="E383" t="s">
        <v>14</v>
      </c>
      <c r="F383" t="s">
        <v>29</v>
      </c>
      <c r="G383" t="s">
        <v>65</v>
      </c>
      <c r="H383">
        <v>49</v>
      </c>
      <c r="I383" s="2">
        <v>133.28</v>
      </c>
      <c r="J383" s="2">
        <v>85.68</v>
      </c>
      <c r="K383" s="2">
        <v>6530.72</v>
      </c>
      <c r="L383" s="2">
        <v>4198.32</v>
      </c>
      <c r="M383" s="2">
        <v>2332.4</v>
      </c>
      <c r="N383">
        <v>1</v>
      </c>
    </row>
    <row r="384" spans="1:14" x14ac:dyDescent="0.3">
      <c r="A384" s="1">
        <v>37843</v>
      </c>
      <c r="B384">
        <v>10143</v>
      </c>
      <c r="C384">
        <v>320</v>
      </c>
      <c r="D384" t="s">
        <v>216</v>
      </c>
      <c r="E384" t="s">
        <v>14</v>
      </c>
      <c r="F384" t="s">
        <v>83</v>
      </c>
      <c r="G384" t="s">
        <v>84</v>
      </c>
      <c r="H384">
        <v>32</v>
      </c>
      <c r="I384" s="2">
        <v>126.15</v>
      </c>
      <c r="J384" s="2">
        <v>77.27</v>
      </c>
      <c r="K384" s="2">
        <v>4036.8</v>
      </c>
      <c r="L384" s="2">
        <v>2472.64</v>
      </c>
      <c r="M384" s="2">
        <v>1564.16</v>
      </c>
      <c r="N384">
        <v>1</v>
      </c>
    </row>
    <row r="385" spans="1:14" x14ac:dyDescent="0.3">
      <c r="A385" s="1">
        <v>37843</v>
      </c>
      <c r="B385">
        <v>10143</v>
      </c>
      <c r="C385">
        <v>320</v>
      </c>
      <c r="D385" t="s">
        <v>216</v>
      </c>
      <c r="E385" t="s">
        <v>14</v>
      </c>
      <c r="F385" t="s">
        <v>71</v>
      </c>
      <c r="G385" t="s">
        <v>86</v>
      </c>
      <c r="H385">
        <v>46</v>
      </c>
      <c r="I385" s="2">
        <v>70.540000000000006</v>
      </c>
      <c r="J385" s="2">
        <v>51.61</v>
      </c>
      <c r="K385" s="2">
        <v>3244.84</v>
      </c>
      <c r="L385" s="2">
        <v>2374.06</v>
      </c>
      <c r="M385" s="2">
        <v>870.78</v>
      </c>
      <c r="N385">
        <v>1</v>
      </c>
    </row>
    <row r="386" spans="1:14" x14ac:dyDescent="0.3">
      <c r="A386" s="1">
        <v>37843</v>
      </c>
      <c r="B386">
        <v>10143</v>
      </c>
      <c r="C386">
        <v>320</v>
      </c>
      <c r="D386" t="s">
        <v>216</v>
      </c>
      <c r="E386" t="s">
        <v>14</v>
      </c>
      <c r="F386" t="s">
        <v>15</v>
      </c>
      <c r="G386" t="s">
        <v>87</v>
      </c>
      <c r="H386">
        <v>34</v>
      </c>
      <c r="I386" s="2">
        <v>99.52</v>
      </c>
      <c r="J386" s="2">
        <v>64.58</v>
      </c>
      <c r="K386" s="2">
        <v>3383.68</v>
      </c>
      <c r="L386" s="2">
        <v>2195.7199999999998</v>
      </c>
      <c r="M386" s="2">
        <v>1187.96</v>
      </c>
      <c r="N386">
        <v>1</v>
      </c>
    </row>
    <row r="387" spans="1:14" x14ac:dyDescent="0.3">
      <c r="A387" s="1">
        <v>37843</v>
      </c>
      <c r="B387">
        <v>10143</v>
      </c>
      <c r="C387">
        <v>320</v>
      </c>
      <c r="D387" t="s">
        <v>216</v>
      </c>
      <c r="E387" t="s">
        <v>14</v>
      </c>
      <c r="F387" t="s">
        <v>83</v>
      </c>
      <c r="G387" t="s">
        <v>89</v>
      </c>
      <c r="H387">
        <v>27</v>
      </c>
      <c r="I387" s="2">
        <v>63.71</v>
      </c>
      <c r="J387" s="2">
        <v>34.25</v>
      </c>
      <c r="K387" s="2">
        <v>1720.17</v>
      </c>
      <c r="L387" s="2">
        <v>924.75</v>
      </c>
      <c r="M387" s="2">
        <v>795.42</v>
      </c>
      <c r="N387">
        <v>1</v>
      </c>
    </row>
    <row r="388" spans="1:14" x14ac:dyDescent="0.3">
      <c r="A388" s="1">
        <v>37843</v>
      </c>
      <c r="B388">
        <v>10143</v>
      </c>
      <c r="C388">
        <v>320</v>
      </c>
      <c r="D388" t="s">
        <v>216</v>
      </c>
      <c r="E388" t="s">
        <v>14</v>
      </c>
      <c r="F388" t="s">
        <v>15</v>
      </c>
      <c r="G388" t="s">
        <v>90</v>
      </c>
      <c r="H388">
        <v>33</v>
      </c>
      <c r="I388" s="2">
        <v>59.83</v>
      </c>
      <c r="J388" s="2">
        <v>26.3</v>
      </c>
      <c r="K388" s="2">
        <v>1974.39</v>
      </c>
      <c r="L388" s="2">
        <v>867.9</v>
      </c>
      <c r="M388" s="2">
        <v>1106.49</v>
      </c>
      <c r="N388">
        <v>1</v>
      </c>
    </row>
    <row r="389" spans="1:14" x14ac:dyDescent="0.3">
      <c r="A389" s="1">
        <v>37843</v>
      </c>
      <c r="B389">
        <v>10143</v>
      </c>
      <c r="C389">
        <v>320</v>
      </c>
      <c r="D389" t="s">
        <v>216</v>
      </c>
      <c r="E389" t="s">
        <v>14</v>
      </c>
      <c r="F389" t="s">
        <v>15</v>
      </c>
      <c r="G389" t="s">
        <v>74</v>
      </c>
      <c r="H389">
        <v>23</v>
      </c>
      <c r="I389" s="2">
        <v>74.64</v>
      </c>
      <c r="J389" s="2">
        <v>48.64</v>
      </c>
      <c r="K389" s="2">
        <v>1716.72</v>
      </c>
      <c r="L389" s="2">
        <v>1118.72</v>
      </c>
      <c r="M389" s="2">
        <v>598</v>
      </c>
      <c r="N389">
        <v>1</v>
      </c>
    </row>
    <row r="390" spans="1:14" x14ac:dyDescent="0.3">
      <c r="A390" s="1">
        <v>37843</v>
      </c>
      <c r="B390">
        <v>10143</v>
      </c>
      <c r="C390">
        <v>320</v>
      </c>
      <c r="D390" t="s">
        <v>216</v>
      </c>
      <c r="E390" t="s">
        <v>14</v>
      </c>
      <c r="F390" t="s">
        <v>83</v>
      </c>
      <c r="G390" t="s">
        <v>91</v>
      </c>
      <c r="H390">
        <v>28</v>
      </c>
      <c r="I390" s="2">
        <v>55.96</v>
      </c>
      <c r="J390" s="2">
        <v>29.34</v>
      </c>
      <c r="K390" s="2">
        <v>1566.88</v>
      </c>
      <c r="L390" s="2">
        <v>821.52</v>
      </c>
      <c r="M390" s="2">
        <v>745.36</v>
      </c>
      <c r="N390">
        <v>1</v>
      </c>
    </row>
    <row r="391" spans="1:14" x14ac:dyDescent="0.3">
      <c r="A391" s="1">
        <v>37843</v>
      </c>
      <c r="B391">
        <v>10143</v>
      </c>
      <c r="C391">
        <v>320</v>
      </c>
      <c r="D391" t="s">
        <v>216</v>
      </c>
      <c r="E391" t="s">
        <v>14</v>
      </c>
      <c r="F391" t="s">
        <v>15</v>
      </c>
      <c r="G391" t="s">
        <v>94</v>
      </c>
      <c r="H391">
        <v>34</v>
      </c>
      <c r="I391" s="2">
        <v>34.909999999999997</v>
      </c>
      <c r="J391" s="2">
        <v>27.06</v>
      </c>
      <c r="K391" s="2">
        <v>1186.94</v>
      </c>
      <c r="L391" s="2">
        <v>920.04</v>
      </c>
      <c r="M391" s="2">
        <v>266.89999999999998</v>
      </c>
      <c r="N391">
        <v>1</v>
      </c>
    </row>
    <row r="392" spans="1:14" x14ac:dyDescent="0.3">
      <c r="A392" s="1">
        <v>37843</v>
      </c>
      <c r="B392">
        <v>10143</v>
      </c>
      <c r="C392">
        <v>320</v>
      </c>
      <c r="D392" t="s">
        <v>216</v>
      </c>
      <c r="E392" t="s">
        <v>14</v>
      </c>
      <c r="F392" t="s">
        <v>83</v>
      </c>
      <c r="G392" t="s">
        <v>95</v>
      </c>
      <c r="H392">
        <v>36</v>
      </c>
      <c r="I392" s="2">
        <v>86.77</v>
      </c>
      <c r="J392" s="2">
        <v>51.15</v>
      </c>
      <c r="K392" s="2">
        <v>3123.72</v>
      </c>
      <c r="L392" s="2">
        <v>1841.4</v>
      </c>
      <c r="M392" s="2">
        <v>1282.32</v>
      </c>
      <c r="N392">
        <v>1</v>
      </c>
    </row>
    <row r="393" spans="1:14" x14ac:dyDescent="0.3">
      <c r="A393" s="1">
        <v>37843</v>
      </c>
      <c r="B393">
        <v>10143</v>
      </c>
      <c r="C393">
        <v>320</v>
      </c>
      <c r="D393" t="s">
        <v>216</v>
      </c>
      <c r="E393" t="s">
        <v>14</v>
      </c>
      <c r="F393" t="s">
        <v>71</v>
      </c>
      <c r="G393" t="s">
        <v>96</v>
      </c>
      <c r="H393">
        <v>26</v>
      </c>
      <c r="I393" s="2">
        <v>87.8</v>
      </c>
      <c r="J393" s="2">
        <v>39.83</v>
      </c>
      <c r="K393" s="2">
        <v>2282.8000000000002</v>
      </c>
      <c r="L393" s="2">
        <v>1035.58</v>
      </c>
      <c r="M393" s="2">
        <v>1247.22</v>
      </c>
      <c r="N393">
        <v>1</v>
      </c>
    </row>
    <row r="394" spans="1:14" x14ac:dyDescent="0.3">
      <c r="A394" s="1">
        <v>37843</v>
      </c>
      <c r="B394">
        <v>10143</v>
      </c>
      <c r="C394">
        <v>320</v>
      </c>
      <c r="D394" t="s">
        <v>216</v>
      </c>
      <c r="E394" t="s">
        <v>14</v>
      </c>
      <c r="F394" t="s">
        <v>83</v>
      </c>
      <c r="G394" t="s">
        <v>97</v>
      </c>
      <c r="H394">
        <v>26</v>
      </c>
      <c r="I394" s="2">
        <v>79.78</v>
      </c>
      <c r="J394" s="2">
        <v>68.8</v>
      </c>
      <c r="K394" s="2">
        <v>2074.2800000000002</v>
      </c>
      <c r="L394" s="2">
        <v>1788.8</v>
      </c>
      <c r="M394" s="2">
        <v>285.48</v>
      </c>
      <c r="N394">
        <v>1</v>
      </c>
    </row>
    <row r="395" spans="1:14" x14ac:dyDescent="0.3">
      <c r="A395" s="1">
        <v>37843</v>
      </c>
      <c r="B395">
        <v>10143</v>
      </c>
      <c r="C395">
        <v>320</v>
      </c>
      <c r="D395" t="s">
        <v>216</v>
      </c>
      <c r="E395" t="s">
        <v>14</v>
      </c>
      <c r="F395" t="s">
        <v>71</v>
      </c>
      <c r="G395" t="s">
        <v>77</v>
      </c>
      <c r="H395">
        <v>31</v>
      </c>
      <c r="I395" s="2">
        <v>69.39</v>
      </c>
      <c r="J395" s="2">
        <v>33.97</v>
      </c>
      <c r="K395" s="2">
        <v>2151.09</v>
      </c>
      <c r="L395" s="2">
        <v>1053.07</v>
      </c>
      <c r="M395" s="2">
        <v>1098.02</v>
      </c>
      <c r="N395">
        <v>1</v>
      </c>
    </row>
    <row r="396" spans="1:14" x14ac:dyDescent="0.3">
      <c r="A396" s="1">
        <v>37843</v>
      </c>
      <c r="B396">
        <v>10143</v>
      </c>
      <c r="C396">
        <v>320</v>
      </c>
      <c r="D396" t="s">
        <v>216</v>
      </c>
      <c r="E396" t="s">
        <v>14</v>
      </c>
      <c r="F396" t="s">
        <v>83</v>
      </c>
      <c r="G396" t="s">
        <v>99</v>
      </c>
      <c r="H396">
        <v>28</v>
      </c>
      <c r="I396" s="2">
        <v>70.400000000000006</v>
      </c>
      <c r="J396" s="2">
        <v>54.4</v>
      </c>
      <c r="K396" s="2">
        <v>1971.2</v>
      </c>
      <c r="L396" s="2">
        <v>1523.2</v>
      </c>
      <c r="M396" s="2">
        <v>448</v>
      </c>
      <c r="N396">
        <v>1</v>
      </c>
    </row>
    <row r="397" spans="1:14" x14ac:dyDescent="0.3">
      <c r="A397" s="1">
        <v>37843</v>
      </c>
      <c r="B397">
        <v>10143</v>
      </c>
      <c r="C397">
        <v>320</v>
      </c>
      <c r="D397" t="s">
        <v>216</v>
      </c>
      <c r="E397" t="s">
        <v>14</v>
      </c>
      <c r="F397" t="s">
        <v>83</v>
      </c>
      <c r="G397" t="s">
        <v>100</v>
      </c>
      <c r="H397">
        <v>34</v>
      </c>
      <c r="I397" s="2">
        <v>65.150000000000006</v>
      </c>
      <c r="J397" s="2">
        <v>36.270000000000003</v>
      </c>
      <c r="K397" s="2">
        <v>2215.1</v>
      </c>
      <c r="L397" s="2">
        <v>1233.18</v>
      </c>
      <c r="M397" s="2">
        <v>981.92</v>
      </c>
      <c r="N397">
        <v>1</v>
      </c>
    </row>
    <row r="398" spans="1:14" x14ac:dyDescent="0.3">
      <c r="A398" s="1">
        <v>37843</v>
      </c>
      <c r="B398">
        <v>10143</v>
      </c>
      <c r="C398">
        <v>320</v>
      </c>
      <c r="D398" t="s">
        <v>216</v>
      </c>
      <c r="E398" t="s">
        <v>14</v>
      </c>
      <c r="F398" t="s">
        <v>83</v>
      </c>
      <c r="G398" t="s">
        <v>101</v>
      </c>
      <c r="H398">
        <v>37</v>
      </c>
      <c r="I398" s="2">
        <v>49.66</v>
      </c>
      <c r="J398" s="2">
        <v>32.770000000000003</v>
      </c>
      <c r="K398" s="2">
        <v>1837.42</v>
      </c>
      <c r="L398" s="2">
        <v>1212.49</v>
      </c>
      <c r="M398" s="2">
        <v>624.92999999999995</v>
      </c>
      <c r="N398">
        <v>1</v>
      </c>
    </row>
    <row r="399" spans="1:14" x14ac:dyDescent="0.3">
      <c r="A399" s="1">
        <v>37846</v>
      </c>
      <c r="B399">
        <v>10144</v>
      </c>
      <c r="C399">
        <v>381</v>
      </c>
      <c r="D399" t="s">
        <v>145</v>
      </c>
      <c r="E399" t="s">
        <v>146</v>
      </c>
      <c r="F399" t="s">
        <v>15</v>
      </c>
      <c r="G399" t="s">
        <v>93</v>
      </c>
      <c r="H399">
        <v>20</v>
      </c>
      <c r="I399" s="2">
        <v>56.41</v>
      </c>
      <c r="J399" s="2">
        <v>33.020000000000003</v>
      </c>
      <c r="K399" s="2">
        <v>1128.2</v>
      </c>
      <c r="L399" s="2">
        <v>660.4</v>
      </c>
      <c r="M399" s="2">
        <v>467.8</v>
      </c>
      <c r="N399">
        <v>2</v>
      </c>
    </row>
    <row r="400" spans="1:14" x14ac:dyDescent="0.3">
      <c r="A400" s="1">
        <v>37858</v>
      </c>
      <c r="B400">
        <v>10145</v>
      </c>
      <c r="C400">
        <v>205</v>
      </c>
      <c r="D400" t="s">
        <v>217</v>
      </c>
      <c r="E400" t="s">
        <v>14</v>
      </c>
      <c r="F400" t="s">
        <v>102</v>
      </c>
      <c r="G400" t="s">
        <v>103</v>
      </c>
      <c r="H400">
        <v>45</v>
      </c>
      <c r="I400" s="2">
        <v>76.56</v>
      </c>
      <c r="J400" s="2">
        <v>48.81</v>
      </c>
      <c r="K400" s="2">
        <v>3445.2</v>
      </c>
      <c r="L400" s="2">
        <v>2196.4499999999998</v>
      </c>
      <c r="M400" s="2">
        <v>1248.75</v>
      </c>
      <c r="N400">
        <v>1</v>
      </c>
    </row>
    <row r="401" spans="1:14" x14ac:dyDescent="0.3">
      <c r="A401" s="1">
        <v>37858</v>
      </c>
      <c r="B401">
        <v>10145</v>
      </c>
      <c r="C401">
        <v>205</v>
      </c>
      <c r="D401" t="s">
        <v>217</v>
      </c>
      <c r="E401" t="s">
        <v>14</v>
      </c>
      <c r="F401" t="s">
        <v>102</v>
      </c>
      <c r="G401" t="s">
        <v>104</v>
      </c>
      <c r="H401">
        <v>37</v>
      </c>
      <c r="I401" s="2">
        <v>104.67</v>
      </c>
      <c r="J401" s="2">
        <v>68.989999999999995</v>
      </c>
      <c r="K401" s="2">
        <v>3872.79</v>
      </c>
      <c r="L401" s="2">
        <v>2552.63</v>
      </c>
      <c r="M401" s="2">
        <v>1320.16</v>
      </c>
      <c r="N401">
        <v>1</v>
      </c>
    </row>
    <row r="402" spans="1:14" x14ac:dyDescent="0.3">
      <c r="A402" s="1">
        <v>37858</v>
      </c>
      <c r="B402">
        <v>10145</v>
      </c>
      <c r="C402">
        <v>205</v>
      </c>
      <c r="D402" t="s">
        <v>217</v>
      </c>
      <c r="E402" t="s">
        <v>14</v>
      </c>
      <c r="F402" t="s">
        <v>102</v>
      </c>
      <c r="G402" t="s">
        <v>105</v>
      </c>
      <c r="H402">
        <v>33</v>
      </c>
      <c r="I402" s="2">
        <v>154.93</v>
      </c>
      <c r="J402" s="2">
        <v>91.02</v>
      </c>
      <c r="K402" s="2">
        <v>5112.6899999999996</v>
      </c>
      <c r="L402" s="2">
        <v>3003.66</v>
      </c>
      <c r="M402" s="2">
        <v>2109.0300000000002</v>
      </c>
      <c r="N402">
        <v>1</v>
      </c>
    </row>
    <row r="403" spans="1:14" x14ac:dyDescent="0.3">
      <c r="A403" s="1">
        <v>37858</v>
      </c>
      <c r="B403">
        <v>10145</v>
      </c>
      <c r="C403">
        <v>205</v>
      </c>
      <c r="D403" t="s">
        <v>217</v>
      </c>
      <c r="E403" t="s">
        <v>14</v>
      </c>
      <c r="F403" t="s">
        <v>102</v>
      </c>
      <c r="G403" t="s">
        <v>106</v>
      </c>
      <c r="H403">
        <v>49</v>
      </c>
      <c r="I403" s="2">
        <v>146.1</v>
      </c>
      <c r="J403" s="2">
        <v>66.27</v>
      </c>
      <c r="K403" s="2">
        <v>7158.9</v>
      </c>
      <c r="L403" s="2">
        <v>3247.23</v>
      </c>
      <c r="M403" s="2">
        <v>3911.67</v>
      </c>
      <c r="N403">
        <v>1</v>
      </c>
    </row>
    <row r="404" spans="1:14" x14ac:dyDescent="0.3">
      <c r="A404" s="1">
        <v>37858</v>
      </c>
      <c r="B404">
        <v>10145</v>
      </c>
      <c r="C404">
        <v>205</v>
      </c>
      <c r="D404" t="s">
        <v>217</v>
      </c>
      <c r="E404" t="s">
        <v>14</v>
      </c>
      <c r="F404" t="s">
        <v>83</v>
      </c>
      <c r="G404" t="s">
        <v>85</v>
      </c>
      <c r="H404">
        <v>30</v>
      </c>
      <c r="I404" s="2">
        <v>71.81</v>
      </c>
      <c r="J404" s="2">
        <v>49</v>
      </c>
      <c r="K404" s="2">
        <v>2154.3000000000002</v>
      </c>
      <c r="L404" s="2">
        <v>1470</v>
      </c>
      <c r="M404" s="2">
        <v>684.3</v>
      </c>
      <c r="N404">
        <v>1</v>
      </c>
    </row>
    <row r="405" spans="1:14" x14ac:dyDescent="0.3">
      <c r="A405" s="1">
        <v>37858</v>
      </c>
      <c r="B405">
        <v>10145</v>
      </c>
      <c r="C405">
        <v>205</v>
      </c>
      <c r="D405" t="s">
        <v>217</v>
      </c>
      <c r="E405" t="s">
        <v>14</v>
      </c>
      <c r="F405" t="s">
        <v>102</v>
      </c>
      <c r="G405" t="s">
        <v>107</v>
      </c>
      <c r="H405">
        <v>30</v>
      </c>
      <c r="I405" s="2">
        <v>52.7</v>
      </c>
      <c r="J405" s="2">
        <v>24.23</v>
      </c>
      <c r="K405" s="2">
        <v>1581</v>
      </c>
      <c r="L405" s="2">
        <v>726.9</v>
      </c>
      <c r="M405" s="2">
        <v>854.1</v>
      </c>
      <c r="N405">
        <v>1</v>
      </c>
    </row>
    <row r="406" spans="1:14" x14ac:dyDescent="0.3">
      <c r="A406" s="1">
        <v>37858</v>
      </c>
      <c r="B406">
        <v>10145</v>
      </c>
      <c r="C406">
        <v>205</v>
      </c>
      <c r="D406" t="s">
        <v>217</v>
      </c>
      <c r="E406" t="s">
        <v>14</v>
      </c>
      <c r="F406" t="s">
        <v>102</v>
      </c>
      <c r="G406" t="s">
        <v>108</v>
      </c>
      <c r="H406">
        <v>43</v>
      </c>
      <c r="I406" s="2">
        <v>103.68</v>
      </c>
      <c r="J406" s="2">
        <v>60.86</v>
      </c>
      <c r="K406" s="2">
        <v>4458.24</v>
      </c>
      <c r="L406" s="2">
        <v>2616.98</v>
      </c>
      <c r="M406" s="2">
        <v>1841.26</v>
      </c>
      <c r="N406">
        <v>1</v>
      </c>
    </row>
    <row r="407" spans="1:14" x14ac:dyDescent="0.3">
      <c r="A407" s="1">
        <v>37858</v>
      </c>
      <c r="B407">
        <v>10145</v>
      </c>
      <c r="C407">
        <v>205</v>
      </c>
      <c r="D407" t="s">
        <v>217</v>
      </c>
      <c r="E407" t="s">
        <v>14</v>
      </c>
      <c r="F407" t="s">
        <v>83</v>
      </c>
      <c r="G407" t="s">
        <v>88</v>
      </c>
      <c r="H407">
        <v>40</v>
      </c>
      <c r="I407" s="2">
        <v>87.54</v>
      </c>
      <c r="J407" s="2">
        <v>66.739999999999995</v>
      </c>
      <c r="K407" s="2">
        <v>3501.6</v>
      </c>
      <c r="L407" s="2">
        <v>2669.6</v>
      </c>
      <c r="M407" s="2">
        <v>832</v>
      </c>
      <c r="N407">
        <v>1</v>
      </c>
    </row>
    <row r="408" spans="1:14" x14ac:dyDescent="0.3">
      <c r="A408" s="1">
        <v>37858</v>
      </c>
      <c r="B408">
        <v>10145</v>
      </c>
      <c r="C408">
        <v>205</v>
      </c>
      <c r="D408" t="s">
        <v>217</v>
      </c>
      <c r="E408" t="s">
        <v>14</v>
      </c>
      <c r="F408" t="s">
        <v>102</v>
      </c>
      <c r="G408" t="s">
        <v>109</v>
      </c>
      <c r="H408">
        <v>47</v>
      </c>
      <c r="I408" s="2">
        <v>63.98</v>
      </c>
      <c r="J408" s="2">
        <v>37.32</v>
      </c>
      <c r="K408" s="2">
        <v>3007.06</v>
      </c>
      <c r="L408" s="2">
        <v>1754.04</v>
      </c>
      <c r="M408" s="2">
        <v>1253.02</v>
      </c>
      <c r="N408">
        <v>1</v>
      </c>
    </row>
    <row r="409" spans="1:14" x14ac:dyDescent="0.3">
      <c r="A409" s="1">
        <v>37858</v>
      </c>
      <c r="B409">
        <v>10145</v>
      </c>
      <c r="C409">
        <v>205</v>
      </c>
      <c r="D409" t="s">
        <v>217</v>
      </c>
      <c r="E409" t="s">
        <v>14</v>
      </c>
      <c r="F409" t="s">
        <v>102</v>
      </c>
      <c r="G409" t="s">
        <v>121</v>
      </c>
      <c r="H409">
        <v>27</v>
      </c>
      <c r="I409" s="2">
        <v>56.1</v>
      </c>
      <c r="J409" s="2">
        <v>47.1</v>
      </c>
      <c r="K409" s="2">
        <v>1514.7</v>
      </c>
      <c r="L409" s="2">
        <v>1271.7</v>
      </c>
      <c r="M409" s="2">
        <v>243</v>
      </c>
      <c r="N409">
        <v>1</v>
      </c>
    </row>
    <row r="410" spans="1:14" x14ac:dyDescent="0.3">
      <c r="A410" s="1">
        <v>37858</v>
      </c>
      <c r="B410">
        <v>10145</v>
      </c>
      <c r="C410">
        <v>205</v>
      </c>
      <c r="D410" t="s">
        <v>217</v>
      </c>
      <c r="E410" t="s">
        <v>14</v>
      </c>
      <c r="F410" t="s">
        <v>83</v>
      </c>
      <c r="G410" t="s">
        <v>92</v>
      </c>
      <c r="H410">
        <v>33</v>
      </c>
      <c r="I410" s="2">
        <v>71.73</v>
      </c>
      <c r="J410" s="2">
        <v>36.229999999999997</v>
      </c>
      <c r="K410" s="2">
        <v>2367.09</v>
      </c>
      <c r="L410" s="2">
        <v>1195.5899999999999</v>
      </c>
      <c r="M410" s="2">
        <v>1171.5</v>
      </c>
      <c r="N410">
        <v>1</v>
      </c>
    </row>
    <row r="411" spans="1:14" x14ac:dyDescent="0.3">
      <c r="A411" s="1">
        <v>37858</v>
      </c>
      <c r="B411">
        <v>10145</v>
      </c>
      <c r="C411">
        <v>205</v>
      </c>
      <c r="D411" t="s">
        <v>217</v>
      </c>
      <c r="E411" t="s">
        <v>14</v>
      </c>
      <c r="F411" t="s">
        <v>102</v>
      </c>
      <c r="G411" t="s">
        <v>110</v>
      </c>
      <c r="H411">
        <v>33</v>
      </c>
      <c r="I411" s="2">
        <v>99.89</v>
      </c>
      <c r="J411" s="2">
        <v>66.92</v>
      </c>
      <c r="K411" s="2">
        <v>3296.37</v>
      </c>
      <c r="L411" s="2">
        <v>2208.36</v>
      </c>
      <c r="M411" s="2">
        <v>1088.01</v>
      </c>
      <c r="N411">
        <v>1</v>
      </c>
    </row>
    <row r="412" spans="1:14" x14ac:dyDescent="0.3">
      <c r="A412" s="1">
        <v>37858</v>
      </c>
      <c r="B412">
        <v>10145</v>
      </c>
      <c r="C412">
        <v>205</v>
      </c>
      <c r="D412" t="s">
        <v>217</v>
      </c>
      <c r="E412" t="s">
        <v>14</v>
      </c>
      <c r="F412" t="s">
        <v>102</v>
      </c>
      <c r="G412" t="s">
        <v>125</v>
      </c>
      <c r="H412">
        <v>31</v>
      </c>
      <c r="I412" s="2">
        <v>39.43</v>
      </c>
      <c r="J412" s="2">
        <v>24.14</v>
      </c>
      <c r="K412" s="2">
        <v>1222.33</v>
      </c>
      <c r="L412" s="2">
        <v>748.34</v>
      </c>
      <c r="M412" s="2">
        <v>473.99</v>
      </c>
      <c r="N412">
        <v>1</v>
      </c>
    </row>
    <row r="413" spans="1:14" x14ac:dyDescent="0.3">
      <c r="A413" s="1">
        <v>37858</v>
      </c>
      <c r="B413">
        <v>10145</v>
      </c>
      <c r="C413">
        <v>205</v>
      </c>
      <c r="D413" t="s">
        <v>217</v>
      </c>
      <c r="E413" t="s">
        <v>14</v>
      </c>
      <c r="F413" t="s">
        <v>102</v>
      </c>
      <c r="G413" t="s">
        <v>126</v>
      </c>
      <c r="H413">
        <v>27</v>
      </c>
      <c r="I413" s="2">
        <v>95.93</v>
      </c>
      <c r="J413" s="2">
        <v>56.13</v>
      </c>
      <c r="K413" s="2">
        <v>2590.11</v>
      </c>
      <c r="L413" s="2">
        <v>1515.51</v>
      </c>
      <c r="M413" s="2">
        <v>1074.5999999999999</v>
      </c>
      <c r="N413">
        <v>1</v>
      </c>
    </row>
    <row r="414" spans="1:14" x14ac:dyDescent="0.3">
      <c r="A414" s="1">
        <v>37858</v>
      </c>
      <c r="B414">
        <v>10145</v>
      </c>
      <c r="C414">
        <v>205</v>
      </c>
      <c r="D414" t="s">
        <v>217</v>
      </c>
      <c r="E414" t="s">
        <v>14</v>
      </c>
      <c r="F414" t="s">
        <v>102</v>
      </c>
      <c r="G414" t="s">
        <v>127</v>
      </c>
      <c r="H414">
        <v>38</v>
      </c>
      <c r="I414" s="2">
        <v>73.22</v>
      </c>
      <c r="J414" s="2">
        <v>34.17</v>
      </c>
      <c r="K414" s="2">
        <v>2782.36</v>
      </c>
      <c r="L414" s="2">
        <v>1298.46</v>
      </c>
      <c r="M414" s="2">
        <v>1483.9</v>
      </c>
      <c r="N414">
        <v>1</v>
      </c>
    </row>
    <row r="415" spans="1:14" x14ac:dyDescent="0.3">
      <c r="A415" s="1">
        <v>37858</v>
      </c>
      <c r="B415">
        <v>10145</v>
      </c>
      <c r="C415">
        <v>205</v>
      </c>
      <c r="D415" t="s">
        <v>217</v>
      </c>
      <c r="E415" t="s">
        <v>14</v>
      </c>
      <c r="F415" t="s">
        <v>83</v>
      </c>
      <c r="G415" t="s">
        <v>98</v>
      </c>
      <c r="H415">
        <v>20</v>
      </c>
      <c r="I415" s="2">
        <v>113.9</v>
      </c>
      <c r="J415" s="2">
        <v>59.33</v>
      </c>
      <c r="K415" s="2">
        <v>2278</v>
      </c>
      <c r="L415" s="2">
        <v>1186.5999999999999</v>
      </c>
      <c r="M415" s="2">
        <v>1091.4000000000001</v>
      </c>
      <c r="N415">
        <v>1</v>
      </c>
    </row>
    <row r="416" spans="1:14" x14ac:dyDescent="0.3">
      <c r="A416" s="1">
        <v>37867</v>
      </c>
      <c r="B416">
        <v>10146</v>
      </c>
      <c r="C416">
        <v>447</v>
      </c>
      <c r="D416" t="s">
        <v>212</v>
      </c>
      <c r="E416" t="s">
        <v>14</v>
      </c>
      <c r="F416" t="s">
        <v>102</v>
      </c>
      <c r="G416" t="s">
        <v>119</v>
      </c>
      <c r="H416">
        <v>47</v>
      </c>
      <c r="I416" s="2">
        <v>60.3</v>
      </c>
      <c r="J416" s="2">
        <v>32.950000000000003</v>
      </c>
      <c r="K416" s="2">
        <v>2834.1</v>
      </c>
      <c r="L416" s="2">
        <v>1548.65</v>
      </c>
      <c r="M416" s="2">
        <v>1285.45</v>
      </c>
      <c r="N416">
        <v>2</v>
      </c>
    </row>
    <row r="417" spans="1:14" x14ac:dyDescent="0.3">
      <c r="A417" s="1">
        <v>37867</v>
      </c>
      <c r="B417">
        <v>10146</v>
      </c>
      <c r="C417">
        <v>447</v>
      </c>
      <c r="D417" t="s">
        <v>212</v>
      </c>
      <c r="E417" t="s">
        <v>14</v>
      </c>
      <c r="F417" t="s">
        <v>29</v>
      </c>
      <c r="G417" t="s">
        <v>120</v>
      </c>
      <c r="H417">
        <v>29</v>
      </c>
      <c r="I417" s="2">
        <v>130.94</v>
      </c>
      <c r="J417" s="2">
        <v>69.930000000000007</v>
      </c>
      <c r="K417" s="2">
        <v>3797.26</v>
      </c>
      <c r="L417" s="2">
        <v>2027.97</v>
      </c>
      <c r="M417" s="2">
        <v>1769.29</v>
      </c>
      <c r="N417">
        <v>2</v>
      </c>
    </row>
    <row r="418" spans="1:14" x14ac:dyDescent="0.3">
      <c r="A418" s="1">
        <v>37869</v>
      </c>
      <c r="B418">
        <v>10147</v>
      </c>
      <c r="C418">
        <v>379</v>
      </c>
      <c r="D418" t="s">
        <v>218</v>
      </c>
      <c r="E418" t="s">
        <v>14</v>
      </c>
      <c r="F418" t="s">
        <v>29</v>
      </c>
      <c r="G418" t="s">
        <v>112</v>
      </c>
      <c r="H418">
        <v>48</v>
      </c>
      <c r="I418" s="2">
        <v>161.49</v>
      </c>
      <c r="J418" s="2">
        <v>95.34</v>
      </c>
      <c r="K418" s="2">
        <v>7751.52</v>
      </c>
      <c r="L418" s="2">
        <v>4576.32</v>
      </c>
      <c r="M418" s="2">
        <v>3175.2</v>
      </c>
      <c r="N418">
        <v>1</v>
      </c>
    </row>
    <row r="419" spans="1:14" x14ac:dyDescent="0.3">
      <c r="A419" s="1">
        <v>37869</v>
      </c>
      <c r="B419">
        <v>10147</v>
      </c>
      <c r="C419">
        <v>379</v>
      </c>
      <c r="D419" t="s">
        <v>218</v>
      </c>
      <c r="E419" t="s">
        <v>14</v>
      </c>
      <c r="F419" t="s">
        <v>29</v>
      </c>
      <c r="G419" t="s">
        <v>113</v>
      </c>
      <c r="H419">
        <v>31</v>
      </c>
      <c r="I419" s="2">
        <v>110.39</v>
      </c>
      <c r="J419" s="2">
        <v>75.16</v>
      </c>
      <c r="K419" s="2">
        <v>3422.09</v>
      </c>
      <c r="L419" s="2">
        <v>2329.96</v>
      </c>
      <c r="M419" s="2">
        <v>1092.1300000000001</v>
      </c>
      <c r="N419">
        <v>1</v>
      </c>
    </row>
    <row r="420" spans="1:14" x14ac:dyDescent="0.3">
      <c r="A420" s="1">
        <v>37869</v>
      </c>
      <c r="B420">
        <v>10147</v>
      </c>
      <c r="C420">
        <v>379</v>
      </c>
      <c r="D420" t="s">
        <v>218</v>
      </c>
      <c r="E420" t="s">
        <v>14</v>
      </c>
      <c r="F420" t="s">
        <v>29</v>
      </c>
      <c r="G420" t="s">
        <v>114</v>
      </c>
      <c r="H420">
        <v>21</v>
      </c>
      <c r="I420" s="2">
        <v>74.209999999999994</v>
      </c>
      <c r="J420" s="2">
        <v>31.92</v>
      </c>
      <c r="K420" s="2">
        <v>1558.41</v>
      </c>
      <c r="L420" s="2">
        <v>670.32</v>
      </c>
      <c r="M420" s="2">
        <v>888.09</v>
      </c>
      <c r="N420">
        <v>1</v>
      </c>
    </row>
    <row r="421" spans="1:14" x14ac:dyDescent="0.3">
      <c r="A421" s="1">
        <v>37869</v>
      </c>
      <c r="B421">
        <v>10147</v>
      </c>
      <c r="C421">
        <v>379</v>
      </c>
      <c r="D421" t="s">
        <v>218</v>
      </c>
      <c r="E421" t="s">
        <v>14</v>
      </c>
      <c r="F421" t="s">
        <v>29</v>
      </c>
      <c r="G421" t="s">
        <v>115</v>
      </c>
      <c r="H421">
        <v>33</v>
      </c>
      <c r="I421" s="2">
        <v>97.89</v>
      </c>
      <c r="J421" s="2">
        <v>58.73</v>
      </c>
      <c r="K421" s="2">
        <v>3230.37</v>
      </c>
      <c r="L421" s="2">
        <v>1938.09</v>
      </c>
      <c r="M421" s="2">
        <v>1292.28</v>
      </c>
      <c r="N421">
        <v>1</v>
      </c>
    </row>
    <row r="422" spans="1:14" x14ac:dyDescent="0.3">
      <c r="A422" s="1">
        <v>37869</v>
      </c>
      <c r="B422">
        <v>10147</v>
      </c>
      <c r="C422">
        <v>379</v>
      </c>
      <c r="D422" t="s">
        <v>218</v>
      </c>
      <c r="E422" t="s">
        <v>14</v>
      </c>
      <c r="F422" t="s">
        <v>29</v>
      </c>
      <c r="G422" t="s">
        <v>116</v>
      </c>
      <c r="H422">
        <v>26</v>
      </c>
      <c r="I422" s="2">
        <v>70.84</v>
      </c>
      <c r="J422" s="2">
        <v>53.9</v>
      </c>
      <c r="K422" s="2">
        <v>1841.84</v>
      </c>
      <c r="L422" s="2">
        <v>1401.4</v>
      </c>
      <c r="M422" s="2">
        <v>440.44</v>
      </c>
      <c r="N422">
        <v>1</v>
      </c>
    </row>
    <row r="423" spans="1:14" x14ac:dyDescent="0.3">
      <c r="A423" s="1">
        <v>37869</v>
      </c>
      <c r="B423">
        <v>10147</v>
      </c>
      <c r="C423">
        <v>379</v>
      </c>
      <c r="D423" t="s">
        <v>218</v>
      </c>
      <c r="E423" t="s">
        <v>14</v>
      </c>
      <c r="F423" t="s">
        <v>29</v>
      </c>
      <c r="G423" t="s">
        <v>117</v>
      </c>
      <c r="H423">
        <v>36</v>
      </c>
      <c r="I423" s="2">
        <v>74.78</v>
      </c>
      <c r="J423" s="2">
        <v>49.05</v>
      </c>
      <c r="K423" s="2">
        <v>2692.08</v>
      </c>
      <c r="L423" s="2">
        <v>1765.8</v>
      </c>
      <c r="M423" s="2">
        <v>926.28</v>
      </c>
      <c r="N423">
        <v>1</v>
      </c>
    </row>
    <row r="424" spans="1:14" x14ac:dyDescent="0.3">
      <c r="A424" s="1">
        <v>37869</v>
      </c>
      <c r="B424">
        <v>10147</v>
      </c>
      <c r="C424">
        <v>379</v>
      </c>
      <c r="D424" t="s">
        <v>218</v>
      </c>
      <c r="E424" t="s">
        <v>14</v>
      </c>
      <c r="F424" t="s">
        <v>29</v>
      </c>
      <c r="G424" t="s">
        <v>118</v>
      </c>
      <c r="H424">
        <v>37</v>
      </c>
      <c r="I424" s="2">
        <v>129.35</v>
      </c>
      <c r="J424" s="2">
        <v>73.489999999999995</v>
      </c>
      <c r="K424" s="2">
        <v>4785.95</v>
      </c>
      <c r="L424" s="2">
        <v>2719.13</v>
      </c>
      <c r="M424" s="2">
        <v>2066.8200000000002</v>
      </c>
      <c r="N424">
        <v>1</v>
      </c>
    </row>
    <row r="425" spans="1:14" x14ac:dyDescent="0.3">
      <c r="A425" s="1">
        <v>37869</v>
      </c>
      <c r="B425">
        <v>10147</v>
      </c>
      <c r="C425">
        <v>379</v>
      </c>
      <c r="D425" t="s">
        <v>218</v>
      </c>
      <c r="E425" t="s">
        <v>14</v>
      </c>
      <c r="F425" t="s">
        <v>29</v>
      </c>
      <c r="G425" t="s">
        <v>132</v>
      </c>
      <c r="H425">
        <v>25</v>
      </c>
      <c r="I425" s="2">
        <v>33.229999999999997</v>
      </c>
      <c r="J425" s="2">
        <v>16.239999999999998</v>
      </c>
      <c r="K425" s="2">
        <v>830.75</v>
      </c>
      <c r="L425" s="2">
        <v>406</v>
      </c>
      <c r="M425" s="2">
        <v>424.75</v>
      </c>
      <c r="N425">
        <v>1</v>
      </c>
    </row>
    <row r="426" spans="1:14" x14ac:dyDescent="0.3">
      <c r="A426" s="1">
        <v>37869</v>
      </c>
      <c r="B426">
        <v>10147</v>
      </c>
      <c r="C426">
        <v>379</v>
      </c>
      <c r="D426" t="s">
        <v>218</v>
      </c>
      <c r="E426" t="s">
        <v>14</v>
      </c>
      <c r="F426" t="s">
        <v>29</v>
      </c>
      <c r="G426" t="s">
        <v>122</v>
      </c>
      <c r="H426">
        <v>30</v>
      </c>
      <c r="I426" s="2">
        <v>48.98</v>
      </c>
      <c r="J426" s="2">
        <v>38.58</v>
      </c>
      <c r="K426" s="2">
        <v>1469.4</v>
      </c>
      <c r="L426" s="2">
        <v>1157.4000000000001</v>
      </c>
      <c r="M426" s="2">
        <v>312</v>
      </c>
      <c r="N426">
        <v>1</v>
      </c>
    </row>
    <row r="427" spans="1:14" x14ac:dyDescent="0.3">
      <c r="A427" s="1">
        <v>37869</v>
      </c>
      <c r="B427">
        <v>10147</v>
      </c>
      <c r="C427">
        <v>379</v>
      </c>
      <c r="D427" t="s">
        <v>218</v>
      </c>
      <c r="E427" t="s">
        <v>14</v>
      </c>
      <c r="F427" t="s">
        <v>29</v>
      </c>
      <c r="G427" t="s">
        <v>123</v>
      </c>
      <c r="H427">
        <v>23</v>
      </c>
      <c r="I427" s="2">
        <v>123.58</v>
      </c>
      <c r="J427" s="2">
        <v>98.3</v>
      </c>
      <c r="K427" s="2">
        <v>2842.34</v>
      </c>
      <c r="L427" s="2">
        <v>2260.9</v>
      </c>
      <c r="M427" s="2">
        <v>581.44000000000005</v>
      </c>
      <c r="N427">
        <v>1</v>
      </c>
    </row>
    <row r="428" spans="1:14" x14ac:dyDescent="0.3">
      <c r="A428" s="1">
        <v>37869</v>
      </c>
      <c r="B428">
        <v>10147</v>
      </c>
      <c r="C428">
        <v>379</v>
      </c>
      <c r="D428" t="s">
        <v>218</v>
      </c>
      <c r="E428" t="s">
        <v>14</v>
      </c>
      <c r="F428" t="s">
        <v>29</v>
      </c>
      <c r="G428" t="s">
        <v>124</v>
      </c>
      <c r="H428">
        <v>31</v>
      </c>
      <c r="I428" s="2">
        <v>72.760000000000005</v>
      </c>
      <c r="J428" s="2">
        <v>32.33</v>
      </c>
      <c r="K428" s="2">
        <v>2255.56</v>
      </c>
      <c r="L428" s="2">
        <v>1002.23</v>
      </c>
      <c r="M428" s="2">
        <v>1253.33</v>
      </c>
      <c r="N428">
        <v>1</v>
      </c>
    </row>
    <row r="429" spans="1:14" x14ac:dyDescent="0.3">
      <c r="A429" s="1">
        <v>37875</v>
      </c>
      <c r="B429">
        <v>10148</v>
      </c>
      <c r="C429">
        <v>276</v>
      </c>
      <c r="D429" t="s">
        <v>165</v>
      </c>
      <c r="E429" t="s">
        <v>151</v>
      </c>
      <c r="F429" t="s">
        <v>29</v>
      </c>
      <c r="G429" t="s">
        <v>128</v>
      </c>
      <c r="H429">
        <v>23</v>
      </c>
      <c r="I429" s="2">
        <v>114.65</v>
      </c>
      <c r="J429" s="2">
        <v>83.51</v>
      </c>
      <c r="K429" s="2">
        <v>2636.95</v>
      </c>
      <c r="L429" s="2">
        <v>1920.73</v>
      </c>
      <c r="M429" s="2">
        <v>716.22</v>
      </c>
      <c r="N429">
        <v>1</v>
      </c>
    </row>
    <row r="430" spans="1:14" x14ac:dyDescent="0.3">
      <c r="A430" s="1">
        <v>37875</v>
      </c>
      <c r="B430">
        <v>10148</v>
      </c>
      <c r="C430">
        <v>276</v>
      </c>
      <c r="D430" t="s">
        <v>165</v>
      </c>
      <c r="E430" t="s">
        <v>151</v>
      </c>
      <c r="F430" t="s">
        <v>29</v>
      </c>
      <c r="G430" t="s">
        <v>134</v>
      </c>
      <c r="H430">
        <v>47</v>
      </c>
      <c r="I430" s="2">
        <v>108.26</v>
      </c>
      <c r="J430" s="2">
        <v>65.959999999999994</v>
      </c>
      <c r="K430" s="2">
        <v>5088.22</v>
      </c>
      <c r="L430" s="2">
        <v>3100.12</v>
      </c>
      <c r="M430" s="2">
        <v>1988.1</v>
      </c>
      <c r="N430">
        <v>1</v>
      </c>
    </row>
    <row r="431" spans="1:14" x14ac:dyDescent="0.3">
      <c r="A431" s="1">
        <v>37875</v>
      </c>
      <c r="B431">
        <v>10148</v>
      </c>
      <c r="C431">
        <v>276</v>
      </c>
      <c r="D431" t="s">
        <v>165</v>
      </c>
      <c r="E431" t="s">
        <v>151</v>
      </c>
      <c r="F431" t="s">
        <v>29</v>
      </c>
      <c r="G431" t="s">
        <v>129</v>
      </c>
      <c r="H431">
        <v>25</v>
      </c>
      <c r="I431" s="2">
        <v>136.56</v>
      </c>
      <c r="J431" s="2">
        <v>93.89</v>
      </c>
      <c r="K431" s="2">
        <v>3414</v>
      </c>
      <c r="L431" s="2">
        <v>2347.25</v>
      </c>
      <c r="M431" s="2">
        <v>1066.75</v>
      </c>
      <c r="N431">
        <v>1</v>
      </c>
    </row>
    <row r="432" spans="1:14" x14ac:dyDescent="0.3">
      <c r="A432" s="1">
        <v>37875</v>
      </c>
      <c r="B432">
        <v>10148</v>
      </c>
      <c r="C432">
        <v>276</v>
      </c>
      <c r="D432" t="s">
        <v>165</v>
      </c>
      <c r="E432" t="s">
        <v>151</v>
      </c>
      <c r="F432" t="s">
        <v>29</v>
      </c>
      <c r="G432" t="s">
        <v>130</v>
      </c>
      <c r="H432">
        <v>27</v>
      </c>
      <c r="I432" s="2">
        <v>113.52</v>
      </c>
      <c r="J432" s="2">
        <v>56.76</v>
      </c>
      <c r="K432" s="2">
        <v>3065.04</v>
      </c>
      <c r="L432" s="2">
        <v>1532.52</v>
      </c>
      <c r="M432" s="2">
        <v>1532.52</v>
      </c>
      <c r="N432">
        <v>1</v>
      </c>
    </row>
    <row r="433" spans="1:14" x14ac:dyDescent="0.3">
      <c r="A433" s="1">
        <v>37875</v>
      </c>
      <c r="B433">
        <v>10148</v>
      </c>
      <c r="C433">
        <v>276</v>
      </c>
      <c r="D433" t="s">
        <v>165</v>
      </c>
      <c r="E433" t="s">
        <v>151</v>
      </c>
      <c r="F433" t="s">
        <v>29</v>
      </c>
      <c r="G433" t="s">
        <v>53</v>
      </c>
      <c r="H433">
        <v>32</v>
      </c>
      <c r="I433" s="2">
        <v>143.94</v>
      </c>
      <c r="J433" s="2">
        <v>77.900000000000006</v>
      </c>
      <c r="K433" s="2">
        <v>4606.08</v>
      </c>
      <c r="L433" s="2">
        <v>2492.8000000000002</v>
      </c>
      <c r="M433" s="2">
        <v>2113.2800000000002</v>
      </c>
      <c r="N433">
        <v>1</v>
      </c>
    </row>
    <row r="434" spans="1:14" x14ac:dyDescent="0.3">
      <c r="A434" s="1">
        <v>37875</v>
      </c>
      <c r="B434">
        <v>10148</v>
      </c>
      <c r="C434">
        <v>276</v>
      </c>
      <c r="D434" t="s">
        <v>165</v>
      </c>
      <c r="E434" t="s">
        <v>151</v>
      </c>
      <c r="F434" t="s">
        <v>29</v>
      </c>
      <c r="G434" t="s">
        <v>131</v>
      </c>
      <c r="H434">
        <v>28</v>
      </c>
      <c r="I434" s="2">
        <v>135.63</v>
      </c>
      <c r="J434" s="2">
        <v>62.16</v>
      </c>
      <c r="K434" s="2">
        <v>3797.64</v>
      </c>
      <c r="L434" s="2">
        <v>1740.48</v>
      </c>
      <c r="M434" s="2">
        <v>2057.16</v>
      </c>
      <c r="N434">
        <v>1</v>
      </c>
    </row>
    <row r="435" spans="1:14" x14ac:dyDescent="0.3">
      <c r="A435" s="1">
        <v>37875</v>
      </c>
      <c r="B435">
        <v>10148</v>
      </c>
      <c r="C435">
        <v>276</v>
      </c>
      <c r="D435" t="s">
        <v>165</v>
      </c>
      <c r="E435" t="s">
        <v>151</v>
      </c>
      <c r="F435" t="s">
        <v>15</v>
      </c>
      <c r="G435" t="s">
        <v>18</v>
      </c>
      <c r="H435">
        <v>34</v>
      </c>
      <c r="I435" s="2">
        <v>83.75</v>
      </c>
      <c r="J435" s="2">
        <v>43.26</v>
      </c>
      <c r="K435" s="2">
        <v>2847.5</v>
      </c>
      <c r="L435" s="2">
        <v>1470.84</v>
      </c>
      <c r="M435" s="2">
        <v>1376.66</v>
      </c>
      <c r="N435">
        <v>1</v>
      </c>
    </row>
    <row r="436" spans="1:14" x14ac:dyDescent="0.3">
      <c r="A436" s="1">
        <v>37875</v>
      </c>
      <c r="B436">
        <v>10148</v>
      </c>
      <c r="C436">
        <v>276</v>
      </c>
      <c r="D436" t="s">
        <v>165</v>
      </c>
      <c r="E436" t="s">
        <v>151</v>
      </c>
      <c r="F436" t="s">
        <v>29</v>
      </c>
      <c r="G436" t="s">
        <v>135</v>
      </c>
      <c r="H436">
        <v>29</v>
      </c>
      <c r="I436" s="2">
        <v>66.28</v>
      </c>
      <c r="J436" s="2">
        <v>34.21</v>
      </c>
      <c r="K436" s="2">
        <v>1922.12</v>
      </c>
      <c r="L436" s="2">
        <v>992.09</v>
      </c>
      <c r="M436" s="2">
        <v>930.03</v>
      </c>
      <c r="N436">
        <v>1</v>
      </c>
    </row>
    <row r="437" spans="1:14" x14ac:dyDescent="0.3">
      <c r="A437" s="1">
        <v>37875</v>
      </c>
      <c r="B437">
        <v>10148</v>
      </c>
      <c r="C437">
        <v>276</v>
      </c>
      <c r="D437" t="s">
        <v>165</v>
      </c>
      <c r="E437" t="s">
        <v>151</v>
      </c>
      <c r="F437" t="s">
        <v>29</v>
      </c>
      <c r="G437" t="s">
        <v>136</v>
      </c>
      <c r="H437">
        <v>25</v>
      </c>
      <c r="I437" s="2">
        <v>65.41</v>
      </c>
      <c r="J437" s="2">
        <v>49.24</v>
      </c>
      <c r="K437" s="2">
        <v>1635.25</v>
      </c>
      <c r="L437" s="2">
        <v>1231</v>
      </c>
      <c r="M437" s="2">
        <v>404.25</v>
      </c>
      <c r="N437">
        <v>1</v>
      </c>
    </row>
    <row r="438" spans="1:14" x14ac:dyDescent="0.3">
      <c r="A438" s="1">
        <v>37875</v>
      </c>
      <c r="B438">
        <v>10148</v>
      </c>
      <c r="C438">
        <v>276</v>
      </c>
      <c r="D438" t="s">
        <v>165</v>
      </c>
      <c r="E438" t="s">
        <v>151</v>
      </c>
      <c r="F438" t="s">
        <v>29</v>
      </c>
      <c r="G438" t="s">
        <v>137</v>
      </c>
      <c r="H438">
        <v>47</v>
      </c>
      <c r="I438" s="2">
        <v>46.29</v>
      </c>
      <c r="J438" s="2">
        <v>29.18</v>
      </c>
      <c r="K438" s="2">
        <v>2175.63</v>
      </c>
      <c r="L438" s="2">
        <v>1371.46</v>
      </c>
      <c r="M438" s="2">
        <v>804.17</v>
      </c>
      <c r="N438">
        <v>1</v>
      </c>
    </row>
    <row r="439" spans="1:14" x14ac:dyDescent="0.3">
      <c r="A439" s="1">
        <v>37875</v>
      </c>
      <c r="B439">
        <v>10148</v>
      </c>
      <c r="C439">
        <v>276</v>
      </c>
      <c r="D439" t="s">
        <v>165</v>
      </c>
      <c r="E439" t="s">
        <v>151</v>
      </c>
      <c r="F439" t="s">
        <v>29</v>
      </c>
      <c r="G439" t="s">
        <v>138</v>
      </c>
      <c r="H439">
        <v>21</v>
      </c>
      <c r="I439" s="2">
        <v>77.239999999999995</v>
      </c>
      <c r="J439" s="2">
        <v>47.25</v>
      </c>
      <c r="K439" s="2">
        <v>1622.04</v>
      </c>
      <c r="L439" s="2">
        <v>992.25</v>
      </c>
      <c r="M439" s="2">
        <v>629.79</v>
      </c>
      <c r="N439">
        <v>1</v>
      </c>
    </row>
    <row r="440" spans="1:14" x14ac:dyDescent="0.3">
      <c r="A440" s="1">
        <v>37875</v>
      </c>
      <c r="B440">
        <v>10148</v>
      </c>
      <c r="C440">
        <v>276</v>
      </c>
      <c r="D440" t="s">
        <v>165</v>
      </c>
      <c r="E440" t="s">
        <v>151</v>
      </c>
      <c r="F440" t="s">
        <v>29</v>
      </c>
      <c r="G440" t="s">
        <v>139</v>
      </c>
      <c r="H440">
        <v>34</v>
      </c>
      <c r="I440" s="2">
        <v>115.09</v>
      </c>
      <c r="J440" s="2">
        <v>72.819999999999993</v>
      </c>
      <c r="K440" s="2">
        <v>3913.06</v>
      </c>
      <c r="L440" s="2">
        <v>2475.88</v>
      </c>
      <c r="M440" s="2">
        <v>1437.18</v>
      </c>
      <c r="N440">
        <v>1</v>
      </c>
    </row>
    <row r="441" spans="1:14" x14ac:dyDescent="0.3">
      <c r="A441" s="1">
        <v>37875</v>
      </c>
      <c r="B441">
        <v>10148</v>
      </c>
      <c r="C441">
        <v>276</v>
      </c>
      <c r="D441" t="s">
        <v>165</v>
      </c>
      <c r="E441" t="s">
        <v>151</v>
      </c>
      <c r="F441" t="s">
        <v>29</v>
      </c>
      <c r="G441" t="s">
        <v>140</v>
      </c>
      <c r="H441">
        <v>31</v>
      </c>
      <c r="I441" s="2">
        <v>71.91</v>
      </c>
      <c r="J441" s="2">
        <v>50.51</v>
      </c>
      <c r="K441" s="2">
        <v>2229.21</v>
      </c>
      <c r="L441" s="2">
        <v>1565.81</v>
      </c>
      <c r="M441" s="2">
        <v>663.4</v>
      </c>
      <c r="N441">
        <v>1</v>
      </c>
    </row>
    <row r="442" spans="1:14" x14ac:dyDescent="0.3">
      <c r="A442" s="1">
        <v>37875</v>
      </c>
      <c r="B442">
        <v>10148</v>
      </c>
      <c r="C442">
        <v>276</v>
      </c>
      <c r="D442" t="s">
        <v>165</v>
      </c>
      <c r="E442" t="s">
        <v>151</v>
      </c>
      <c r="F442" t="s">
        <v>29</v>
      </c>
      <c r="G442" t="s">
        <v>141</v>
      </c>
      <c r="H442">
        <v>27</v>
      </c>
      <c r="I442" s="2">
        <v>96.37</v>
      </c>
      <c r="J442" s="2">
        <v>62.11</v>
      </c>
      <c r="K442" s="2">
        <v>2601.9899999999998</v>
      </c>
      <c r="L442" s="2">
        <v>1676.97</v>
      </c>
      <c r="M442" s="2">
        <v>925.02</v>
      </c>
      <c r="N442">
        <v>1</v>
      </c>
    </row>
    <row r="443" spans="1:14" x14ac:dyDescent="0.3">
      <c r="A443" s="1">
        <v>37876</v>
      </c>
      <c r="B443">
        <v>10149</v>
      </c>
      <c r="C443">
        <v>487</v>
      </c>
      <c r="D443" t="s">
        <v>219</v>
      </c>
      <c r="E443" t="s">
        <v>14</v>
      </c>
      <c r="F443" t="s">
        <v>15</v>
      </c>
      <c r="G443" t="s">
        <v>25</v>
      </c>
      <c r="H443">
        <v>50</v>
      </c>
      <c r="I443" s="2">
        <v>87.33</v>
      </c>
      <c r="J443" s="2">
        <v>60.62</v>
      </c>
      <c r="K443" s="2">
        <v>4366.5</v>
      </c>
      <c r="L443" s="2">
        <v>3031</v>
      </c>
      <c r="M443" s="2">
        <v>1335.5</v>
      </c>
      <c r="N443">
        <v>1</v>
      </c>
    </row>
    <row r="444" spans="1:14" x14ac:dyDescent="0.3">
      <c r="A444" s="1">
        <v>37876</v>
      </c>
      <c r="B444">
        <v>10149</v>
      </c>
      <c r="C444">
        <v>487</v>
      </c>
      <c r="D444" t="s">
        <v>219</v>
      </c>
      <c r="E444" t="s">
        <v>14</v>
      </c>
      <c r="F444" t="s">
        <v>15</v>
      </c>
      <c r="G444" t="s">
        <v>26</v>
      </c>
      <c r="H444">
        <v>30</v>
      </c>
      <c r="I444" s="2">
        <v>48.52</v>
      </c>
      <c r="J444" s="2">
        <v>24.26</v>
      </c>
      <c r="K444" s="2">
        <v>1455.6</v>
      </c>
      <c r="L444" s="2">
        <v>727.8</v>
      </c>
      <c r="M444" s="2">
        <v>727.8</v>
      </c>
      <c r="N444">
        <v>1</v>
      </c>
    </row>
    <row r="445" spans="1:14" x14ac:dyDescent="0.3">
      <c r="A445" s="1">
        <v>37876</v>
      </c>
      <c r="B445">
        <v>10149</v>
      </c>
      <c r="C445">
        <v>487</v>
      </c>
      <c r="D445" t="s">
        <v>219</v>
      </c>
      <c r="E445" t="s">
        <v>14</v>
      </c>
      <c r="F445" t="s">
        <v>15</v>
      </c>
      <c r="G445" t="s">
        <v>16</v>
      </c>
      <c r="H445">
        <v>34</v>
      </c>
      <c r="I445" s="2">
        <v>156.4</v>
      </c>
      <c r="J445" s="2">
        <v>86.7</v>
      </c>
      <c r="K445" s="2">
        <v>5317.6</v>
      </c>
      <c r="L445" s="2">
        <v>2947.8</v>
      </c>
      <c r="M445" s="2">
        <v>2369.8000000000002</v>
      </c>
      <c r="N445">
        <v>1</v>
      </c>
    </row>
    <row r="446" spans="1:14" x14ac:dyDescent="0.3">
      <c r="A446" s="1">
        <v>37876</v>
      </c>
      <c r="B446">
        <v>10149</v>
      </c>
      <c r="C446">
        <v>487</v>
      </c>
      <c r="D446" t="s">
        <v>219</v>
      </c>
      <c r="E446" t="s">
        <v>14</v>
      </c>
      <c r="F446" t="s">
        <v>15</v>
      </c>
      <c r="G446" t="s">
        <v>17</v>
      </c>
      <c r="H446">
        <v>24</v>
      </c>
      <c r="I446" s="2">
        <v>50.85</v>
      </c>
      <c r="J446" s="2">
        <v>33.299999999999997</v>
      </c>
      <c r="K446" s="2">
        <v>1220.4000000000001</v>
      </c>
      <c r="L446" s="2">
        <v>799.2</v>
      </c>
      <c r="M446" s="2">
        <v>421.2</v>
      </c>
      <c r="N446">
        <v>1</v>
      </c>
    </row>
    <row r="447" spans="1:14" x14ac:dyDescent="0.3">
      <c r="A447" s="1">
        <v>37876</v>
      </c>
      <c r="B447">
        <v>10149</v>
      </c>
      <c r="C447">
        <v>487</v>
      </c>
      <c r="D447" t="s">
        <v>219</v>
      </c>
      <c r="E447" t="s">
        <v>14</v>
      </c>
      <c r="F447" t="s">
        <v>15</v>
      </c>
      <c r="G447" t="s">
        <v>21</v>
      </c>
      <c r="H447">
        <v>33</v>
      </c>
      <c r="I447" s="2">
        <v>125.86</v>
      </c>
      <c r="J447" s="2">
        <v>58.48</v>
      </c>
      <c r="K447" s="2">
        <v>4153.38</v>
      </c>
      <c r="L447" s="2">
        <v>1929.84</v>
      </c>
      <c r="M447" s="2">
        <v>2223.54</v>
      </c>
      <c r="N447">
        <v>1</v>
      </c>
    </row>
    <row r="448" spans="1:14" x14ac:dyDescent="0.3">
      <c r="A448" s="1">
        <v>37876</v>
      </c>
      <c r="B448">
        <v>10149</v>
      </c>
      <c r="C448">
        <v>487</v>
      </c>
      <c r="D448" t="s">
        <v>219</v>
      </c>
      <c r="E448" t="s">
        <v>14</v>
      </c>
      <c r="F448" t="s">
        <v>15</v>
      </c>
      <c r="G448" t="s">
        <v>22</v>
      </c>
      <c r="H448">
        <v>23</v>
      </c>
      <c r="I448" s="2">
        <v>167.06</v>
      </c>
      <c r="J448" s="2">
        <v>72.56</v>
      </c>
      <c r="K448" s="2">
        <v>3842.38</v>
      </c>
      <c r="L448" s="2">
        <v>1668.88</v>
      </c>
      <c r="M448" s="2">
        <v>2173.5</v>
      </c>
      <c r="N448">
        <v>1</v>
      </c>
    </row>
    <row r="449" spans="1:14" x14ac:dyDescent="0.3">
      <c r="A449" s="1">
        <v>37876</v>
      </c>
      <c r="B449">
        <v>10149</v>
      </c>
      <c r="C449">
        <v>487</v>
      </c>
      <c r="D449" t="s">
        <v>219</v>
      </c>
      <c r="E449" t="s">
        <v>14</v>
      </c>
      <c r="F449" t="s">
        <v>15</v>
      </c>
      <c r="G449" t="s">
        <v>39</v>
      </c>
      <c r="H449">
        <v>42</v>
      </c>
      <c r="I449" s="2">
        <v>89.29</v>
      </c>
      <c r="J449" s="2">
        <v>57.54</v>
      </c>
      <c r="K449" s="2">
        <v>3750.18</v>
      </c>
      <c r="L449" s="2">
        <v>2416.6799999999998</v>
      </c>
      <c r="M449" s="2">
        <v>1333.5</v>
      </c>
      <c r="N449">
        <v>1</v>
      </c>
    </row>
    <row r="450" spans="1:14" x14ac:dyDescent="0.3">
      <c r="A450" s="1">
        <v>37876</v>
      </c>
      <c r="B450">
        <v>10149</v>
      </c>
      <c r="C450">
        <v>487</v>
      </c>
      <c r="D450" t="s">
        <v>219</v>
      </c>
      <c r="E450" t="s">
        <v>14</v>
      </c>
      <c r="F450" t="s">
        <v>15</v>
      </c>
      <c r="G450" t="s">
        <v>23</v>
      </c>
      <c r="H450">
        <v>36</v>
      </c>
      <c r="I450" s="2">
        <v>31.2</v>
      </c>
      <c r="J450" s="2">
        <v>22.57</v>
      </c>
      <c r="K450" s="2">
        <v>1123.2</v>
      </c>
      <c r="L450" s="2">
        <v>812.52</v>
      </c>
      <c r="M450" s="2">
        <v>310.68</v>
      </c>
      <c r="N450">
        <v>1</v>
      </c>
    </row>
    <row r="451" spans="1:14" x14ac:dyDescent="0.3">
      <c r="A451" s="1">
        <v>37876</v>
      </c>
      <c r="B451">
        <v>10149</v>
      </c>
      <c r="C451">
        <v>487</v>
      </c>
      <c r="D451" t="s">
        <v>219</v>
      </c>
      <c r="E451" t="s">
        <v>14</v>
      </c>
      <c r="F451" t="s">
        <v>15</v>
      </c>
      <c r="G451" t="s">
        <v>24</v>
      </c>
      <c r="H451">
        <v>49</v>
      </c>
      <c r="I451" s="2">
        <v>39.869999999999997</v>
      </c>
      <c r="J451" s="2">
        <v>20.61</v>
      </c>
      <c r="K451" s="2">
        <v>1953.63</v>
      </c>
      <c r="L451" s="2">
        <v>1009.89</v>
      </c>
      <c r="M451" s="2">
        <v>943.74</v>
      </c>
      <c r="N451">
        <v>1</v>
      </c>
    </row>
    <row r="452" spans="1:14" x14ac:dyDescent="0.3">
      <c r="A452" s="1">
        <v>37876</v>
      </c>
      <c r="B452">
        <v>10149</v>
      </c>
      <c r="C452">
        <v>487</v>
      </c>
      <c r="D452" t="s">
        <v>219</v>
      </c>
      <c r="E452" t="s">
        <v>14</v>
      </c>
      <c r="F452" t="s">
        <v>15</v>
      </c>
      <c r="G452" t="s">
        <v>19</v>
      </c>
      <c r="H452">
        <v>26</v>
      </c>
      <c r="I452" s="2">
        <v>38.57</v>
      </c>
      <c r="J452" s="2">
        <v>21.75</v>
      </c>
      <c r="K452" s="2">
        <v>1002.82</v>
      </c>
      <c r="L452" s="2">
        <v>565.5</v>
      </c>
      <c r="M452" s="2">
        <v>437.32</v>
      </c>
      <c r="N452">
        <v>1</v>
      </c>
    </row>
    <row r="453" spans="1:14" x14ac:dyDescent="0.3">
      <c r="A453" s="1">
        <v>37876</v>
      </c>
      <c r="B453">
        <v>10149</v>
      </c>
      <c r="C453">
        <v>487</v>
      </c>
      <c r="D453" t="s">
        <v>219</v>
      </c>
      <c r="E453" t="s">
        <v>14</v>
      </c>
      <c r="F453" t="s">
        <v>15</v>
      </c>
      <c r="G453" t="s">
        <v>43</v>
      </c>
      <c r="H453">
        <v>20</v>
      </c>
      <c r="I453" s="2">
        <v>90.57</v>
      </c>
      <c r="J453" s="2">
        <v>57.46</v>
      </c>
      <c r="K453" s="2">
        <v>1811.4</v>
      </c>
      <c r="L453" s="2">
        <v>1149.2</v>
      </c>
      <c r="M453" s="2">
        <v>662.2</v>
      </c>
      <c r="N453">
        <v>1</v>
      </c>
    </row>
    <row r="454" spans="1:14" x14ac:dyDescent="0.3">
      <c r="A454" s="1">
        <v>37883</v>
      </c>
      <c r="B454">
        <v>10150</v>
      </c>
      <c r="C454">
        <v>148</v>
      </c>
      <c r="D454" t="s">
        <v>209</v>
      </c>
      <c r="E454" t="s">
        <v>147</v>
      </c>
      <c r="F454" t="s">
        <v>29</v>
      </c>
      <c r="G454" t="s">
        <v>30</v>
      </c>
      <c r="H454">
        <v>45</v>
      </c>
      <c r="I454" s="2">
        <v>182.16</v>
      </c>
      <c r="J454" s="2">
        <v>98.58</v>
      </c>
      <c r="K454" s="2">
        <v>8197.2000000000007</v>
      </c>
      <c r="L454" s="2">
        <v>4436.1000000000004</v>
      </c>
      <c r="M454" s="2">
        <v>3761.1</v>
      </c>
      <c r="N454">
        <v>2</v>
      </c>
    </row>
    <row r="455" spans="1:14" x14ac:dyDescent="0.3">
      <c r="A455" s="1">
        <v>37883</v>
      </c>
      <c r="B455">
        <v>10150</v>
      </c>
      <c r="C455">
        <v>148</v>
      </c>
      <c r="D455" t="s">
        <v>209</v>
      </c>
      <c r="E455" t="s">
        <v>147</v>
      </c>
      <c r="F455" t="s">
        <v>29</v>
      </c>
      <c r="G455" t="s">
        <v>31</v>
      </c>
      <c r="H455">
        <v>20</v>
      </c>
      <c r="I455" s="2">
        <v>121.15</v>
      </c>
      <c r="J455" s="2">
        <v>103.42</v>
      </c>
      <c r="K455" s="2">
        <v>2423</v>
      </c>
      <c r="L455" s="2">
        <v>2068.4</v>
      </c>
      <c r="M455" s="2">
        <v>354.6</v>
      </c>
      <c r="N455">
        <v>2</v>
      </c>
    </row>
    <row r="456" spans="1:14" x14ac:dyDescent="0.3">
      <c r="A456" s="1">
        <v>37883</v>
      </c>
      <c r="B456">
        <v>10150</v>
      </c>
      <c r="C456">
        <v>148</v>
      </c>
      <c r="D456" t="s">
        <v>209</v>
      </c>
      <c r="E456" t="s">
        <v>147</v>
      </c>
      <c r="F456" t="s">
        <v>32</v>
      </c>
      <c r="G456" t="s">
        <v>33</v>
      </c>
      <c r="H456">
        <v>30</v>
      </c>
      <c r="I456" s="2">
        <v>135.30000000000001</v>
      </c>
      <c r="J456" s="2">
        <v>77.900000000000006</v>
      </c>
      <c r="K456" s="2">
        <v>4059</v>
      </c>
      <c r="L456" s="2">
        <v>2337</v>
      </c>
      <c r="M456" s="2">
        <v>1722</v>
      </c>
      <c r="N456">
        <v>2</v>
      </c>
    </row>
    <row r="457" spans="1:14" x14ac:dyDescent="0.3">
      <c r="A457" s="1">
        <v>37883</v>
      </c>
      <c r="B457">
        <v>10150</v>
      </c>
      <c r="C457">
        <v>148</v>
      </c>
      <c r="D457" t="s">
        <v>209</v>
      </c>
      <c r="E457" t="s">
        <v>147</v>
      </c>
      <c r="F457" t="s">
        <v>32</v>
      </c>
      <c r="G457" t="s">
        <v>34</v>
      </c>
      <c r="H457">
        <v>34</v>
      </c>
      <c r="I457" s="2">
        <v>95.67</v>
      </c>
      <c r="J457" s="2">
        <v>58.33</v>
      </c>
      <c r="K457" s="2">
        <v>3252.78</v>
      </c>
      <c r="L457" s="2">
        <v>1983.22</v>
      </c>
      <c r="M457" s="2">
        <v>1269.56</v>
      </c>
      <c r="N457">
        <v>2</v>
      </c>
    </row>
    <row r="458" spans="1:14" x14ac:dyDescent="0.3">
      <c r="A458" s="1">
        <v>37883</v>
      </c>
      <c r="B458">
        <v>10150</v>
      </c>
      <c r="C458">
        <v>148</v>
      </c>
      <c r="D458" t="s">
        <v>209</v>
      </c>
      <c r="E458" t="s">
        <v>147</v>
      </c>
      <c r="F458" t="s">
        <v>15</v>
      </c>
      <c r="G458" t="s">
        <v>36</v>
      </c>
      <c r="H458">
        <v>47</v>
      </c>
      <c r="I458" s="2">
        <v>93.21</v>
      </c>
      <c r="J458" s="2">
        <v>60.78</v>
      </c>
      <c r="K458" s="2">
        <v>4380.87</v>
      </c>
      <c r="L458" s="2">
        <v>2856.66</v>
      </c>
      <c r="M458" s="2">
        <v>1524.21</v>
      </c>
      <c r="N458">
        <v>2</v>
      </c>
    </row>
    <row r="459" spans="1:14" x14ac:dyDescent="0.3">
      <c r="A459" s="1">
        <v>37883</v>
      </c>
      <c r="B459">
        <v>10150</v>
      </c>
      <c r="C459">
        <v>148</v>
      </c>
      <c r="D459" t="s">
        <v>209</v>
      </c>
      <c r="E459" t="s">
        <v>147</v>
      </c>
      <c r="F459" t="s">
        <v>15</v>
      </c>
      <c r="G459" t="s">
        <v>37</v>
      </c>
      <c r="H459">
        <v>30</v>
      </c>
      <c r="I459" s="2">
        <v>56.21</v>
      </c>
      <c r="J459" s="2">
        <v>34.35</v>
      </c>
      <c r="K459" s="2">
        <v>1686.3</v>
      </c>
      <c r="L459" s="2">
        <v>1030.5</v>
      </c>
      <c r="M459" s="2">
        <v>655.8</v>
      </c>
      <c r="N459">
        <v>2</v>
      </c>
    </row>
    <row r="460" spans="1:14" x14ac:dyDescent="0.3">
      <c r="A460" s="1">
        <v>37883</v>
      </c>
      <c r="B460">
        <v>10150</v>
      </c>
      <c r="C460">
        <v>148</v>
      </c>
      <c r="D460" t="s">
        <v>209</v>
      </c>
      <c r="E460" t="s">
        <v>147</v>
      </c>
      <c r="F460" t="s">
        <v>15</v>
      </c>
      <c r="G460" t="s">
        <v>38</v>
      </c>
      <c r="H460">
        <v>26</v>
      </c>
      <c r="I460" s="2">
        <v>97.39</v>
      </c>
      <c r="J460" s="2">
        <v>60.74</v>
      </c>
      <c r="K460" s="2">
        <v>2532.14</v>
      </c>
      <c r="L460" s="2">
        <v>1579.24</v>
      </c>
      <c r="M460" s="2">
        <v>952.9</v>
      </c>
      <c r="N460">
        <v>2</v>
      </c>
    </row>
    <row r="461" spans="1:14" x14ac:dyDescent="0.3">
      <c r="A461" s="1">
        <v>37883</v>
      </c>
      <c r="B461">
        <v>10150</v>
      </c>
      <c r="C461">
        <v>148</v>
      </c>
      <c r="D461" t="s">
        <v>209</v>
      </c>
      <c r="E461" t="s">
        <v>147</v>
      </c>
      <c r="F461" t="s">
        <v>32</v>
      </c>
      <c r="G461" t="s">
        <v>40</v>
      </c>
      <c r="H461">
        <v>49</v>
      </c>
      <c r="I461" s="2">
        <v>111.39</v>
      </c>
      <c r="J461" s="2">
        <v>84.76</v>
      </c>
      <c r="K461" s="2">
        <v>5458.11</v>
      </c>
      <c r="L461" s="2">
        <v>4153.24</v>
      </c>
      <c r="M461" s="2">
        <v>1304.8699999999999</v>
      </c>
      <c r="N461">
        <v>2</v>
      </c>
    </row>
    <row r="462" spans="1:14" x14ac:dyDescent="0.3">
      <c r="A462" s="1">
        <v>37883</v>
      </c>
      <c r="B462">
        <v>10150</v>
      </c>
      <c r="C462">
        <v>148</v>
      </c>
      <c r="D462" t="s">
        <v>209</v>
      </c>
      <c r="E462" t="s">
        <v>147</v>
      </c>
      <c r="F462" t="s">
        <v>15</v>
      </c>
      <c r="G462" t="s">
        <v>41</v>
      </c>
      <c r="H462">
        <v>30</v>
      </c>
      <c r="I462" s="2">
        <v>47.29</v>
      </c>
      <c r="J462" s="2">
        <v>23.14</v>
      </c>
      <c r="K462" s="2">
        <v>1418.7</v>
      </c>
      <c r="L462" s="2">
        <v>694.2</v>
      </c>
      <c r="M462" s="2">
        <v>724.5</v>
      </c>
      <c r="N462">
        <v>2</v>
      </c>
    </row>
    <row r="463" spans="1:14" x14ac:dyDescent="0.3">
      <c r="A463" s="1">
        <v>37883</v>
      </c>
      <c r="B463">
        <v>10150</v>
      </c>
      <c r="C463">
        <v>148</v>
      </c>
      <c r="D463" t="s">
        <v>209</v>
      </c>
      <c r="E463" t="s">
        <v>147</v>
      </c>
      <c r="F463" t="s">
        <v>32</v>
      </c>
      <c r="G463" t="s">
        <v>45</v>
      </c>
      <c r="H463">
        <v>49</v>
      </c>
      <c r="I463" s="2">
        <v>62.05</v>
      </c>
      <c r="J463" s="2">
        <v>33.61</v>
      </c>
      <c r="K463" s="2">
        <v>3040.45</v>
      </c>
      <c r="L463" s="2">
        <v>1646.89</v>
      </c>
      <c r="M463" s="2">
        <v>1393.56</v>
      </c>
      <c r="N463">
        <v>2</v>
      </c>
    </row>
    <row r="464" spans="1:14" x14ac:dyDescent="0.3">
      <c r="A464" s="1">
        <v>37883</v>
      </c>
      <c r="B464">
        <v>10150</v>
      </c>
      <c r="C464">
        <v>148</v>
      </c>
      <c r="D464" t="s">
        <v>209</v>
      </c>
      <c r="E464" t="s">
        <v>147</v>
      </c>
      <c r="F464" t="s">
        <v>29</v>
      </c>
      <c r="G464" t="s">
        <v>46</v>
      </c>
      <c r="H464">
        <v>20</v>
      </c>
      <c r="I464" s="2">
        <v>95.08</v>
      </c>
      <c r="J464" s="2">
        <v>46.53</v>
      </c>
      <c r="K464" s="2">
        <v>1901.6</v>
      </c>
      <c r="L464" s="2">
        <v>930.6</v>
      </c>
      <c r="M464" s="2">
        <v>971</v>
      </c>
      <c r="N464">
        <v>2</v>
      </c>
    </row>
    <row r="465" spans="1:14" x14ac:dyDescent="0.3">
      <c r="A465" s="1">
        <v>37885</v>
      </c>
      <c r="B465">
        <v>10151</v>
      </c>
      <c r="C465">
        <v>311</v>
      </c>
      <c r="D465" t="s">
        <v>220</v>
      </c>
      <c r="E465" t="s">
        <v>164</v>
      </c>
      <c r="F465" t="s">
        <v>32</v>
      </c>
      <c r="G465" t="s">
        <v>50</v>
      </c>
      <c r="H465">
        <v>24</v>
      </c>
      <c r="I465" s="2">
        <v>114.95</v>
      </c>
      <c r="J465" s="2">
        <v>55.7</v>
      </c>
      <c r="K465" s="2">
        <v>2758.8</v>
      </c>
      <c r="L465" s="2">
        <v>1336.8</v>
      </c>
      <c r="M465" s="2">
        <v>1422</v>
      </c>
      <c r="N465">
        <v>1</v>
      </c>
    </row>
    <row r="466" spans="1:14" x14ac:dyDescent="0.3">
      <c r="A466" s="1">
        <v>37885</v>
      </c>
      <c r="B466">
        <v>10151</v>
      </c>
      <c r="C466">
        <v>311</v>
      </c>
      <c r="D466" t="s">
        <v>220</v>
      </c>
      <c r="E466" t="s">
        <v>164</v>
      </c>
      <c r="F466" t="s">
        <v>29</v>
      </c>
      <c r="G466" t="s">
        <v>51</v>
      </c>
      <c r="H466">
        <v>43</v>
      </c>
      <c r="I466" s="2">
        <v>152.27000000000001</v>
      </c>
      <c r="J466" s="2">
        <v>101.51</v>
      </c>
      <c r="K466" s="2">
        <v>6547.61</v>
      </c>
      <c r="L466" s="2">
        <v>4364.93</v>
      </c>
      <c r="M466" s="2">
        <v>2182.6799999999998</v>
      </c>
      <c r="N466">
        <v>1</v>
      </c>
    </row>
    <row r="467" spans="1:14" x14ac:dyDescent="0.3">
      <c r="A467" s="1">
        <v>37885</v>
      </c>
      <c r="B467">
        <v>10151</v>
      </c>
      <c r="C467">
        <v>311</v>
      </c>
      <c r="D467" t="s">
        <v>220</v>
      </c>
      <c r="E467" t="s">
        <v>164</v>
      </c>
      <c r="F467" t="s">
        <v>32</v>
      </c>
      <c r="G467" t="s">
        <v>52</v>
      </c>
      <c r="H467">
        <v>49</v>
      </c>
      <c r="I467" s="2">
        <v>106.78</v>
      </c>
      <c r="J467" s="2">
        <v>74.86</v>
      </c>
      <c r="K467" s="2">
        <v>5232.22</v>
      </c>
      <c r="L467" s="2">
        <v>3668.14</v>
      </c>
      <c r="M467" s="2">
        <v>1564.08</v>
      </c>
      <c r="N467">
        <v>1</v>
      </c>
    </row>
    <row r="468" spans="1:14" x14ac:dyDescent="0.3">
      <c r="A468" s="1">
        <v>37885</v>
      </c>
      <c r="B468">
        <v>10151</v>
      </c>
      <c r="C468">
        <v>311</v>
      </c>
      <c r="D468" t="s">
        <v>220</v>
      </c>
      <c r="E468" t="s">
        <v>164</v>
      </c>
      <c r="F468" t="s">
        <v>32</v>
      </c>
      <c r="G468" t="s">
        <v>35</v>
      </c>
      <c r="H468">
        <v>39</v>
      </c>
      <c r="I468" s="2">
        <v>58.34</v>
      </c>
      <c r="J468" s="2">
        <v>24.92</v>
      </c>
      <c r="K468" s="2">
        <v>2275.2600000000002</v>
      </c>
      <c r="L468" s="2">
        <v>971.88</v>
      </c>
      <c r="M468" s="2">
        <v>1303.3800000000001</v>
      </c>
      <c r="N468">
        <v>1</v>
      </c>
    </row>
    <row r="469" spans="1:14" x14ac:dyDescent="0.3">
      <c r="A469" s="1">
        <v>37885</v>
      </c>
      <c r="B469">
        <v>10151</v>
      </c>
      <c r="C469">
        <v>311</v>
      </c>
      <c r="D469" t="s">
        <v>220</v>
      </c>
      <c r="E469" t="s">
        <v>164</v>
      </c>
      <c r="F469" t="s">
        <v>29</v>
      </c>
      <c r="G469" t="s">
        <v>53</v>
      </c>
      <c r="H469">
        <v>21</v>
      </c>
      <c r="I469" s="2">
        <v>167.65</v>
      </c>
      <c r="J469" s="2">
        <v>77.900000000000006</v>
      </c>
      <c r="K469" s="2">
        <v>3520.65</v>
      </c>
      <c r="L469" s="2">
        <v>1635.9</v>
      </c>
      <c r="M469" s="2">
        <v>1884.75</v>
      </c>
      <c r="N469">
        <v>1</v>
      </c>
    </row>
    <row r="470" spans="1:14" x14ac:dyDescent="0.3">
      <c r="A470" s="1">
        <v>37885</v>
      </c>
      <c r="B470">
        <v>10151</v>
      </c>
      <c r="C470">
        <v>311</v>
      </c>
      <c r="D470" t="s">
        <v>220</v>
      </c>
      <c r="E470" t="s">
        <v>164</v>
      </c>
      <c r="F470" t="s">
        <v>32</v>
      </c>
      <c r="G470" t="s">
        <v>42</v>
      </c>
      <c r="H470">
        <v>42</v>
      </c>
      <c r="I470" s="2">
        <v>109.9</v>
      </c>
      <c r="J470" s="2">
        <v>61.34</v>
      </c>
      <c r="K470" s="2">
        <v>4615.8</v>
      </c>
      <c r="L470" s="2">
        <v>2576.2800000000002</v>
      </c>
      <c r="M470" s="2">
        <v>2039.52</v>
      </c>
      <c r="N470">
        <v>1</v>
      </c>
    </row>
    <row r="471" spans="1:14" x14ac:dyDescent="0.3">
      <c r="A471" s="1">
        <v>37885</v>
      </c>
      <c r="B471">
        <v>10151</v>
      </c>
      <c r="C471">
        <v>311</v>
      </c>
      <c r="D471" t="s">
        <v>220</v>
      </c>
      <c r="E471" t="s">
        <v>164</v>
      </c>
      <c r="F471" t="s">
        <v>29</v>
      </c>
      <c r="G471" t="s">
        <v>56</v>
      </c>
      <c r="H471">
        <v>30</v>
      </c>
      <c r="I471" s="2">
        <v>29.35</v>
      </c>
      <c r="J471" s="2">
        <v>15.91</v>
      </c>
      <c r="K471" s="2">
        <v>880.5</v>
      </c>
      <c r="L471" s="2">
        <v>477.3</v>
      </c>
      <c r="M471" s="2">
        <v>403.2</v>
      </c>
      <c r="N471">
        <v>1</v>
      </c>
    </row>
    <row r="472" spans="1:14" x14ac:dyDescent="0.3">
      <c r="A472" s="1">
        <v>37885</v>
      </c>
      <c r="B472">
        <v>10151</v>
      </c>
      <c r="C472">
        <v>311</v>
      </c>
      <c r="D472" t="s">
        <v>220</v>
      </c>
      <c r="E472" t="s">
        <v>164</v>
      </c>
      <c r="F472" t="s">
        <v>32</v>
      </c>
      <c r="G472" t="s">
        <v>44</v>
      </c>
      <c r="H472">
        <v>27</v>
      </c>
      <c r="I472" s="2">
        <v>84.75</v>
      </c>
      <c r="J472" s="2">
        <v>53.93</v>
      </c>
      <c r="K472" s="2">
        <v>2288.25</v>
      </c>
      <c r="L472" s="2">
        <v>1456.11</v>
      </c>
      <c r="M472" s="2">
        <v>832.14</v>
      </c>
      <c r="N472">
        <v>1</v>
      </c>
    </row>
    <row r="473" spans="1:14" x14ac:dyDescent="0.3">
      <c r="A473" s="1">
        <v>37885</v>
      </c>
      <c r="B473">
        <v>10151</v>
      </c>
      <c r="C473">
        <v>311</v>
      </c>
      <c r="D473" t="s">
        <v>220</v>
      </c>
      <c r="E473" t="s">
        <v>164</v>
      </c>
      <c r="F473" t="s">
        <v>32</v>
      </c>
      <c r="G473" t="s">
        <v>58</v>
      </c>
      <c r="H473">
        <v>41</v>
      </c>
      <c r="I473" s="2">
        <v>43.29</v>
      </c>
      <c r="J473" s="2">
        <v>25.98</v>
      </c>
      <c r="K473" s="2">
        <v>1774.89</v>
      </c>
      <c r="L473" s="2">
        <v>1065.18</v>
      </c>
      <c r="M473" s="2">
        <v>709.71</v>
      </c>
      <c r="N473">
        <v>1</v>
      </c>
    </row>
    <row r="474" spans="1:14" x14ac:dyDescent="0.3">
      <c r="A474" s="1">
        <v>37885</v>
      </c>
      <c r="B474">
        <v>10151</v>
      </c>
      <c r="C474">
        <v>311</v>
      </c>
      <c r="D474" t="s">
        <v>220</v>
      </c>
      <c r="E474" t="s">
        <v>164</v>
      </c>
      <c r="F474" t="s">
        <v>32</v>
      </c>
      <c r="G474" t="s">
        <v>61</v>
      </c>
      <c r="H474">
        <v>26</v>
      </c>
      <c r="I474" s="2">
        <v>108.81</v>
      </c>
      <c r="J474" s="2">
        <v>68.290000000000006</v>
      </c>
      <c r="K474" s="2">
        <v>2829.06</v>
      </c>
      <c r="L474" s="2">
        <v>1775.54</v>
      </c>
      <c r="M474" s="2">
        <v>1053.52</v>
      </c>
      <c r="N474">
        <v>1</v>
      </c>
    </row>
    <row r="475" spans="1:14" x14ac:dyDescent="0.3">
      <c r="A475" s="1">
        <v>37889</v>
      </c>
      <c r="B475">
        <v>10152</v>
      </c>
      <c r="C475">
        <v>333</v>
      </c>
      <c r="D475" t="s">
        <v>166</v>
      </c>
      <c r="E475" t="s">
        <v>151</v>
      </c>
      <c r="F475" t="s">
        <v>29</v>
      </c>
      <c r="G475" t="s">
        <v>54</v>
      </c>
      <c r="H475">
        <v>35</v>
      </c>
      <c r="I475" s="2">
        <v>117.77</v>
      </c>
      <c r="J475" s="2">
        <v>91.92</v>
      </c>
      <c r="K475" s="2">
        <v>4121.95</v>
      </c>
      <c r="L475" s="2">
        <v>3217.2</v>
      </c>
      <c r="M475" s="2">
        <v>904.75</v>
      </c>
      <c r="N475">
        <v>1</v>
      </c>
    </row>
    <row r="476" spans="1:14" x14ac:dyDescent="0.3">
      <c r="A476" s="1">
        <v>37889</v>
      </c>
      <c r="B476">
        <v>10152</v>
      </c>
      <c r="C476">
        <v>333</v>
      </c>
      <c r="D476" t="s">
        <v>166</v>
      </c>
      <c r="E476" t="s">
        <v>151</v>
      </c>
      <c r="F476" t="s">
        <v>29</v>
      </c>
      <c r="G476" t="s">
        <v>55</v>
      </c>
      <c r="H476">
        <v>25</v>
      </c>
      <c r="I476" s="2">
        <v>49.13</v>
      </c>
      <c r="J476" s="2">
        <v>32.369999999999997</v>
      </c>
      <c r="K476" s="2">
        <v>1228.25</v>
      </c>
      <c r="L476" s="2">
        <v>809.25</v>
      </c>
      <c r="M476" s="2">
        <v>419</v>
      </c>
      <c r="N476">
        <v>1</v>
      </c>
    </row>
    <row r="477" spans="1:14" x14ac:dyDescent="0.3">
      <c r="A477" s="1">
        <v>37889</v>
      </c>
      <c r="B477">
        <v>10152</v>
      </c>
      <c r="C477">
        <v>333</v>
      </c>
      <c r="D477" t="s">
        <v>166</v>
      </c>
      <c r="E477" t="s">
        <v>151</v>
      </c>
      <c r="F477" t="s">
        <v>29</v>
      </c>
      <c r="G477" t="s">
        <v>57</v>
      </c>
      <c r="H477">
        <v>23</v>
      </c>
      <c r="I477" s="2">
        <v>112.37</v>
      </c>
      <c r="J477" s="2">
        <v>69.78</v>
      </c>
      <c r="K477" s="2">
        <v>2584.5100000000002</v>
      </c>
      <c r="L477" s="2">
        <v>1604.94</v>
      </c>
      <c r="M477" s="2">
        <v>979.57</v>
      </c>
      <c r="N477">
        <v>1</v>
      </c>
    </row>
    <row r="478" spans="1:14" x14ac:dyDescent="0.3">
      <c r="A478" s="1">
        <v>37889</v>
      </c>
      <c r="B478">
        <v>10152</v>
      </c>
      <c r="C478">
        <v>333</v>
      </c>
      <c r="D478" t="s">
        <v>166</v>
      </c>
      <c r="E478" t="s">
        <v>151</v>
      </c>
      <c r="F478" t="s">
        <v>59</v>
      </c>
      <c r="G478" t="s">
        <v>60</v>
      </c>
      <c r="H478">
        <v>33</v>
      </c>
      <c r="I478" s="2">
        <v>57.17</v>
      </c>
      <c r="J478" s="2">
        <v>26.72</v>
      </c>
      <c r="K478" s="2">
        <v>1886.61</v>
      </c>
      <c r="L478" s="2">
        <v>881.76</v>
      </c>
      <c r="M478" s="2">
        <v>1004.85</v>
      </c>
      <c r="N478">
        <v>1</v>
      </c>
    </row>
    <row r="479" spans="1:14" x14ac:dyDescent="0.3">
      <c r="A479" s="1">
        <v>37892</v>
      </c>
      <c r="B479">
        <v>10153</v>
      </c>
      <c r="C479">
        <v>141</v>
      </c>
      <c r="D479" t="s">
        <v>47</v>
      </c>
      <c r="E479" t="s">
        <v>48</v>
      </c>
      <c r="F479" t="s">
        <v>29</v>
      </c>
      <c r="G479" t="s">
        <v>66</v>
      </c>
      <c r="H479">
        <v>20</v>
      </c>
      <c r="I479" s="2">
        <v>201.57</v>
      </c>
      <c r="J479" s="2">
        <v>95.59</v>
      </c>
      <c r="K479" s="2">
        <v>4031.4</v>
      </c>
      <c r="L479" s="2">
        <v>1911.8</v>
      </c>
      <c r="M479" s="2">
        <v>2119.6</v>
      </c>
      <c r="N479">
        <v>4</v>
      </c>
    </row>
    <row r="480" spans="1:14" x14ac:dyDescent="0.3">
      <c r="A480" s="1">
        <v>37892</v>
      </c>
      <c r="B480">
        <v>10153</v>
      </c>
      <c r="C480">
        <v>141</v>
      </c>
      <c r="D480" t="s">
        <v>47</v>
      </c>
      <c r="E480" t="s">
        <v>48</v>
      </c>
      <c r="F480" t="s">
        <v>29</v>
      </c>
      <c r="G480" t="s">
        <v>49</v>
      </c>
      <c r="H480">
        <v>42</v>
      </c>
      <c r="I480" s="2">
        <v>128.41999999999999</v>
      </c>
      <c r="J480" s="2">
        <v>89.14</v>
      </c>
      <c r="K480" s="2">
        <v>5393.64</v>
      </c>
      <c r="L480" s="2">
        <v>3743.88</v>
      </c>
      <c r="M480" s="2">
        <v>1649.76</v>
      </c>
      <c r="N480">
        <v>4</v>
      </c>
    </row>
    <row r="481" spans="1:14" x14ac:dyDescent="0.3">
      <c r="A481" s="1">
        <v>37892</v>
      </c>
      <c r="B481">
        <v>10153</v>
      </c>
      <c r="C481">
        <v>141</v>
      </c>
      <c r="D481" t="s">
        <v>47</v>
      </c>
      <c r="E481" t="s">
        <v>48</v>
      </c>
      <c r="F481" t="s">
        <v>29</v>
      </c>
      <c r="G481" t="s">
        <v>67</v>
      </c>
      <c r="H481">
        <v>49</v>
      </c>
      <c r="I481" s="2">
        <v>155.72</v>
      </c>
      <c r="J481" s="2">
        <v>83.05</v>
      </c>
      <c r="K481" s="2">
        <v>7630.28</v>
      </c>
      <c r="L481" s="2">
        <v>4069.45</v>
      </c>
      <c r="M481" s="2">
        <v>3560.83</v>
      </c>
      <c r="N481">
        <v>4</v>
      </c>
    </row>
    <row r="482" spans="1:14" x14ac:dyDescent="0.3">
      <c r="A482" s="1">
        <v>37892</v>
      </c>
      <c r="B482">
        <v>10153</v>
      </c>
      <c r="C482">
        <v>141</v>
      </c>
      <c r="D482" t="s">
        <v>47</v>
      </c>
      <c r="E482" t="s">
        <v>48</v>
      </c>
      <c r="F482" t="s">
        <v>15</v>
      </c>
      <c r="G482" t="s">
        <v>68</v>
      </c>
      <c r="H482">
        <v>31</v>
      </c>
      <c r="I482" s="2">
        <v>125.66</v>
      </c>
      <c r="J482" s="2">
        <v>68.3</v>
      </c>
      <c r="K482" s="2">
        <v>3895.46</v>
      </c>
      <c r="L482" s="2">
        <v>2117.3000000000002</v>
      </c>
      <c r="M482" s="2">
        <v>1778.16</v>
      </c>
      <c r="N482">
        <v>4</v>
      </c>
    </row>
    <row r="483" spans="1:14" x14ac:dyDescent="0.3">
      <c r="A483" s="1">
        <v>37892</v>
      </c>
      <c r="B483">
        <v>10153</v>
      </c>
      <c r="C483">
        <v>141</v>
      </c>
      <c r="D483" t="s">
        <v>47</v>
      </c>
      <c r="E483" t="s">
        <v>48</v>
      </c>
      <c r="F483" t="s">
        <v>59</v>
      </c>
      <c r="G483" t="s">
        <v>69</v>
      </c>
      <c r="H483">
        <v>29</v>
      </c>
      <c r="I483" s="2">
        <v>82.69</v>
      </c>
      <c r="J483" s="2">
        <v>67.56</v>
      </c>
      <c r="K483" s="2">
        <v>2398.0100000000002</v>
      </c>
      <c r="L483" s="2">
        <v>1959.24</v>
      </c>
      <c r="M483" s="2">
        <v>438.77</v>
      </c>
      <c r="N483">
        <v>4</v>
      </c>
    </row>
    <row r="484" spans="1:14" x14ac:dyDescent="0.3">
      <c r="A484" s="1">
        <v>37892</v>
      </c>
      <c r="B484">
        <v>10153</v>
      </c>
      <c r="C484">
        <v>141</v>
      </c>
      <c r="D484" t="s">
        <v>47</v>
      </c>
      <c r="E484" t="s">
        <v>48</v>
      </c>
      <c r="F484" t="s">
        <v>15</v>
      </c>
      <c r="G484" t="s">
        <v>70</v>
      </c>
      <c r="H484">
        <v>22</v>
      </c>
      <c r="I484" s="2">
        <v>82.5</v>
      </c>
      <c r="J484" s="2">
        <v>52.66</v>
      </c>
      <c r="K484" s="2">
        <v>1815</v>
      </c>
      <c r="L484" s="2">
        <v>1158.52</v>
      </c>
      <c r="M484" s="2">
        <v>656.48</v>
      </c>
      <c r="N484">
        <v>4</v>
      </c>
    </row>
    <row r="485" spans="1:14" x14ac:dyDescent="0.3">
      <c r="A485" s="1">
        <v>37892</v>
      </c>
      <c r="B485">
        <v>10153</v>
      </c>
      <c r="C485">
        <v>141</v>
      </c>
      <c r="D485" t="s">
        <v>47</v>
      </c>
      <c r="E485" t="s">
        <v>48</v>
      </c>
      <c r="F485" t="s">
        <v>71</v>
      </c>
      <c r="G485" t="s">
        <v>72</v>
      </c>
      <c r="H485">
        <v>40</v>
      </c>
      <c r="I485" s="2">
        <v>111.83</v>
      </c>
      <c r="J485" s="2">
        <v>82.34</v>
      </c>
      <c r="K485" s="2">
        <v>4473.2</v>
      </c>
      <c r="L485" s="2">
        <v>3293.6</v>
      </c>
      <c r="M485" s="2">
        <v>1179.5999999999999</v>
      </c>
      <c r="N485">
        <v>4</v>
      </c>
    </row>
    <row r="486" spans="1:14" x14ac:dyDescent="0.3">
      <c r="A486" s="1">
        <v>37892</v>
      </c>
      <c r="B486">
        <v>10153</v>
      </c>
      <c r="C486">
        <v>141</v>
      </c>
      <c r="D486" t="s">
        <v>47</v>
      </c>
      <c r="E486" t="s">
        <v>48</v>
      </c>
      <c r="F486" t="s">
        <v>59</v>
      </c>
      <c r="G486" t="s">
        <v>62</v>
      </c>
      <c r="H486">
        <v>31</v>
      </c>
      <c r="I486" s="2">
        <v>53.31</v>
      </c>
      <c r="J486" s="2">
        <v>37.49</v>
      </c>
      <c r="K486" s="2">
        <v>1652.61</v>
      </c>
      <c r="L486" s="2">
        <v>1162.19</v>
      </c>
      <c r="M486" s="2">
        <v>490.42</v>
      </c>
      <c r="N486">
        <v>4</v>
      </c>
    </row>
    <row r="487" spans="1:14" x14ac:dyDescent="0.3">
      <c r="A487" s="1">
        <v>37892</v>
      </c>
      <c r="B487">
        <v>10153</v>
      </c>
      <c r="C487">
        <v>141</v>
      </c>
      <c r="D487" t="s">
        <v>47</v>
      </c>
      <c r="E487" t="s">
        <v>48</v>
      </c>
      <c r="F487" t="s">
        <v>71</v>
      </c>
      <c r="G487" t="s">
        <v>75</v>
      </c>
      <c r="H487">
        <v>43</v>
      </c>
      <c r="I487" s="2">
        <v>58</v>
      </c>
      <c r="J487" s="2">
        <v>34</v>
      </c>
      <c r="K487" s="2">
        <v>2494</v>
      </c>
      <c r="L487" s="2">
        <v>1462</v>
      </c>
      <c r="M487" s="2">
        <v>1032</v>
      </c>
      <c r="N487">
        <v>4</v>
      </c>
    </row>
    <row r="488" spans="1:14" x14ac:dyDescent="0.3">
      <c r="A488" s="1">
        <v>37892</v>
      </c>
      <c r="B488">
        <v>10153</v>
      </c>
      <c r="C488">
        <v>141</v>
      </c>
      <c r="D488" t="s">
        <v>47</v>
      </c>
      <c r="E488" t="s">
        <v>48</v>
      </c>
      <c r="F488" t="s">
        <v>71</v>
      </c>
      <c r="G488" t="s">
        <v>76</v>
      </c>
      <c r="H488">
        <v>31</v>
      </c>
      <c r="I488" s="2">
        <v>80.55</v>
      </c>
      <c r="J488" s="2">
        <v>43.3</v>
      </c>
      <c r="K488" s="2">
        <v>2497.0500000000002</v>
      </c>
      <c r="L488" s="2">
        <v>1342.3</v>
      </c>
      <c r="M488" s="2">
        <v>1154.75</v>
      </c>
      <c r="N488">
        <v>4</v>
      </c>
    </row>
    <row r="489" spans="1:14" x14ac:dyDescent="0.3">
      <c r="A489" s="1">
        <v>37892</v>
      </c>
      <c r="B489">
        <v>10153</v>
      </c>
      <c r="C489">
        <v>141</v>
      </c>
      <c r="D489" t="s">
        <v>47</v>
      </c>
      <c r="E489" t="s">
        <v>48</v>
      </c>
      <c r="F489" t="s">
        <v>71</v>
      </c>
      <c r="G489" t="s">
        <v>78</v>
      </c>
      <c r="H489">
        <v>50</v>
      </c>
      <c r="I489" s="2">
        <v>87.15</v>
      </c>
      <c r="J489" s="2">
        <v>51.09</v>
      </c>
      <c r="K489" s="2">
        <v>4357.5</v>
      </c>
      <c r="L489" s="2">
        <v>2554.5</v>
      </c>
      <c r="M489" s="2">
        <v>1803</v>
      </c>
      <c r="N489">
        <v>4</v>
      </c>
    </row>
    <row r="490" spans="1:14" x14ac:dyDescent="0.3">
      <c r="A490" s="1">
        <v>37892</v>
      </c>
      <c r="B490">
        <v>10153</v>
      </c>
      <c r="C490">
        <v>141</v>
      </c>
      <c r="D490" t="s">
        <v>47</v>
      </c>
      <c r="E490" t="s">
        <v>48</v>
      </c>
      <c r="F490" t="s">
        <v>71</v>
      </c>
      <c r="G490" t="s">
        <v>79</v>
      </c>
      <c r="H490">
        <v>20</v>
      </c>
      <c r="I490" s="2">
        <v>85.41</v>
      </c>
      <c r="J490" s="2">
        <v>53.63</v>
      </c>
      <c r="K490" s="2">
        <v>1708.2</v>
      </c>
      <c r="L490" s="2">
        <v>1072.5999999999999</v>
      </c>
      <c r="M490" s="2">
        <v>635.6</v>
      </c>
      <c r="N490">
        <v>4</v>
      </c>
    </row>
    <row r="491" spans="1:14" x14ac:dyDescent="0.3">
      <c r="A491" s="1">
        <v>37892</v>
      </c>
      <c r="B491">
        <v>10153</v>
      </c>
      <c r="C491">
        <v>141</v>
      </c>
      <c r="D491" t="s">
        <v>47</v>
      </c>
      <c r="E491" t="s">
        <v>48</v>
      </c>
      <c r="F491" t="s">
        <v>71</v>
      </c>
      <c r="G491" t="s">
        <v>80</v>
      </c>
      <c r="H491">
        <v>50</v>
      </c>
      <c r="I491" s="2">
        <v>51.87</v>
      </c>
      <c r="J491" s="2">
        <v>33.299999999999997</v>
      </c>
      <c r="K491" s="2">
        <v>2593.5</v>
      </c>
      <c r="L491" s="2">
        <v>1665</v>
      </c>
      <c r="M491" s="2">
        <v>928.5</v>
      </c>
      <c r="N491">
        <v>4</v>
      </c>
    </row>
    <row r="492" spans="1:14" x14ac:dyDescent="0.3">
      <c r="A492" s="1">
        <v>37896</v>
      </c>
      <c r="B492">
        <v>10154</v>
      </c>
      <c r="C492">
        <v>219</v>
      </c>
      <c r="D492" t="s">
        <v>221</v>
      </c>
      <c r="E492" t="s">
        <v>14</v>
      </c>
      <c r="F492" t="s">
        <v>15</v>
      </c>
      <c r="G492" t="s">
        <v>73</v>
      </c>
      <c r="H492">
        <v>31</v>
      </c>
      <c r="I492" s="2">
        <v>75.23</v>
      </c>
      <c r="J492" s="2">
        <v>46.91</v>
      </c>
      <c r="K492" s="2">
        <v>2332.13</v>
      </c>
      <c r="L492" s="2">
        <v>1454.21</v>
      </c>
      <c r="M492" s="2">
        <v>877.92</v>
      </c>
      <c r="N492">
        <v>1</v>
      </c>
    </row>
    <row r="493" spans="1:14" x14ac:dyDescent="0.3">
      <c r="A493" s="1">
        <v>37896</v>
      </c>
      <c r="B493">
        <v>10154</v>
      </c>
      <c r="C493">
        <v>219</v>
      </c>
      <c r="D493" t="s">
        <v>221</v>
      </c>
      <c r="E493" t="s">
        <v>14</v>
      </c>
      <c r="F493" t="s">
        <v>71</v>
      </c>
      <c r="G493" t="s">
        <v>77</v>
      </c>
      <c r="H493">
        <v>36</v>
      </c>
      <c r="I493" s="2">
        <v>59.27</v>
      </c>
      <c r="J493" s="2">
        <v>33.97</v>
      </c>
      <c r="K493" s="2">
        <v>2133.7199999999998</v>
      </c>
      <c r="L493" s="2">
        <v>1222.92</v>
      </c>
      <c r="M493" s="2">
        <v>910.8</v>
      </c>
      <c r="N493">
        <v>1</v>
      </c>
    </row>
    <row r="494" spans="1:14" x14ac:dyDescent="0.3">
      <c r="A494" s="1">
        <v>37898</v>
      </c>
      <c r="B494">
        <v>10300</v>
      </c>
      <c r="C494">
        <v>128</v>
      </c>
      <c r="D494" t="s">
        <v>199</v>
      </c>
      <c r="E494" t="s">
        <v>20</v>
      </c>
      <c r="F494" t="s">
        <v>29</v>
      </c>
      <c r="G494" t="s">
        <v>112</v>
      </c>
      <c r="H494">
        <v>33</v>
      </c>
      <c r="I494" s="2">
        <v>184.84</v>
      </c>
      <c r="J494" s="2">
        <v>95.34</v>
      </c>
      <c r="K494" s="2">
        <v>6099.72</v>
      </c>
      <c r="L494" s="2">
        <v>3146.22</v>
      </c>
      <c r="M494" s="2">
        <v>2953.5</v>
      </c>
      <c r="N494">
        <v>2</v>
      </c>
    </row>
    <row r="495" spans="1:14" x14ac:dyDescent="0.3">
      <c r="A495" s="1">
        <v>37898</v>
      </c>
      <c r="B495">
        <v>10300</v>
      </c>
      <c r="C495">
        <v>128</v>
      </c>
      <c r="D495" t="s">
        <v>199</v>
      </c>
      <c r="E495" t="s">
        <v>20</v>
      </c>
      <c r="F495" t="s">
        <v>29</v>
      </c>
      <c r="G495" t="s">
        <v>113</v>
      </c>
      <c r="H495">
        <v>29</v>
      </c>
      <c r="I495" s="2">
        <v>116.27</v>
      </c>
      <c r="J495" s="2">
        <v>75.16</v>
      </c>
      <c r="K495" s="2">
        <v>3371.83</v>
      </c>
      <c r="L495" s="2">
        <v>2179.64</v>
      </c>
      <c r="M495" s="2">
        <v>1192.19</v>
      </c>
      <c r="N495">
        <v>2</v>
      </c>
    </row>
    <row r="496" spans="1:14" x14ac:dyDescent="0.3">
      <c r="A496" s="1">
        <v>37898</v>
      </c>
      <c r="B496">
        <v>10300</v>
      </c>
      <c r="C496">
        <v>128</v>
      </c>
      <c r="D496" t="s">
        <v>199</v>
      </c>
      <c r="E496" t="s">
        <v>20</v>
      </c>
      <c r="F496" t="s">
        <v>29</v>
      </c>
      <c r="G496" t="s">
        <v>114</v>
      </c>
      <c r="H496">
        <v>22</v>
      </c>
      <c r="I496" s="2">
        <v>76.61</v>
      </c>
      <c r="J496" s="2">
        <v>31.92</v>
      </c>
      <c r="K496" s="2">
        <v>1685.42</v>
      </c>
      <c r="L496" s="2">
        <v>702.24</v>
      </c>
      <c r="M496" s="2">
        <v>983.18</v>
      </c>
      <c r="N496">
        <v>2</v>
      </c>
    </row>
    <row r="497" spans="1:14" x14ac:dyDescent="0.3">
      <c r="A497" s="1">
        <v>37898</v>
      </c>
      <c r="B497">
        <v>10300</v>
      </c>
      <c r="C497">
        <v>128</v>
      </c>
      <c r="D497" t="s">
        <v>199</v>
      </c>
      <c r="E497" t="s">
        <v>20</v>
      </c>
      <c r="F497" t="s">
        <v>29</v>
      </c>
      <c r="G497" t="s">
        <v>115</v>
      </c>
      <c r="H497">
        <v>23</v>
      </c>
      <c r="I497" s="2">
        <v>95.58</v>
      </c>
      <c r="J497" s="2">
        <v>58.73</v>
      </c>
      <c r="K497" s="2">
        <v>2198.34</v>
      </c>
      <c r="L497" s="2">
        <v>1350.79</v>
      </c>
      <c r="M497" s="2">
        <v>847.55</v>
      </c>
      <c r="N497">
        <v>2</v>
      </c>
    </row>
    <row r="498" spans="1:14" x14ac:dyDescent="0.3">
      <c r="A498" s="1">
        <v>37898</v>
      </c>
      <c r="B498">
        <v>10300</v>
      </c>
      <c r="C498">
        <v>128</v>
      </c>
      <c r="D498" t="s">
        <v>199</v>
      </c>
      <c r="E498" t="s">
        <v>20</v>
      </c>
      <c r="F498" t="s">
        <v>29</v>
      </c>
      <c r="G498" t="s">
        <v>116</v>
      </c>
      <c r="H498">
        <v>41</v>
      </c>
      <c r="I498" s="2">
        <v>63.14</v>
      </c>
      <c r="J498" s="2">
        <v>53.9</v>
      </c>
      <c r="K498" s="2">
        <v>2588.7399999999998</v>
      </c>
      <c r="L498" s="2">
        <v>2209.9</v>
      </c>
      <c r="M498" s="2">
        <v>378.84</v>
      </c>
      <c r="N498">
        <v>2</v>
      </c>
    </row>
    <row r="499" spans="1:14" x14ac:dyDescent="0.3">
      <c r="A499" s="1">
        <v>37898</v>
      </c>
      <c r="B499">
        <v>10300</v>
      </c>
      <c r="C499">
        <v>128</v>
      </c>
      <c r="D499" t="s">
        <v>199</v>
      </c>
      <c r="E499" t="s">
        <v>20</v>
      </c>
      <c r="F499" t="s">
        <v>29</v>
      </c>
      <c r="G499" t="s">
        <v>117</v>
      </c>
      <c r="H499">
        <v>49</v>
      </c>
      <c r="I499" s="2">
        <v>65.94</v>
      </c>
      <c r="J499" s="2">
        <v>49.05</v>
      </c>
      <c r="K499" s="2">
        <v>3231.06</v>
      </c>
      <c r="L499" s="2">
        <v>2403.4499999999998</v>
      </c>
      <c r="M499" s="2">
        <v>827.61</v>
      </c>
      <c r="N499">
        <v>2</v>
      </c>
    </row>
    <row r="500" spans="1:14" x14ac:dyDescent="0.3">
      <c r="A500" s="1">
        <v>37898</v>
      </c>
      <c r="B500">
        <v>10300</v>
      </c>
      <c r="C500">
        <v>128</v>
      </c>
      <c r="D500" t="s">
        <v>199</v>
      </c>
      <c r="E500" t="s">
        <v>20</v>
      </c>
      <c r="F500" t="s">
        <v>29</v>
      </c>
      <c r="G500" t="s">
        <v>118</v>
      </c>
      <c r="H500">
        <v>23</v>
      </c>
      <c r="I500" s="2">
        <v>144.05000000000001</v>
      </c>
      <c r="J500" s="2">
        <v>73.489999999999995</v>
      </c>
      <c r="K500" s="2">
        <v>3313.15</v>
      </c>
      <c r="L500" s="2">
        <v>1690.27</v>
      </c>
      <c r="M500" s="2">
        <v>1622.88</v>
      </c>
      <c r="N500">
        <v>2</v>
      </c>
    </row>
    <row r="501" spans="1:14" x14ac:dyDescent="0.3">
      <c r="A501" s="1">
        <v>37898</v>
      </c>
      <c r="B501">
        <v>10300</v>
      </c>
      <c r="C501">
        <v>128</v>
      </c>
      <c r="D501" t="s">
        <v>199</v>
      </c>
      <c r="E501" t="s">
        <v>20</v>
      </c>
      <c r="F501" t="s">
        <v>29</v>
      </c>
      <c r="G501" t="s">
        <v>122</v>
      </c>
      <c r="H501">
        <v>31</v>
      </c>
      <c r="I501" s="2">
        <v>52.05</v>
      </c>
      <c r="J501" s="2">
        <v>38.58</v>
      </c>
      <c r="K501" s="2">
        <v>1613.55</v>
      </c>
      <c r="L501" s="2">
        <v>1195.98</v>
      </c>
      <c r="M501" s="2">
        <v>417.57</v>
      </c>
      <c r="N501">
        <v>2</v>
      </c>
    </row>
    <row r="502" spans="1:14" x14ac:dyDescent="0.3">
      <c r="A502" s="1">
        <v>37899</v>
      </c>
      <c r="B502">
        <v>10301</v>
      </c>
      <c r="C502">
        <v>299</v>
      </c>
      <c r="D502" t="s">
        <v>222</v>
      </c>
      <c r="E502" t="str">
        <f>E12</f>
        <v>Norway</v>
      </c>
      <c r="F502" t="s">
        <v>29</v>
      </c>
      <c r="G502" t="s">
        <v>128</v>
      </c>
      <c r="H502">
        <v>37</v>
      </c>
      <c r="I502" s="2">
        <v>114.65</v>
      </c>
      <c r="J502" s="2">
        <v>83.51</v>
      </c>
      <c r="K502" s="2">
        <v>4242.05</v>
      </c>
      <c r="L502" s="2">
        <v>3089.87</v>
      </c>
      <c r="M502" s="2">
        <v>1152.18</v>
      </c>
      <c r="N502">
        <v>1</v>
      </c>
    </row>
    <row r="503" spans="1:14" x14ac:dyDescent="0.3">
      <c r="A503" s="1">
        <v>37899</v>
      </c>
      <c r="B503">
        <v>10301</v>
      </c>
      <c r="C503">
        <v>299</v>
      </c>
      <c r="D503" t="s">
        <v>222</v>
      </c>
      <c r="E503" t="s">
        <v>28</v>
      </c>
      <c r="F503" t="s">
        <v>29</v>
      </c>
      <c r="G503" t="s">
        <v>134</v>
      </c>
      <c r="H503">
        <v>32</v>
      </c>
      <c r="I503" s="2">
        <v>118.22</v>
      </c>
      <c r="J503" s="2">
        <v>65.959999999999994</v>
      </c>
      <c r="K503" s="2">
        <v>3783.04</v>
      </c>
      <c r="L503" s="2">
        <v>2110.7199999999998</v>
      </c>
      <c r="M503" s="2">
        <v>1672.32</v>
      </c>
      <c r="N503">
        <v>1</v>
      </c>
    </row>
    <row r="504" spans="1:14" x14ac:dyDescent="0.3">
      <c r="A504" s="1">
        <v>37899</v>
      </c>
      <c r="B504">
        <v>10301</v>
      </c>
      <c r="C504">
        <v>299</v>
      </c>
      <c r="D504" t="s">
        <v>222</v>
      </c>
      <c r="E504" t="s">
        <v>28</v>
      </c>
      <c r="F504" t="s">
        <v>29</v>
      </c>
      <c r="G504" t="s">
        <v>129</v>
      </c>
      <c r="H504">
        <v>47</v>
      </c>
      <c r="I504" s="2">
        <v>119.49</v>
      </c>
      <c r="J504" s="2">
        <v>93.89</v>
      </c>
      <c r="K504" s="2">
        <v>5616.03</v>
      </c>
      <c r="L504" s="2">
        <v>4412.83</v>
      </c>
      <c r="M504" s="2">
        <v>1203.2</v>
      </c>
      <c r="N504">
        <v>1</v>
      </c>
    </row>
    <row r="505" spans="1:14" x14ac:dyDescent="0.3">
      <c r="A505" s="1">
        <v>37899</v>
      </c>
      <c r="B505">
        <v>10301</v>
      </c>
      <c r="C505">
        <v>299</v>
      </c>
      <c r="D505" t="s">
        <v>222</v>
      </c>
      <c r="E505" t="s">
        <v>28</v>
      </c>
      <c r="F505" t="s">
        <v>29</v>
      </c>
      <c r="G505" t="s">
        <v>130</v>
      </c>
      <c r="H505">
        <v>22</v>
      </c>
      <c r="I505" s="2">
        <v>113.52</v>
      </c>
      <c r="J505" s="2">
        <v>56.76</v>
      </c>
      <c r="K505" s="2">
        <v>2497.44</v>
      </c>
      <c r="L505" s="2">
        <v>1248.72</v>
      </c>
      <c r="M505" s="2">
        <v>1248.72</v>
      </c>
      <c r="N505">
        <v>1</v>
      </c>
    </row>
    <row r="506" spans="1:14" x14ac:dyDescent="0.3">
      <c r="A506" s="1">
        <v>37899</v>
      </c>
      <c r="B506">
        <v>10301</v>
      </c>
      <c r="C506">
        <v>299</v>
      </c>
      <c r="D506" t="s">
        <v>222</v>
      </c>
      <c r="E506" t="s">
        <v>28</v>
      </c>
      <c r="F506" t="s">
        <v>29</v>
      </c>
      <c r="G506" t="s">
        <v>53</v>
      </c>
      <c r="H506">
        <v>23</v>
      </c>
      <c r="I506" s="2">
        <v>135.47</v>
      </c>
      <c r="J506" s="2">
        <v>77.900000000000006</v>
      </c>
      <c r="K506" s="2">
        <v>3115.81</v>
      </c>
      <c r="L506" s="2">
        <v>1791.7</v>
      </c>
      <c r="M506" s="2">
        <v>1324.11</v>
      </c>
      <c r="N506">
        <v>1</v>
      </c>
    </row>
    <row r="507" spans="1:14" x14ac:dyDescent="0.3">
      <c r="A507" s="1">
        <v>37899</v>
      </c>
      <c r="B507">
        <v>10301</v>
      </c>
      <c r="C507">
        <v>299</v>
      </c>
      <c r="D507" t="s">
        <v>222</v>
      </c>
      <c r="E507" t="s">
        <v>28</v>
      </c>
      <c r="F507" t="s">
        <v>29</v>
      </c>
      <c r="G507" t="s">
        <v>131</v>
      </c>
      <c r="H507">
        <v>39</v>
      </c>
      <c r="I507" s="2">
        <v>137.04</v>
      </c>
      <c r="J507" s="2">
        <v>62.16</v>
      </c>
      <c r="K507" s="2">
        <v>5344.56</v>
      </c>
      <c r="L507" s="2">
        <v>2424.2399999999998</v>
      </c>
      <c r="M507" s="2">
        <v>2920.32</v>
      </c>
      <c r="N507">
        <v>1</v>
      </c>
    </row>
    <row r="508" spans="1:14" x14ac:dyDescent="0.3">
      <c r="A508" s="1">
        <v>37899</v>
      </c>
      <c r="B508">
        <v>10301</v>
      </c>
      <c r="C508">
        <v>299</v>
      </c>
      <c r="D508" t="s">
        <v>222</v>
      </c>
      <c r="E508" t="s">
        <v>28</v>
      </c>
      <c r="F508" t="s">
        <v>29</v>
      </c>
      <c r="G508" t="s">
        <v>136</v>
      </c>
      <c r="H508">
        <v>27</v>
      </c>
      <c r="I508" s="2">
        <v>64.67</v>
      </c>
      <c r="J508" s="2">
        <v>49.24</v>
      </c>
      <c r="K508" s="2">
        <v>1746.09</v>
      </c>
      <c r="L508" s="2">
        <v>1329.48</v>
      </c>
      <c r="M508" s="2">
        <v>416.61</v>
      </c>
      <c r="N508">
        <v>1</v>
      </c>
    </row>
    <row r="509" spans="1:14" x14ac:dyDescent="0.3">
      <c r="A509" s="1">
        <v>37899</v>
      </c>
      <c r="B509">
        <v>10301</v>
      </c>
      <c r="C509">
        <v>299</v>
      </c>
      <c r="D509" t="s">
        <v>222</v>
      </c>
      <c r="E509" t="s">
        <v>28</v>
      </c>
      <c r="F509" t="s">
        <v>29</v>
      </c>
      <c r="G509" t="s">
        <v>137</v>
      </c>
      <c r="H509">
        <v>22</v>
      </c>
      <c r="I509" s="2">
        <v>40.75</v>
      </c>
      <c r="J509" s="2">
        <v>29.18</v>
      </c>
      <c r="K509" s="2">
        <v>896.5</v>
      </c>
      <c r="L509" s="2">
        <v>641.96</v>
      </c>
      <c r="M509" s="2">
        <v>254.54</v>
      </c>
      <c r="N509">
        <v>1</v>
      </c>
    </row>
    <row r="510" spans="1:14" x14ac:dyDescent="0.3">
      <c r="A510" s="1">
        <v>37899</v>
      </c>
      <c r="B510">
        <v>10301</v>
      </c>
      <c r="C510">
        <v>299</v>
      </c>
      <c r="D510" t="s">
        <v>222</v>
      </c>
      <c r="E510" t="s">
        <v>28</v>
      </c>
      <c r="F510" t="s">
        <v>29</v>
      </c>
      <c r="G510" t="s">
        <v>132</v>
      </c>
      <c r="H510">
        <v>48</v>
      </c>
      <c r="I510" s="2">
        <v>32.1</v>
      </c>
      <c r="J510" s="2">
        <v>16.239999999999998</v>
      </c>
      <c r="K510" s="2">
        <v>1540.8</v>
      </c>
      <c r="L510" s="2">
        <v>779.52</v>
      </c>
      <c r="M510" s="2">
        <v>761.28</v>
      </c>
      <c r="N510">
        <v>1</v>
      </c>
    </row>
    <row r="511" spans="1:14" x14ac:dyDescent="0.3">
      <c r="A511" s="1">
        <v>37899</v>
      </c>
      <c r="B511">
        <v>10301</v>
      </c>
      <c r="C511">
        <v>299</v>
      </c>
      <c r="D511" t="s">
        <v>222</v>
      </c>
      <c r="E511" t="s">
        <v>28</v>
      </c>
      <c r="F511" t="s">
        <v>29</v>
      </c>
      <c r="G511" t="s">
        <v>141</v>
      </c>
      <c r="H511">
        <v>22</v>
      </c>
      <c r="I511" s="2">
        <v>86.73</v>
      </c>
      <c r="J511" s="2">
        <v>62.11</v>
      </c>
      <c r="K511" s="2">
        <v>1908.06</v>
      </c>
      <c r="L511" s="2">
        <v>1366.42</v>
      </c>
      <c r="M511" s="2">
        <v>541.64</v>
      </c>
      <c r="N511">
        <v>1</v>
      </c>
    </row>
    <row r="512" spans="1:14" x14ac:dyDescent="0.3">
      <c r="A512" s="1">
        <v>37899</v>
      </c>
      <c r="B512">
        <v>10301</v>
      </c>
      <c r="C512">
        <v>299</v>
      </c>
      <c r="D512" t="s">
        <v>222</v>
      </c>
      <c r="E512" t="s">
        <v>28</v>
      </c>
      <c r="F512" t="s">
        <v>29</v>
      </c>
      <c r="G512" t="s">
        <v>123</v>
      </c>
      <c r="H512">
        <v>50</v>
      </c>
      <c r="I512" s="2">
        <v>122.17</v>
      </c>
      <c r="J512" s="2">
        <v>98.3</v>
      </c>
      <c r="K512" s="2">
        <v>6108.5</v>
      </c>
      <c r="L512" s="2">
        <v>4915</v>
      </c>
      <c r="M512" s="2">
        <v>1193.5</v>
      </c>
      <c r="N512">
        <v>1</v>
      </c>
    </row>
    <row r="513" spans="1:14" x14ac:dyDescent="0.3">
      <c r="A513" s="1">
        <v>37900</v>
      </c>
      <c r="B513">
        <v>10155</v>
      </c>
      <c r="C513">
        <v>186</v>
      </c>
      <c r="D513" t="s">
        <v>223</v>
      </c>
      <c r="E513" t="s">
        <v>164</v>
      </c>
      <c r="F513" t="s">
        <v>29</v>
      </c>
      <c r="G513" t="s">
        <v>65</v>
      </c>
      <c r="H513">
        <v>32</v>
      </c>
      <c r="I513" s="2">
        <v>129.19999999999999</v>
      </c>
      <c r="J513" s="2">
        <v>85.68</v>
      </c>
      <c r="K513" s="2">
        <v>4134.3999999999996</v>
      </c>
      <c r="L513" s="2">
        <v>2741.76</v>
      </c>
      <c r="M513" s="2">
        <v>1392.64</v>
      </c>
      <c r="N513">
        <v>1</v>
      </c>
    </row>
    <row r="514" spans="1:14" x14ac:dyDescent="0.3">
      <c r="A514" s="1">
        <v>37900</v>
      </c>
      <c r="B514">
        <v>10155</v>
      </c>
      <c r="C514">
        <v>186</v>
      </c>
      <c r="D514" t="s">
        <v>223</v>
      </c>
      <c r="E514" t="s">
        <v>164</v>
      </c>
      <c r="F514" t="s">
        <v>83</v>
      </c>
      <c r="G514" t="s">
        <v>84</v>
      </c>
      <c r="H514">
        <v>38</v>
      </c>
      <c r="I514" s="2">
        <v>138.77000000000001</v>
      </c>
      <c r="J514" s="2">
        <v>77.27</v>
      </c>
      <c r="K514" s="2">
        <v>5273.26</v>
      </c>
      <c r="L514" s="2">
        <v>2936.26</v>
      </c>
      <c r="M514" s="2">
        <v>2337</v>
      </c>
      <c r="N514">
        <v>1</v>
      </c>
    </row>
    <row r="515" spans="1:14" x14ac:dyDescent="0.3">
      <c r="A515" s="1">
        <v>37900</v>
      </c>
      <c r="B515">
        <v>10155</v>
      </c>
      <c r="C515">
        <v>186</v>
      </c>
      <c r="D515" t="s">
        <v>223</v>
      </c>
      <c r="E515" t="s">
        <v>164</v>
      </c>
      <c r="F515" t="s">
        <v>71</v>
      </c>
      <c r="G515" t="s">
        <v>86</v>
      </c>
      <c r="H515">
        <v>44</v>
      </c>
      <c r="I515" s="2">
        <v>83.44</v>
      </c>
      <c r="J515" s="2">
        <v>51.61</v>
      </c>
      <c r="K515" s="2">
        <v>3671.36</v>
      </c>
      <c r="L515" s="2">
        <v>2270.84</v>
      </c>
      <c r="M515" s="2">
        <v>1400.52</v>
      </c>
      <c r="N515">
        <v>1</v>
      </c>
    </row>
    <row r="516" spans="1:14" x14ac:dyDescent="0.3">
      <c r="A516" s="1">
        <v>37900</v>
      </c>
      <c r="B516">
        <v>10155</v>
      </c>
      <c r="C516">
        <v>186</v>
      </c>
      <c r="D516" t="s">
        <v>223</v>
      </c>
      <c r="E516" t="s">
        <v>164</v>
      </c>
      <c r="F516" t="s">
        <v>15</v>
      </c>
      <c r="G516" t="s">
        <v>87</v>
      </c>
      <c r="H516">
        <v>29</v>
      </c>
      <c r="I516" s="2">
        <v>105.87</v>
      </c>
      <c r="J516" s="2">
        <v>64.58</v>
      </c>
      <c r="K516" s="2">
        <v>3070.23</v>
      </c>
      <c r="L516" s="2">
        <v>1872.82</v>
      </c>
      <c r="M516" s="2">
        <v>1197.4100000000001</v>
      </c>
      <c r="N516">
        <v>1</v>
      </c>
    </row>
    <row r="517" spans="1:14" x14ac:dyDescent="0.3">
      <c r="A517" s="1">
        <v>37900</v>
      </c>
      <c r="B517">
        <v>10155</v>
      </c>
      <c r="C517">
        <v>186</v>
      </c>
      <c r="D517" t="s">
        <v>223</v>
      </c>
      <c r="E517" t="s">
        <v>164</v>
      </c>
      <c r="F517" t="s">
        <v>83</v>
      </c>
      <c r="G517" t="s">
        <v>89</v>
      </c>
      <c r="H517">
        <v>23</v>
      </c>
      <c r="I517" s="2">
        <v>62.34</v>
      </c>
      <c r="J517" s="2">
        <v>34.25</v>
      </c>
      <c r="K517" s="2">
        <v>1433.82</v>
      </c>
      <c r="L517" s="2">
        <v>787.75</v>
      </c>
      <c r="M517" s="2">
        <v>646.07000000000005</v>
      </c>
      <c r="N517">
        <v>1</v>
      </c>
    </row>
    <row r="518" spans="1:14" x14ac:dyDescent="0.3">
      <c r="A518" s="1">
        <v>37900</v>
      </c>
      <c r="B518">
        <v>10155</v>
      </c>
      <c r="C518">
        <v>186</v>
      </c>
      <c r="D518" t="s">
        <v>223</v>
      </c>
      <c r="E518" t="s">
        <v>164</v>
      </c>
      <c r="F518" t="s">
        <v>15</v>
      </c>
      <c r="G518" t="s">
        <v>90</v>
      </c>
      <c r="H518">
        <v>34</v>
      </c>
      <c r="I518" s="2">
        <v>56.55</v>
      </c>
      <c r="J518" s="2">
        <v>26.3</v>
      </c>
      <c r="K518" s="2">
        <v>1922.7</v>
      </c>
      <c r="L518" s="2">
        <v>894.2</v>
      </c>
      <c r="M518" s="2">
        <v>1028.5</v>
      </c>
      <c r="N518">
        <v>1</v>
      </c>
    </row>
    <row r="519" spans="1:14" x14ac:dyDescent="0.3">
      <c r="A519" s="1">
        <v>37900</v>
      </c>
      <c r="B519">
        <v>10155</v>
      </c>
      <c r="C519">
        <v>186</v>
      </c>
      <c r="D519" t="s">
        <v>223</v>
      </c>
      <c r="E519" t="s">
        <v>164</v>
      </c>
      <c r="F519" t="s">
        <v>15</v>
      </c>
      <c r="G519" t="s">
        <v>74</v>
      </c>
      <c r="H519">
        <v>37</v>
      </c>
      <c r="I519" s="2">
        <v>76.31</v>
      </c>
      <c r="J519" s="2">
        <v>48.64</v>
      </c>
      <c r="K519" s="2">
        <v>2823.47</v>
      </c>
      <c r="L519" s="2">
        <v>1799.68</v>
      </c>
      <c r="M519" s="2">
        <v>1023.79</v>
      </c>
      <c r="N519">
        <v>1</v>
      </c>
    </row>
    <row r="520" spans="1:14" x14ac:dyDescent="0.3">
      <c r="A520" s="1">
        <v>37900</v>
      </c>
      <c r="B520">
        <v>10155</v>
      </c>
      <c r="C520">
        <v>186</v>
      </c>
      <c r="D520" t="s">
        <v>223</v>
      </c>
      <c r="E520" t="s">
        <v>164</v>
      </c>
      <c r="F520" t="s">
        <v>83</v>
      </c>
      <c r="G520" t="s">
        <v>91</v>
      </c>
      <c r="H520">
        <v>44</v>
      </c>
      <c r="I520" s="2">
        <v>58.69</v>
      </c>
      <c r="J520" s="2">
        <v>29.34</v>
      </c>
      <c r="K520" s="2">
        <v>2582.36</v>
      </c>
      <c r="L520" s="2">
        <v>1290.96</v>
      </c>
      <c r="M520" s="2">
        <v>1291.4000000000001</v>
      </c>
      <c r="N520">
        <v>1</v>
      </c>
    </row>
    <row r="521" spans="1:14" x14ac:dyDescent="0.3">
      <c r="A521" s="1">
        <v>37900</v>
      </c>
      <c r="B521">
        <v>10155</v>
      </c>
      <c r="C521">
        <v>186</v>
      </c>
      <c r="D521" t="s">
        <v>223</v>
      </c>
      <c r="E521" t="s">
        <v>164</v>
      </c>
      <c r="F521" t="s">
        <v>71</v>
      </c>
      <c r="G521" t="s">
        <v>96</v>
      </c>
      <c r="H521">
        <v>32</v>
      </c>
      <c r="I521" s="2">
        <v>89.61</v>
      </c>
      <c r="J521" s="2">
        <v>39.83</v>
      </c>
      <c r="K521" s="2">
        <v>2867.52</v>
      </c>
      <c r="L521" s="2">
        <v>1274.56</v>
      </c>
      <c r="M521" s="2">
        <v>1592.96</v>
      </c>
      <c r="N521">
        <v>1</v>
      </c>
    </row>
    <row r="522" spans="1:14" x14ac:dyDescent="0.3">
      <c r="A522" s="1">
        <v>37900</v>
      </c>
      <c r="B522">
        <v>10155</v>
      </c>
      <c r="C522">
        <v>186</v>
      </c>
      <c r="D522" t="s">
        <v>223</v>
      </c>
      <c r="E522" t="s">
        <v>164</v>
      </c>
      <c r="F522" t="s">
        <v>83</v>
      </c>
      <c r="G522" t="s">
        <v>97</v>
      </c>
      <c r="H522">
        <v>20</v>
      </c>
      <c r="I522" s="2">
        <v>87.75</v>
      </c>
      <c r="J522" s="2">
        <v>68.8</v>
      </c>
      <c r="K522" s="2">
        <v>1755</v>
      </c>
      <c r="L522" s="2">
        <v>1376</v>
      </c>
      <c r="M522" s="2">
        <v>379</v>
      </c>
      <c r="N522">
        <v>1</v>
      </c>
    </row>
    <row r="523" spans="1:14" x14ac:dyDescent="0.3">
      <c r="A523" s="1">
        <v>37900</v>
      </c>
      <c r="B523">
        <v>10155</v>
      </c>
      <c r="C523">
        <v>186</v>
      </c>
      <c r="D523" t="s">
        <v>223</v>
      </c>
      <c r="E523" t="s">
        <v>164</v>
      </c>
      <c r="F523" t="s">
        <v>83</v>
      </c>
      <c r="G523" t="s">
        <v>99</v>
      </c>
      <c r="H523">
        <v>43</v>
      </c>
      <c r="I523" s="2">
        <v>76.8</v>
      </c>
      <c r="J523" s="2">
        <v>54.4</v>
      </c>
      <c r="K523" s="2">
        <v>3302.4</v>
      </c>
      <c r="L523" s="2">
        <v>2339.1999999999998</v>
      </c>
      <c r="M523" s="2">
        <v>963.2</v>
      </c>
      <c r="N523">
        <v>1</v>
      </c>
    </row>
    <row r="524" spans="1:14" x14ac:dyDescent="0.3">
      <c r="A524" s="1">
        <v>37900</v>
      </c>
      <c r="B524">
        <v>10155</v>
      </c>
      <c r="C524">
        <v>186</v>
      </c>
      <c r="D524" t="s">
        <v>223</v>
      </c>
      <c r="E524" t="s">
        <v>164</v>
      </c>
      <c r="F524" t="s">
        <v>83</v>
      </c>
      <c r="G524" t="s">
        <v>100</v>
      </c>
      <c r="H524">
        <v>44</v>
      </c>
      <c r="I524" s="2">
        <v>70.33</v>
      </c>
      <c r="J524" s="2">
        <v>36.270000000000003</v>
      </c>
      <c r="K524" s="2">
        <v>3094.52</v>
      </c>
      <c r="L524" s="2">
        <v>1595.88</v>
      </c>
      <c r="M524" s="2">
        <v>1498.64</v>
      </c>
      <c r="N524">
        <v>1</v>
      </c>
    </row>
    <row r="525" spans="1:14" x14ac:dyDescent="0.3">
      <c r="A525" s="1">
        <v>37900</v>
      </c>
      <c r="B525">
        <v>10155</v>
      </c>
      <c r="C525">
        <v>186</v>
      </c>
      <c r="D525" t="s">
        <v>223</v>
      </c>
      <c r="E525" t="s">
        <v>164</v>
      </c>
      <c r="F525" t="s">
        <v>83</v>
      </c>
      <c r="G525" t="s">
        <v>101</v>
      </c>
      <c r="H525">
        <v>34</v>
      </c>
      <c r="I525" s="2">
        <v>49.16</v>
      </c>
      <c r="J525" s="2">
        <v>32.770000000000003</v>
      </c>
      <c r="K525" s="2">
        <v>1671.44</v>
      </c>
      <c r="L525" s="2">
        <v>1114.18</v>
      </c>
      <c r="M525" s="2">
        <v>557.26</v>
      </c>
      <c r="N525">
        <v>1</v>
      </c>
    </row>
    <row r="526" spans="1:14" x14ac:dyDescent="0.3">
      <c r="A526" s="1">
        <v>37900</v>
      </c>
      <c r="B526">
        <v>10302</v>
      </c>
      <c r="C526">
        <v>201</v>
      </c>
      <c r="D526" t="s">
        <v>224</v>
      </c>
      <c r="E526" t="s">
        <v>133</v>
      </c>
      <c r="F526" t="s">
        <v>15</v>
      </c>
      <c r="G526" t="s">
        <v>16</v>
      </c>
      <c r="H526">
        <v>43</v>
      </c>
      <c r="I526" s="2">
        <v>166.6</v>
      </c>
      <c r="J526" s="2">
        <v>86.7</v>
      </c>
      <c r="K526" s="2">
        <v>7163.8</v>
      </c>
      <c r="L526" s="2">
        <v>3728.1</v>
      </c>
      <c r="M526" s="2">
        <v>3435.7</v>
      </c>
      <c r="N526">
        <v>1</v>
      </c>
    </row>
    <row r="527" spans="1:14" x14ac:dyDescent="0.3">
      <c r="A527" s="1">
        <v>37900</v>
      </c>
      <c r="B527">
        <v>10302</v>
      </c>
      <c r="C527">
        <v>201</v>
      </c>
      <c r="D527" t="s">
        <v>224</v>
      </c>
      <c r="E527" t="s">
        <v>133</v>
      </c>
      <c r="F527" t="s">
        <v>15</v>
      </c>
      <c r="G527" t="s">
        <v>18</v>
      </c>
      <c r="H527">
        <v>38</v>
      </c>
      <c r="I527" s="2">
        <v>82.83</v>
      </c>
      <c r="J527" s="2">
        <v>43.26</v>
      </c>
      <c r="K527" s="2">
        <v>3147.54</v>
      </c>
      <c r="L527" s="2">
        <v>1643.88</v>
      </c>
      <c r="M527" s="2">
        <v>1503.66</v>
      </c>
      <c r="N527">
        <v>1</v>
      </c>
    </row>
    <row r="528" spans="1:14" x14ac:dyDescent="0.3">
      <c r="A528" s="1">
        <v>37900</v>
      </c>
      <c r="B528">
        <v>10302</v>
      </c>
      <c r="C528">
        <v>201</v>
      </c>
      <c r="D528" t="s">
        <v>224</v>
      </c>
      <c r="E528" t="s">
        <v>133</v>
      </c>
      <c r="F528" t="s">
        <v>29</v>
      </c>
      <c r="G528" t="s">
        <v>135</v>
      </c>
      <c r="H528">
        <v>23</v>
      </c>
      <c r="I528" s="2">
        <v>70.56</v>
      </c>
      <c r="J528" s="2">
        <v>34.21</v>
      </c>
      <c r="K528" s="2">
        <v>1622.88</v>
      </c>
      <c r="L528" s="2">
        <v>786.83</v>
      </c>
      <c r="M528" s="2">
        <v>836.05</v>
      </c>
      <c r="N528">
        <v>1</v>
      </c>
    </row>
    <row r="529" spans="1:14" x14ac:dyDescent="0.3">
      <c r="A529" s="1">
        <v>37900</v>
      </c>
      <c r="B529">
        <v>10302</v>
      </c>
      <c r="C529">
        <v>201</v>
      </c>
      <c r="D529" t="s">
        <v>224</v>
      </c>
      <c r="E529" t="s">
        <v>133</v>
      </c>
      <c r="F529" t="s">
        <v>29</v>
      </c>
      <c r="G529" t="s">
        <v>138</v>
      </c>
      <c r="H529">
        <v>49</v>
      </c>
      <c r="I529" s="2">
        <v>75.42</v>
      </c>
      <c r="J529" s="2">
        <v>47.25</v>
      </c>
      <c r="K529" s="2">
        <v>3695.58</v>
      </c>
      <c r="L529" s="2">
        <v>2315.25</v>
      </c>
      <c r="M529" s="2">
        <v>1380.33</v>
      </c>
      <c r="N529">
        <v>1</v>
      </c>
    </row>
    <row r="530" spans="1:14" x14ac:dyDescent="0.3">
      <c r="A530" s="1">
        <v>37900</v>
      </c>
      <c r="B530">
        <v>10302</v>
      </c>
      <c r="C530">
        <v>201</v>
      </c>
      <c r="D530" t="s">
        <v>224</v>
      </c>
      <c r="E530" t="s">
        <v>133</v>
      </c>
      <c r="F530" t="s">
        <v>29</v>
      </c>
      <c r="G530" t="s">
        <v>139</v>
      </c>
      <c r="H530">
        <v>45</v>
      </c>
      <c r="I530" s="2">
        <v>104.52</v>
      </c>
      <c r="J530" s="2">
        <v>72.819999999999993</v>
      </c>
      <c r="K530" s="2">
        <v>4703.3999999999996</v>
      </c>
      <c r="L530" s="2">
        <v>3276.9</v>
      </c>
      <c r="M530" s="2">
        <v>1426.5</v>
      </c>
      <c r="N530">
        <v>1</v>
      </c>
    </row>
    <row r="531" spans="1:14" x14ac:dyDescent="0.3">
      <c r="A531" s="1">
        <v>37900</v>
      </c>
      <c r="B531">
        <v>10302</v>
      </c>
      <c r="C531">
        <v>201</v>
      </c>
      <c r="D531" t="s">
        <v>224</v>
      </c>
      <c r="E531" t="s">
        <v>133</v>
      </c>
      <c r="F531" t="s">
        <v>29</v>
      </c>
      <c r="G531" t="s">
        <v>140</v>
      </c>
      <c r="H531">
        <v>48</v>
      </c>
      <c r="I531" s="2">
        <v>74.48</v>
      </c>
      <c r="J531" s="2">
        <v>50.51</v>
      </c>
      <c r="K531" s="2">
        <v>3575.04</v>
      </c>
      <c r="L531" s="2">
        <v>2424.48</v>
      </c>
      <c r="M531" s="2">
        <v>1150.56</v>
      </c>
      <c r="N531">
        <v>1</v>
      </c>
    </row>
    <row r="532" spans="1:14" x14ac:dyDescent="0.3">
      <c r="A532" s="1">
        <v>37902</v>
      </c>
      <c r="B532">
        <v>10156</v>
      </c>
      <c r="C532">
        <v>141</v>
      </c>
      <c r="D532" t="s">
        <v>47</v>
      </c>
      <c r="E532" t="s">
        <v>48</v>
      </c>
      <c r="F532" t="s">
        <v>15</v>
      </c>
      <c r="G532" t="s">
        <v>94</v>
      </c>
      <c r="H532">
        <v>20</v>
      </c>
      <c r="I532" s="2">
        <v>43.64</v>
      </c>
      <c r="J532" s="2">
        <v>27.06</v>
      </c>
      <c r="K532" s="2">
        <v>872.8</v>
      </c>
      <c r="L532" s="2">
        <v>541.20000000000005</v>
      </c>
      <c r="M532" s="2">
        <v>331.6</v>
      </c>
      <c r="N532">
        <v>5</v>
      </c>
    </row>
    <row r="533" spans="1:14" x14ac:dyDescent="0.3">
      <c r="A533" s="1">
        <v>37902</v>
      </c>
      <c r="B533">
        <v>10156</v>
      </c>
      <c r="C533">
        <v>141</v>
      </c>
      <c r="D533" t="s">
        <v>47</v>
      </c>
      <c r="E533" t="s">
        <v>48</v>
      </c>
      <c r="F533" t="s">
        <v>83</v>
      </c>
      <c r="G533" t="s">
        <v>95</v>
      </c>
      <c r="H533">
        <v>48</v>
      </c>
      <c r="I533" s="2">
        <v>77.64</v>
      </c>
      <c r="J533" s="2">
        <v>51.15</v>
      </c>
      <c r="K533" s="2">
        <v>3726.72</v>
      </c>
      <c r="L533" s="2">
        <v>2455.1999999999998</v>
      </c>
      <c r="M533" s="2">
        <v>1271.52</v>
      </c>
      <c r="N533">
        <v>5</v>
      </c>
    </row>
    <row r="534" spans="1:14" x14ac:dyDescent="0.3">
      <c r="A534" s="1">
        <v>37903</v>
      </c>
      <c r="B534">
        <v>10157</v>
      </c>
      <c r="C534">
        <v>473</v>
      </c>
      <c r="D534" t="s">
        <v>167</v>
      </c>
      <c r="E534" t="s">
        <v>82</v>
      </c>
      <c r="F534" t="s">
        <v>83</v>
      </c>
      <c r="G534" t="s">
        <v>85</v>
      </c>
      <c r="H534">
        <v>33</v>
      </c>
      <c r="I534" s="2">
        <v>69.27</v>
      </c>
      <c r="J534" s="2">
        <v>49</v>
      </c>
      <c r="K534" s="2">
        <v>2285.91</v>
      </c>
      <c r="L534" s="2">
        <v>1617</v>
      </c>
      <c r="M534" s="2">
        <v>668.91</v>
      </c>
      <c r="N534">
        <v>1</v>
      </c>
    </row>
    <row r="535" spans="1:14" x14ac:dyDescent="0.3">
      <c r="A535" s="1">
        <v>37903</v>
      </c>
      <c r="B535">
        <v>10157</v>
      </c>
      <c r="C535">
        <v>473</v>
      </c>
      <c r="D535" t="s">
        <v>167</v>
      </c>
      <c r="E535" t="s">
        <v>82</v>
      </c>
      <c r="F535" t="s">
        <v>83</v>
      </c>
      <c r="G535" t="s">
        <v>88</v>
      </c>
      <c r="H535">
        <v>40</v>
      </c>
      <c r="I535" s="2">
        <v>89.72</v>
      </c>
      <c r="J535" s="2">
        <v>66.739999999999995</v>
      </c>
      <c r="K535" s="2">
        <v>3588.8</v>
      </c>
      <c r="L535" s="2">
        <v>2669.6</v>
      </c>
      <c r="M535" s="2">
        <v>919.2</v>
      </c>
      <c r="N535">
        <v>1</v>
      </c>
    </row>
    <row r="536" spans="1:14" x14ac:dyDescent="0.3">
      <c r="A536" s="1">
        <v>37903</v>
      </c>
      <c r="B536">
        <v>10157</v>
      </c>
      <c r="C536">
        <v>473</v>
      </c>
      <c r="D536" t="s">
        <v>167</v>
      </c>
      <c r="E536" t="s">
        <v>82</v>
      </c>
      <c r="F536" t="s">
        <v>83</v>
      </c>
      <c r="G536" t="s">
        <v>92</v>
      </c>
      <c r="H536">
        <v>33</v>
      </c>
      <c r="I536" s="2">
        <v>66.650000000000006</v>
      </c>
      <c r="J536" s="2">
        <v>36.229999999999997</v>
      </c>
      <c r="K536" s="2">
        <v>2199.4499999999998</v>
      </c>
      <c r="L536" s="2">
        <v>1195.5899999999999</v>
      </c>
      <c r="M536" s="2">
        <v>1003.86</v>
      </c>
      <c r="N536">
        <v>1</v>
      </c>
    </row>
    <row r="537" spans="1:14" x14ac:dyDescent="0.3">
      <c r="A537" s="1">
        <v>37903</v>
      </c>
      <c r="B537">
        <v>10157</v>
      </c>
      <c r="C537">
        <v>473</v>
      </c>
      <c r="D537" t="s">
        <v>167</v>
      </c>
      <c r="E537" t="s">
        <v>82</v>
      </c>
      <c r="F537" t="s">
        <v>102</v>
      </c>
      <c r="G537" t="s">
        <v>110</v>
      </c>
      <c r="H537">
        <v>34</v>
      </c>
      <c r="I537" s="2">
        <v>83.91</v>
      </c>
      <c r="J537" s="2">
        <v>66.92</v>
      </c>
      <c r="K537" s="2">
        <v>2852.94</v>
      </c>
      <c r="L537" s="2">
        <v>2275.2800000000002</v>
      </c>
      <c r="M537" s="2">
        <v>577.66</v>
      </c>
      <c r="N537">
        <v>1</v>
      </c>
    </row>
    <row r="538" spans="1:14" x14ac:dyDescent="0.3">
      <c r="A538" s="1">
        <v>37903</v>
      </c>
      <c r="B538">
        <v>10157</v>
      </c>
      <c r="C538">
        <v>473</v>
      </c>
      <c r="D538" t="s">
        <v>167</v>
      </c>
      <c r="E538" t="s">
        <v>82</v>
      </c>
      <c r="F538" t="s">
        <v>15</v>
      </c>
      <c r="G538" t="s">
        <v>93</v>
      </c>
      <c r="H538">
        <v>28</v>
      </c>
      <c r="I538" s="2">
        <v>56.41</v>
      </c>
      <c r="J538" s="2">
        <v>33.020000000000003</v>
      </c>
      <c r="K538" s="2">
        <v>1579.48</v>
      </c>
      <c r="L538" s="2">
        <v>924.56</v>
      </c>
      <c r="M538" s="2">
        <v>654.91999999999996</v>
      </c>
      <c r="N538">
        <v>1</v>
      </c>
    </row>
    <row r="539" spans="1:14" x14ac:dyDescent="0.3">
      <c r="A539" s="1">
        <v>37903</v>
      </c>
      <c r="B539">
        <v>10157</v>
      </c>
      <c r="C539">
        <v>473</v>
      </c>
      <c r="D539" t="s">
        <v>167</v>
      </c>
      <c r="E539" t="s">
        <v>82</v>
      </c>
      <c r="F539" t="s">
        <v>83</v>
      </c>
      <c r="G539" t="s">
        <v>98</v>
      </c>
      <c r="H539">
        <v>48</v>
      </c>
      <c r="I539" s="2">
        <v>109.16</v>
      </c>
      <c r="J539" s="2">
        <v>59.33</v>
      </c>
      <c r="K539" s="2">
        <v>5239.68</v>
      </c>
      <c r="L539" s="2">
        <v>2847.84</v>
      </c>
      <c r="M539" s="2">
        <v>2391.84</v>
      </c>
      <c r="N539">
        <v>1</v>
      </c>
    </row>
    <row r="540" spans="1:14" x14ac:dyDescent="0.3">
      <c r="A540" s="1">
        <v>37904</v>
      </c>
      <c r="B540">
        <v>10159</v>
      </c>
      <c r="C540">
        <v>321</v>
      </c>
      <c r="D540" t="s">
        <v>225</v>
      </c>
      <c r="E540" t="s">
        <v>14</v>
      </c>
      <c r="F540" t="s">
        <v>102</v>
      </c>
      <c r="G540" t="s">
        <v>103</v>
      </c>
      <c r="H540">
        <v>49</v>
      </c>
      <c r="I540" s="2">
        <v>81.349999999999994</v>
      </c>
      <c r="J540" s="2">
        <v>48.81</v>
      </c>
      <c r="K540" s="2">
        <v>3986.15</v>
      </c>
      <c r="L540" s="2">
        <v>2391.69</v>
      </c>
      <c r="M540" s="2">
        <v>1594.46</v>
      </c>
      <c r="N540">
        <v>1</v>
      </c>
    </row>
    <row r="541" spans="1:14" x14ac:dyDescent="0.3">
      <c r="A541" s="1">
        <v>37904</v>
      </c>
      <c r="B541">
        <v>10159</v>
      </c>
      <c r="C541">
        <v>321</v>
      </c>
      <c r="D541" t="s">
        <v>225</v>
      </c>
      <c r="E541" t="s">
        <v>14</v>
      </c>
      <c r="F541" t="s">
        <v>102</v>
      </c>
      <c r="G541" t="s">
        <v>104</v>
      </c>
      <c r="H541">
        <v>37</v>
      </c>
      <c r="I541" s="2">
        <v>101.1</v>
      </c>
      <c r="J541" s="2">
        <v>68.989999999999995</v>
      </c>
      <c r="K541" s="2">
        <v>3740.7</v>
      </c>
      <c r="L541" s="2">
        <v>2552.63</v>
      </c>
      <c r="M541" s="2">
        <v>1188.07</v>
      </c>
      <c r="N541">
        <v>1</v>
      </c>
    </row>
    <row r="542" spans="1:14" x14ac:dyDescent="0.3">
      <c r="A542" s="1">
        <v>37904</v>
      </c>
      <c r="B542">
        <v>10159</v>
      </c>
      <c r="C542">
        <v>321</v>
      </c>
      <c r="D542" t="s">
        <v>225</v>
      </c>
      <c r="E542" t="s">
        <v>14</v>
      </c>
      <c r="F542" t="s">
        <v>102</v>
      </c>
      <c r="G542" t="s">
        <v>105</v>
      </c>
      <c r="H542">
        <v>22</v>
      </c>
      <c r="I542" s="2">
        <v>170.42</v>
      </c>
      <c r="J542" s="2">
        <v>91.02</v>
      </c>
      <c r="K542" s="2">
        <v>3749.24</v>
      </c>
      <c r="L542" s="2">
        <v>2002.44</v>
      </c>
      <c r="M542" s="2">
        <v>1746.8</v>
      </c>
      <c r="N542">
        <v>1</v>
      </c>
    </row>
    <row r="543" spans="1:14" x14ac:dyDescent="0.3">
      <c r="A543" s="1">
        <v>37904</v>
      </c>
      <c r="B543">
        <v>10159</v>
      </c>
      <c r="C543">
        <v>321</v>
      </c>
      <c r="D543" t="s">
        <v>225</v>
      </c>
      <c r="E543" t="s">
        <v>14</v>
      </c>
      <c r="F543" t="s">
        <v>29</v>
      </c>
      <c r="G543" t="s">
        <v>112</v>
      </c>
      <c r="H543">
        <v>41</v>
      </c>
      <c r="I543" s="2">
        <v>188.73</v>
      </c>
      <c r="J543" s="2">
        <v>95.34</v>
      </c>
      <c r="K543" s="2">
        <v>7737.93</v>
      </c>
      <c r="L543" s="2">
        <v>3908.94</v>
      </c>
      <c r="M543" s="2">
        <v>3828.99</v>
      </c>
      <c r="N543">
        <v>1</v>
      </c>
    </row>
    <row r="544" spans="1:14" x14ac:dyDescent="0.3">
      <c r="A544" s="1">
        <v>37904</v>
      </c>
      <c r="B544">
        <v>10159</v>
      </c>
      <c r="C544">
        <v>321</v>
      </c>
      <c r="D544" t="s">
        <v>225</v>
      </c>
      <c r="E544" t="s">
        <v>14</v>
      </c>
      <c r="F544" t="s">
        <v>102</v>
      </c>
      <c r="G544" t="s">
        <v>106</v>
      </c>
      <c r="H544">
        <v>38</v>
      </c>
      <c r="I544" s="2">
        <v>131.04</v>
      </c>
      <c r="J544" s="2">
        <v>66.27</v>
      </c>
      <c r="K544" s="2">
        <v>4979.5200000000004</v>
      </c>
      <c r="L544" s="2">
        <v>2518.2600000000002</v>
      </c>
      <c r="M544" s="2">
        <v>2461.2600000000002</v>
      </c>
      <c r="N544">
        <v>1</v>
      </c>
    </row>
    <row r="545" spans="1:14" x14ac:dyDescent="0.3">
      <c r="A545" s="1">
        <v>37904</v>
      </c>
      <c r="B545">
        <v>10159</v>
      </c>
      <c r="C545">
        <v>321</v>
      </c>
      <c r="D545" t="s">
        <v>225</v>
      </c>
      <c r="E545" t="s">
        <v>14</v>
      </c>
      <c r="F545" t="s">
        <v>29</v>
      </c>
      <c r="G545" t="s">
        <v>114</v>
      </c>
      <c r="H545">
        <v>24</v>
      </c>
      <c r="I545" s="2">
        <v>67.03</v>
      </c>
      <c r="J545" s="2">
        <v>31.92</v>
      </c>
      <c r="K545" s="2">
        <v>1608.72</v>
      </c>
      <c r="L545" s="2">
        <v>766.08</v>
      </c>
      <c r="M545" s="2">
        <v>842.64</v>
      </c>
      <c r="N545">
        <v>1</v>
      </c>
    </row>
    <row r="546" spans="1:14" x14ac:dyDescent="0.3">
      <c r="A546" s="1">
        <v>37904</v>
      </c>
      <c r="B546">
        <v>10159</v>
      </c>
      <c r="C546">
        <v>321</v>
      </c>
      <c r="D546" t="s">
        <v>225</v>
      </c>
      <c r="E546" t="s">
        <v>14</v>
      </c>
      <c r="F546" t="s">
        <v>102</v>
      </c>
      <c r="G546" t="s">
        <v>107</v>
      </c>
      <c r="H546">
        <v>42</v>
      </c>
      <c r="I546" s="2">
        <v>51.48</v>
      </c>
      <c r="J546" s="2">
        <v>24.23</v>
      </c>
      <c r="K546" s="2">
        <v>2162.16</v>
      </c>
      <c r="L546" s="2">
        <v>1017.66</v>
      </c>
      <c r="M546" s="2">
        <v>1144.5</v>
      </c>
      <c r="N546">
        <v>1</v>
      </c>
    </row>
    <row r="547" spans="1:14" x14ac:dyDescent="0.3">
      <c r="A547" s="1">
        <v>37904</v>
      </c>
      <c r="B547">
        <v>10159</v>
      </c>
      <c r="C547">
        <v>321</v>
      </c>
      <c r="D547" t="s">
        <v>225</v>
      </c>
      <c r="E547" t="s">
        <v>14</v>
      </c>
      <c r="F547" t="s">
        <v>29</v>
      </c>
      <c r="G547" t="s">
        <v>117</v>
      </c>
      <c r="H547">
        <v>21</v>
      </c>
      <c r="I547" s="2">
        <v>66.739999999999995</v>
      </c>
      <c r="J547" s="2">
        <v>49.05</v>
      </c>
      <c r="K547" s="2">
        <v>1401.54</v>
      </c>
      <c r="L547" s="2">
        <v>1030.05</v>
      </c>
      <c r="M547" s="2">
        <v>371.49</v>
      </c>
      <c r="N547">
        <v>1</v>
      </c>
    </row>
    <row r="548" spans="1:14" x14ac:dyDescent="0.3">
      <c r="A548" s="1">
        <v>37904</v>
      </c>
      <c r="B548">
        <v>10159</v>
      </c>
      <c r="C548">
        <v>321</v>
      </c>
      <c r="D548" t="s">
        <v>225</v>
      </c>
      <c r="E548" t="s">
        <v>14</v>
      </c>
      <c r="F548" t="s">
        <v>29</v>
      </c>
      <c r="G548" t="s">
        <v>118</v>
      </c>
      <c r="H548">
        <v>25</v>
      </c>
      <c r="I548" s="2">
        <v>129.35</v>
      </c>
      <c r="J548" s="2">
        <v>73.489999999999995</v>
      </c>
      <c r="K548" s="2">
        <v>3233.75</v>
      </c>
      <c r="L548" s="2">
        <v>1837.25</v>
      </c>
      <c r="M548" s="2">
        <v>1396.5</v>
      </c>
      <c r="N548">
        <v>1</v>
      </c>
    </row>
    <row r="549" spans="1:14" x14ac:dyDescent="0.3">
      <c r="A549" s="1">
        <v>37904</v>
      </c>
      <c r="B549">
        <v>10159</v>
      </c>
      <c r="C549">
        <v>321</v>
      </c>
      <c r="D549" t="s">
        <v>225</v>
      </c>
      <c r="E549" t="s">
        <v>14</v>
      </c>
      <c r="F549" t="s">
        <v>102</v>
      </c>
      <c r="G549" t="s">
        <v>119</v>
      </c>
      <c r="H549">
        <v>21</v>
      </c>
      <c r="I549" s="2">
        <v>54.71</v>
      </c>
      <c r="J549" s="2">
        <v>32.950000000000003</v>
      </c>
      <c r="K549" s="2">
        <v>1148.9100000000001</v>
      </c>
      <c r="L549" s="2">
        <v>691.95</v>
      </c>
      <c r="M549" s="2">
        <v>456.96</v>
      </c>
      <c r="N549">
        <v>1</v>
      </c>
    </row>
    <row r="550" spans="1:14" x14ac:dyDescent="0.3">
      <c r="A550" s="1">
        <v>37904</v>
      </c>
      <c r="B550">
        <v>10159</v>
      </c>
      <c r="C550">
        <v>321</v>
      </c>
      <c r="D550" t="s">
        <v>225</v>
      </c>
      <c r="E550" t="s">
        <v>14</v>
      </c>
      <c r="F550" t="s">
        <v>29</v>
      </c>
      <c r="G550" t="s">
        <v>120</v>
      </c>
      <c r="H550">
        <v>32</v>
      </c>
      <c r="I550" s="2">
        <v>142.85</v>
      </c>
      <c r="J550" s="2">
        <v>69.930000000000007</v>
      </c>
      <c r="K550" s="2">
        <v>4571.2</v>
      </c>
      <c r="L550" s="2">
        <v>2237.7600000000002</v>
      </c>
      <c r="M550" s="2">
        <v>2333.44</v>
      </c>
      <c r="N550">
        <v>1</v>
      </c>
    </row>
    <row r="551" spans="1:14" x14ac:dyDescent="0.3">
      <c r="A551" s="1">
        <v>37904</v>
      </c>
      <c r="B551">
        <v>10159</v>
      </c>
      <c r="C551">
        <v>321</v>
      </c>
      <c r="D551" t="s">
        <v>225</v>
      </c>
      <c r="E551" t="s">
        <v>14</v>
      </c>
      <c r="F551" t="s">
        <v>102</v>
      </c>
      <c r="G551" t="s">
        <v>108</v>
      </c>
      <c r="H551">
        <v>44</v>
      </c>
      <c r="I551" s="2">
        <v>100.3</v>
      </c>
      <c r="J551" s="2">
        <v>60.86</v>
      </c>
      <c r="K551" s="2">
        <v>4413.2</v>
      </c>
      <c r="L551" s="2">
        <v>2677.84</v>
      </c>
      <c r="M551" s="2">
        <v>1735.36</v>
      </c>
      <c r="N551">
        <v>1</v>
      </c>
    </row>
    <row r="552" spans="1:14" x14ac:dyDescent="0.3">
      <c r="A552" s="1">
        <v>37904</v>
      </c>
      <c r="B552">
        <v>10159</v>
      </c>
      <c r="C552">
        <v>321</v>
      </c>
      <c r="D552" t="s">
        <v>225</v>
      </c>
      <c r="E552" t="s">
        <v>14</v>
      </c>
      <c r="F552" t="s">
        <v>102</v>
      </c>
      <c r="G552" t="s">
        <v>121</v>
      </c>
      <c r="H552">
        <v>27</v>
      </c>
      <c r="I552" s="2">
        <v>67.180000000000007</v>
      </c>
      <c r="J552" s="2">
        <v>47.1</v>
      </c>
      <c r="K552" s="2">
        <v>1813.86</v>
      </c>
      <c r="L552" s="2">
        <v>1271.7</v>
      </c>
      <c r="M552" s="2">
        <v>542.16</v>
      </c>
      <c r="N552">
        <v>1</v>
      </c>
    </row>
    <row r="553" spans="1:14" x14ac:dyDescent="0.3">
      <c r="A553" s="1">
        <v>37904</v>
      </c>
      <c r="B553">
        <v>10159</v>
      </c>
      <c r="C553">
        <v>321</v>
      </c>
      <c r="D553" t="s">
        <v>225</v>
      </c>
      <c r="E553" t="s">
        <v>14</v>
      </c>
      <c r="F553" t="s">
        <v>29</v>
      </c>
      <c r="G553" t="s">
        <v>122</v>
      </c>
      <c r="H553">
        <v>50</v>
      </c>
      <c r="I553" s="2">
        <v>49.6</v>
      </c>
      <c r="J553" s="2">
        <v>38.58</v>
      </c>
      <c r="K553" s="2">
        <v>2480</v>
      </c>
      <c r="L553" s="2">
        <v>1929</v>
      </c>
      <c r="M553" s="2">
        <v>551</v>
      </c>
      <c r="N553">
        <v>1</v>
      </c>
    </row>
    <row r="554" spans="1:14" x14ac:dyDescent="0.3">
      <c r="A554" s="1">
        <v>37904</v>
      </c>
      <c r="B554">
        <v>10159</v>
      </c>
      <c r="C554">
        <v>321</v>
      </c>
      <c r="D554" t="s">
        <v>225</v>
      </c>
      <c r="E554" t="s">
        <v>14</v>
      </c>
      <c r="F554" t="s">
        <v>29</v>
      </c>
      <c r="G554" t="s">
        <v>124</v>
      </c>
      <c r="H554">
        <v>23</v>
      </c>
      <c r="I554" s="2">
        <v>80.84</v>
      </c>
      <c r="J554" s="2">
        <v>32.33</v>
      </c>
      <c r="K554" s="2">
        <v>1859.32</v>
      </c>
      <c r="L554" s="2">
        <v>743.59</v>
      </c>
      <c r="M554" s="2">
        <v>1115.73</v>
      </c>
      <c r="N554">
        <v>1</v>
      </c>
    </row>
    <row r="555" spans="1:14" x14ac:dyDescent="0.3">
      <c r="A555" s="1">
        <v>37904</v>
      </c>
      <c r="B555">
        <v>10159</v>
      </c>
      <c r="C555">
        <v>321</v>
      </c>
      <c r="D555" t="s">
        <v>225</v>
      </c>
      <c r="E555" t="s">
        <v>14</v>
      </c>
      <c r="F555" t="s">
        <v>102</v>
      </c>
      <c r="G555" t="s">
        <v>125</v>
      </c>
      <c r="H555">
        <v>35</v>
      </c>
      <c r="I555" s="2">
        <v>39.43</v>
      </c>
      <c r="J555" s="2">
        <v>24.14</v>
      </c>
      <c r="K555" s="2">
        <v>1380.05</v>
      </c>
      <c r="L555" s="2">
        <v>844.9</v>
      </c>
      <c r="M555" s="2">
        <v>535.15</v>
      </c>
      <c r="N555">
        <v>1</v>
      </c>
    </row>
    <row r="556" spans="1:14" x14ac:dyDescent="0.3">
      <c r="A556" s="1">
        <v>37904</v>
      </c>
      <c r="B556">
        <v>10159</v>
      </c>
      <c r="C556">
        <v>321</v>
      </c>
      <c r="D556" t="s">
        <v>225</v>
      </c>
      <c r="E556" t="s">
        <v>14</v>
      </c>
      <c r="F556" t="s">
        <v>102</v>
      </c>
      <c r="G556" t="s">
        <v>126</v>
      </c>
      <c r="H556">
        <v>23</v>
      </c>
      <c r="I556" s="2">
        <v>86.74</v>
      </c>
      <c r="J556" s="2">
        <v>56.13</v>
      </c>
      <c r="K556" s="2">
        <v>1995.02</v>
      </c>
      <c r="L556" s="2">
        <v>1290.99</v>
      </c>
      <c r="M556" s="2">
        <v>704.03</v>
      </c>
      <c r="N556">
        <v>1</v>
      </c>
    </row>
    <row r="557" spans="1:14" x14ac:dyDescent="0.3">
      <c r="A557" s="1">
        <v>37904</v>
      </c>
      <c r="B557">
        <v>10159</v>
      </c>
      <c r="C557">
        <v>321</v>
      </c>
      <c r="D557" t="s">
        <v>225</v>
      </c>
      <c r="E557" t="s">
        <v>14</v>
      </c>
      <c r="F557" t="s">
        <v>102</v>
      </c>
      <c r="G557" t="s">
        <v>127</v>
      </c>
      <c r="H557">
        <v>31</v>
      </c>
      <c r="I557" s="2">
        <v>78.11</v>
      </c>
      <c r="J557" s="2">
        <v>34.17</v>
      </c>
      <c r="K557" s="2">
        <v>2421.41</v>
      </c>
      <c r="L557" s="2">
        <v>1059.27</v>
      </c>
      <c r="M557" s="2">
        <v>1362.14</v>
      </c>
      <c r="N557">
        <v>1</v>
      </c>
    </row>
    <row r="558" spans="1:14" x14ac:dyDescent="0.3">
      <c r="A558" s="1">
        <v>37904</v>
      </c>
      <c r="B558">
        <v>10158</v>
      </c>
      <c r="C558">
        <v>121</v>
      </c>
      <c r="D558" t="s">
        <v>27</v>
      </c>
      <c r="E558" t="s">
        <v>28</v>
      </c>
      <c r="F558" t="s">
        <v>102</v>
      </c>
      <c r="G558" t="s">
        <v>109</v>
      </c>
      <c r="H558">
        <v>22</v>
      </c>
      <c r="I558" s="2">
        <v>67.790000000000006</v>
      </c>
      <c r="J558" s="2">
        <v>37.32</v>
      </c>
      <c r="K558" s="2">
        <v>1491.38</v>
      </c>
      <c r="L558" s="2">
        <v>821.04</v>
      </c>
      <c r="M558" s="2">
        <v>670.34</v>
      </c>
      <c r="N558">
        <v>2</v>
      </c>
    </row>
    <row r="559" spans="1:14" x14ac:dyDescent="0.3">
      <c r="A559" s="1">
        <v>37905</v>
      </c>
      <c r="B559">
        <v>10160</v>
      </c>
      <c r="C559">
        <v>347</v>
      </c>
      <c r="D559" t="s">
        <v>226</v>
      </c>
      <c r="E559" t="s">
        <v>14</v>
      </c>
      <c r="F559" t="s">
        <v>29</v>
      </c>
      <c r="G559" t="s">
        <v>113</v>
      </c>
      <c r="H559">
        <v>46</v>
      </c>
      <c r="I559" s="2">
        <v>96.3</v>
      </c>
      <c r="J559" s="2">
        <v>75.16</v>
      </c>
      <c r="K559" s="2">
        <v>4429.8</v>
      </c>
      <c r="L559" s="2">
        <v>3457.36</v>
      </c>
      <c r="M559" s="2">
        <v>972.44</v>
      </c>
      <c r="N559">
        <v>1</v>
      </c>
    </row>
    <row r="560" spans="1:14" x14ac:dyDescent="0.3">
      <c r="A560" s="1">
        <v>37905</v>
      </c>
      <c r="B560">
        <v>10160</v>
      </c>
      <c r="C560">
        <v>347</v>
      </c>
      <c r="D560" t="s">
        <v>226</v>
      </c>
      <c r="E560" t="s">
        <v>14</v>
      </c>
      <c r="F560" t="s">
        <v>29</v>
      </c>
      <c r="G560" t="s">
        <v>115</v>
      </c>
      <c r="H560">
        <v>50</v>
      </c>
      <c r="I560" s="2">
        <v>93.28</v>
      </c>
      <c r="J560" s="2">
        <v>58.73</v>
      </c>
      <c r="K560" s="2">
        <v>4664</v>
      </c>
      <c r="L560" s="2">
        <v>2936.5</v>
      </c>
      <c r="M560" s="2">
        <v>1727.5</v>
      </c>
      <c r="N560">
        <v>1</v>
      </c>
    </row>
    <row r="561" spans="1:14" x14ac:dyDescent="0.3">
      <c r="A561" s="1">
        <v>37905</v>
      </c>
      <c r="B561">
        <v>10160</v>
      </c>
      <c r="C561">
        <v>347</v>
      </c>
      <c r="D561" t="s">
        <v>226</v>
      </c>
      <c r="E561" t="s">
        <v>14</v>
      </c>
      <c r="F561" t="s">
        <v>29</v>
      </c>
      <c r="G561" t="s">
        <v>116</v>
      </c>
      <c r="H561">
        <v>38</v>
      </c>
      <c r="I561" s="2">
        <v>70.84</v>
      </c>
      <c r="J561" s="2">
        <v>53.9</v>
      </c>
      <c r="K561" s="2">
        <v>2691.92</v>
      </c>
      <c r="L561" s="2">
        <v>2048.1999999999998</v>
      </c>
      <c r="M561" s="2">
        <v>643.72</v>
      </c>
      <c r="N561">
        <v>1</v>
      </c>
    </row>
    <row r="562" spans="1:14" x14ac:dyDescent="0.3">
      <c r="A562" s="1">
        <v>37905</v>
      </c>
      <c r="B562">
        <v>10160</v>
      </c>
      <c r="C562">
        <v>347</v>
      </c>
      <c r="D562" t="s">
        <v>226</v>
      </c>
      <c r="E562" t="s">
        <v>14</v>
      </c>
      <c r="F562" t="s">
        <v>29</v>
      </c>
      <c r="G562" t="s">
        <v>53</v>
      </c>
      <c r="H562">
        <v>20</v>
      </c>
      <c r="I562" s="2">
        <v>140.55000000000001</v>
      </c>
      <c r="J562" s="2">
        <v>77.900000000000006</v>
      </c>
      <c r="K562" s="2">
        <v>2811</v>
      </c>
      <c r="L562" s="2">
        <v>1558</v>
      </c>
      <c r="M562" s="2">
        <v>1253</v>
      </c>
      <c r="N562">
        <v>1</v>
      </c>
    </row>
    <row r="563" spans="1:14" x14ac:dyDescent="0.3">
      <c r="A563" s="1">
        <v>37905</v>
      </c>
      <c r="B563">
        <v>10160</v>
      </c>
      <c r="C563">
        <v>347</v>
      </c>
      <c r="D563" t="s">
        <v>226</v>
      </c>
      <c r="E563" t="s">
        <v>14</v>
      </c>
      <c r="F563" t="s">
        <v>29</v>
      </c>
      <c r="G563" t="s">
        <v>132</v>
      </c>
      <c r="H563">
        <v>42</v>
      </c>
      <c r="I563" s="2">
        <v>30.59</v>
      </c>
      <c r="J563" s="2">
        <v>16.239999999999998</v>
      </c>
      <c r="K563" s="2">
        <v>1284.78</v>
      </c>
      <c r="L563" s="2">
        <v>682.08</v>
      </c>
      <c r="M563" s="2">
        <v>602.70000000000005</v>
      </c>
      <c r="N563">
        <v>1</v>
      </c>
    </row>
    <row r="564" spans="1:14" x14ac:dyDescent="0.3">
      <c r="A564" s="1">
        <v>37905</v>
      </c>
      <c r="B564">
        <v>10160</v>
      </c>
      <c r="C564">
        <v>347</v>
      </c>
      <c r="D564" t="s">
        <v>226</v>
      </c>
      <c r="E564" t="s">
        <v>14</v>
      </c>
      <c r="F564" t="s">
        <v>29</v>
      </c>
      <c r="G564" t="s">
        <v>123</v>
      </c>
      <c r="H564">
        <v>35</v>
      </c>
      <c r="I564" s="2">
        <v>130.6</v>
      </c>
      <c r="J564" s="2">
        <v>98.3</v>
      </c>
      <c r="K564" s="2">
        <v>4571</v>
      </c>
      <c r="L564" s="2">
        <v>3440.5</v>
      </c>
      <c r="M564" s="2">
        <v>1130.5</v>
      </c>
      <c r="N564">
        <v>1</v>
      </c>
    </row>
    <row r="565" spans="1:14" x14ac:dyDescent="0.3">
      <c r="A565" s="1">
        <v>37911</v>
      </c>
      <c r="B565">
        <v>10161</v>
      </c>
      <c r="C565">
        <v>227</v>
      </c>
      <c r="D565" t="s">
        <v>168</v>
      </c>
      <c r="E565" t="s">
        <v>64</v>
      </c>
      <c r="F565" t="s">
        <v>29</v>
      </c>
      <c r="G565" t="s">
        <v>128</v>
      </c>
      <c r="H565">
        <v>28</v>
      </c>
      <c r="I565" s="2">
        <v>121.72</v>
      </c>
      <c r="J565" s="2">
        <v>83.51</v>
      </c>
      <c r="K565" s="2">
        <v>3408.16</v>
      </c>
      <c r="L565" s="2">
        <v>2338.2800000000002</v>
      </c>
      <c r="M565" s="2">
        <v>1069.8800000000001</v>
      </c>
      <c r="N565">
        <v>1</v>
      </c>
    </row>
    <row r="566" spans="1:14" x14ac:dyDescent="0.3">
      <c r="A566" s="1">
        <v>37911</v>
      </c>
      <c r="B566">
        <v>10161</v>
      </c>
      <c r="C566">
        <v>227</v>
      </c>
      <c r="D566" t="s">
        <v>168</v>
      </c>
      <c r="E566" t="s">
        <v>64</v>
      </c>
      <c r="F566" t="s">
        <v>29</v>
      </c>
      <c r="G566" t="s">
        <v>134</v>
      </c>
      <c r="H566">
        <v>43</v>
      </c>
      <c r="I566" s="2">
        <v>102.04</v>
      </c>
      <c r="J566" s="2">
        <v>65.959999999999994</v>
      </c>
      <c r="K566" s="2">
        <v>4387.72</v>
      </c>
      <c r="L566" s="2">
        <v>2836.28</v>
      </c>
      <c r="M566" s="2">
        <v>1551.44</v>
      </c>
      <c r="N566">
        <v>1</v>
      </c>
    </row>
    <row r="567" spans="1:14" x14ac:dyDescent="0.3">
      <c r="A567" s="1">
        <v>37911</v>
      </c>
      <c r="B567">
        <v>10161</v>
      </c>
      <c r="C567">
        <v>227</v>
      </c>
      <c r="D567" t="s">
        <v>168</v>
      </c>
      <c r="E567" t="s">
        <v>64</v>
      </c>
      <c r="F567" t="s">
        <v>29</v>
      </c>
      <c r="G567" t="s">
        <v>129</v>
      </c>
      <c r="H567">
        <v>48</v>
      </c>
      <c r="I567" s="2">
        <v>139.41</v>
      </c>
      <c r="J567" s="2">
        <v>93.89</v>
      </c>
      <c r="K567" s="2">
        <v>6691.68</v>
      </c>
      <c r="L567" s="2">
        <v>4506.72</v>
      </c>
      <c r="M567" s="2">
        <v>2184.96</v>
      </c>
      <c r="N567">
        <v>1</v>
      </c>
    </row>
    <row r="568" spans="1:14" x14ac:dyDescent="0.3">
      <c r="A568" s="1">
        <v>37911</v>
      </c>
      <c r="B568">
        <v>10161</v>
      </c>
      <c r="C568">
        <v>227</v>
      </c>
      <c r="D568" t="s">
        <v>168</v>
      </c>
      <c r="E568" t="s">
        <v>64</v>
      </c>
      <c r="F568" t="s">
        <v>29</v>
      </c>
      <c r="G568" t="s">
        <v>130</v>
      </c>
      <c r="H568">
        <v>23</v>
      </c>
      <c r="I568" s="2">
        <v>125.4</v>
      </c>
      <c r="J568" s="2">
        <v>56.76</v>
      </c>
      <c r="K568" s="2">
        <v>2884.2</v>
      </c>
      <c r="L568" s="2">
        <v>1305.48</v>
      </c>
      <c r="M568" s="2">
        <v>1578.72</v>
      </c>
      <c r="N568">
        <v>1</v>
      </c>
    </row>
    <row r="569" spans="1:14" x14ac:dyDescent="0.3">
      <c r="A569" s="1">
        <v>37911</v>
      </c>
      <c r="B569">
        <v>10161</v>
      </c>
      <c r="C569">
        <v>227</v>
      </c>
      <c r="D569" t="s">
        <v>168</v>
      </c>
      <c r="E569" t="s">
        <v>64</v>
      </c>
      <c r="F569" t="s">
        <v>29</v>
      </c>
      <c r="G569" t="s">
        <v>131</v>
      </c>
      <c r="H569">
        <v>36</v>
      </c>
      <c r="I569" s="2">
        <v>132.80000000000001</v>
      </c>
      <c r="J569" s="2">
        <v>62.16</v>
      </c>
      <c r="K569" s="2">
        <v>4780.8</v>
      </c>
      <c r="L569" s="2">
        <v>2237.7600000000002</v>
      </c>
      <c r="M569" s="2">
        <v>2543.04</v>
      </c>
      <c r="N569">
        <v>1</v>
      </c>
    </row>
    <row r="570" spans="1:14" x14ac:dyDescent="0.3">
      <c r="A570" s="1">
        <v>37911</v>
      </c>
      <c r="B570">
        <v>10161</v>
      </c>
      <c r="C570">
        <v>227</v>
      </c>
      <c r="D570" t="s">
        <v>168</v>
      </c>
      <c r="E570" t="s">
        <v>64</v>
      </c>
      <c r="F570" t="s">
        <v>29</v>
      </c>
      <c r="G570" t="s">
        <v>135</v>
      </c>
      <c r="H570">
        <v>25</v>
      </c>
      <c r="I570" s="2">
        <v>62.72</v>
      </c>
      <c r="J570" s="2">
        <v>34.21</v>
      </c>
      <c r="K570" s="2">
        <v>1568</v>
      </c>
      <c r="L570" s="2">
        <v>855.25</v>
      </c>
      <c r="M570" s="2">
        <v>712.75</v>
      </c>
      <c r="N570">
        <v>1</v>
      </c>
    </row>
    <row r="571" spans="1:14" x14ac:dyDescent="0.3">
      <c r="A571" s="1">
        <v>37911</v>
      </c>
      <c r="B571">
        <v>10161</v>
      </c>
      <c r="C571">
        <v>227</v>
      </c>
      <c r="D571" t="s">
        <v>168</v>
      </c>
      <c r="E571" t="s">
        <v>64</v>
      </c>
      <c r="F571" t="s">
        <v>29</v>
      </c>
      <c r="G571" t="s">
        <v>136</v>
      </c>
      <c r="H571">
        <v>37</v>
      </c>
      <c r="I571" s="2">
        <v>73.489999999999995</v>
      </c>
      <c r="J571" s="2">
        <v>49.24</v>
      </c>
      <c r="K571" s="2">
        <v>2719.13</v>
      </c>
      <c r="L571" s="2">
        <v>1821.88</v>
      </c>
      <c r="M571" s="2">
        <v>897.25</v>
      </c>
      <c r="N571">
        <v>1</v>
      </c>
    </row>
    <row r="572" spans="1:14" x14ac:dyDescent="0.3">
      <c r="A572" s="1">
        <v>37911</v>
      </c>
      <c r="B572">
        <v>10161</v>
      </c>
      <c r="C572">
        <v>227</v>
      </c>
      <c r="D572" t="s">
        <v>168</v>
      </c>
      <c r="E572" t="s">
        <v>64</v>
      </c>
      <c r="F572" t="s">
        <v>29</v>
      </c>
      <c r="G572" t="s">
        <v>137</v>
      </c>
      <c r="H572">
        <v>23</v>
      </c>
      <c r="I572" s="2">
        <v>47.29</v>
      </c>
      <c r="J572" s="2">
        <v>29.18</v>
      </c>
      <c r="K572" s="2">
        <v>1087.67</v>
      </c>
      <c r="L572" s="2">
        <v>671.14</v>
      </c>
      <c r="M572" s="2">
        <v>416.53</v>
      </c>
      <c r="N572">
        <v>1</v>
      </c>
    </row>
    <row r="573" spans="1:14" x14ac:dyDescent="0.3">
      <c r="A573" s="1">
        <v>37911</v>
      </c>
      <c r="B573">
        <v>10161</v>
      </c>
      <c r="C573">
        <v>227</v>
      </c>
      <c r="D573" t="s">
        <v>168</v>
      </c>
      <c r="E573" t="s">
        <v>64</v>
      </c>
      <c r="F573" t="s">
        <v>29</v>
      </c>
      <c r="G573" t="s">
        <v>138</v>
      </c>
      <c r="H573">
        <v>20</v>
      </c>
      <c r="I573" s="2">
        <v>82.69</v>
      </c>
      <c r="J573" s="2">
        <v>47.25</v>
      </c>
      <c r="K573" s="2">
        <v>1653.8</v>
      </c>
      <c r="L573" s="2">
        <v>945</v>
      </c>
      <c r="M573" s="2">
        <v>708.8</v>
      </c>
      <c r="N573">
        <v>1</v>
      </c>
    </row>
    <row r="574" spans="1:14" x14ac:dyDescent="0.3">
      <c r="A574" s="1">
        <v>37911</v>
      </c>
      <c r="B574">
        <v>10161</v>
      </c>
      <c r="C574">
        <v>227</v>
      </c>
      <c r="D574" t="s">
        <v>168</v>
      </c>
      <c r="E574" t="s">
        <v>64</v>
      </c>
      <c r="F574" t="s">
        <v>29</v>
      </c>
      <c r="G574" t="s">
        <v>139</v>
      </c>
      <c r="H574">
        <v>25</v>
      </c>
      <c r="I574" s="2">
        <v>108.04</v>
      </c>
      <c r="J574" s="2">
        <v>72.819999999999993</v>
      </c>
      <c r="K574" s="2">
        <v>2701</v>
      </c>
      <c r="L574" s="2">
        <v>1820.5</v>
      </c>
      <c r="M574" s="2">
        <v>880.5</v>
      </c>
      <c r="N574">
        <v>1</v>
      </c>
    </row>
    <row r="575" spans="1:14" x14ac:dyDescent="0.3">
      <c r="A575" s="1">
        <v>37911</v>
      </c>
      <c r="B575">
        <v>10161</v>
      </c>
      <c r="C575">
        <v>227</v>
      </c>
      <c r="D575" t="s">
        <v>168</v>
      </c>
      <c r="E575" t="s">
        <v>64</v>
      </c>
      <c r="F575" t="s">
        <v>29</v>
      </c>
      <c r="G575" t="s">
        <v>140</v>
      </c>
      <c r="H575">
        <v>20</v>
      </c>
      <c r="I575" s="2">
        <v>72.77</v>
      </c>
      <c r="J575" s="2">
        <v>50.51</v>
      </c>
      <c r="K575" s="2">
        <v>1455.4</v>
      </c>
      <c r="L575" s="2">
        <v>1010.2</v>
      </c>
      <c r="M575" s="2">
        <v>445.2</v>
      </c>
      <c r="N575">
        <v>1</v>
      </c>
    </row>
    <row r="576" spans="1:14" x14ac:dyDescent="0.3">
      <c r="A576" s="1">
        <v>37911</v>
      </c>
      <c r="B576">
        <v>10161</v>
      </c>
      <c r="C576">
        <v>227</v>
      </c>
      <c r="D576" t="s">
        <v>168</v>
      </c>
      <c r="E576" t="s">
        <v>64</v>
      </c>
      <c r="F576" t="s">
        <v>29</v>
      </c>
      <c r="G576" t="s">
        <v>141</v>
      </c>
      <c r="H576">
        <v>30</v>
      </c>
      <c r="I576" s="2">
        <v>94.23</v>
      </c>
      <c r="J576" s="2">
        <v>62.11</v>
      </c>
      <c r="K576" s="2">
        <v>2826.9</v>
      </c>
      <c r="L576" s="2">
        <v>1863.3</v>
      </c>
      <c r="M576" s="2">
        <v>963.6</v>
      </c>
      <c r="N576">
        <v>1</v>
      </c>
    </row>
    <row r="577" spans="1:14" x14ac:dyDescent="0.3">
      <c r="A577" s="1">
        <v>37912</v>
      </c>
      <c r="B577">
        <v>10162</v>
      </c>
      <c r="C577">
        <v>321</v>
      </c>
      <c r="D577" t="s">
        <v>225</v>
      </c>
      <c r="E577" t="s">
        <v>14</v>
      </c>
      <c r="F577" t="s">
        <v>15</v>
      </c>
      <c r="G577" t="s">
        <v>25</v>
      </c>
      <c r="H577">
        <v>48</v>
      </c>
      <c r="I577" s="2">
        <v>87.33</v>
      </c>
      <c r="J577" s="2">
        <v>60.62</v>
      </c>
      <c r="K577" s="2">
        <v>4191.84</v>
      </c>
      <c r="L577" s="2">
        <v>2909.76</v>
      </c>
      <c r="M577" s="2">
        <v>1282.08</v>
      </c>
      <c r="N577">
        <v>2</v>
      </c>
    </row>
    <row r="578" spans="1:14" x14ac:dyDescent="0.3">
      <c r="A578" s="1">
        <v>37912</v>
      </c>
      <c r="B578">
        <v>10162</v>
      </c>
      <c r="C578">
        <v>321</v>
      </c>
      <c r="D578" t="s">
        <v>225</v>
      </c>
      <c r="E578" t="s">
        <v>14</v>
      </c>
      <c r="F578" t="s">
        <v>15</v>
      </c>
      <c r="G578" t="s">
        <v>26</v>
      </c>
      <c r="H578">
        <v>45</v>
      </c>
      <c r="I578" s="2">
        <v>45.28</v>
      </c>
      <c r="J578" s="2">
        <v>24.26</v>
      </c>
      <c r="K578" s="2">
        <v>2037.6</v>
      </c>
      <c r="L578" s="2">
        <v>1091.7</v>
      </c>
      <c r="M578" s="2">
        <v>945.9</v>
      </c>
      <c r="N578">
        <v>2</v>
      </c>
    </row>
    <row r="579" spans="1:14" x14ac:dyDescent="0.3">
      <c r="A579" s="1">
        <v>37912</v>
      </c>
      <c r="B579">
        <v>10162</v>
      </c>
      <c r="C579">
        <v>321</v>
      </c>
      <c r="D579" t="s">
        <v>225</v>
      </c>
      <c r="E579" t="s">
        <v>14</v>
      </c>
      <c r="F579" t="s">
        <v>15</v>
      </c>
      <c r="G579" t="s">
        <v>16</v>
      </c>
      <c r="H579">
        <v>29</v>
      </c>
      <c r="I579" s="2">
        <v>141.1</v>
      </c>
      <c r="J579" s="2">
        <v>86.7</v>
      </c>
      <c r="K579" s="2">
        <v>4091.9</v>
      </c>
      <c r="L579" s="2">
        <v>2514.3000000000002</v>
      </c>
      <c r="M579" s="2">
        <v>1577.6</v>
      </c>
      <c r="N579">
        <v>2</v>
      </c>
    </row>
    <row r="580" spans="1:14" x14ac:dyDescent="0.3">
      <c r="A580" s="1">
        <v>37912</v>
      </c>
      <c r="B580">
        <v>10162</v>
      </c>
      <c r="C580">
        <v>321</v>
      </c>
      <c r="D580" t="s">
        <v>225</v>
      </c>
      <c r="E580" t="s">
        <v>14</v>
      </c>
      <c r="F580" t="s">
        <v>15</v>
      </c>
      <c r="G580" t="s">
        <v>17</v>
      </c>
      <c r="H580">
        <v>27</v>
      </c>
      <c r="I580" s="2">
        <v>53.28</v>
      </c>
      <c r="J580" s="2">
        <v>33.299999999999997</v>
      </c>
      <c r="K580" s="2">
        <v>1438.56</v>
      </c>
      <c r="L580" s="2">
        <v>899.1</v>
      </c>
      <c r="M580" s="2">
        <v>539.46</v>
      </c>
      <c r="N580">
        <v>2</v>
      </c>
    </row>
    <row r="581" spans="1:14" x14ac:dyDescent="0.3">
      <c r="A581" s="1">
        <v>37912</v>
      </c>
      <c r="B581">
        <v>10162</v>
      </c>
      <c r="C581">
        <v>321</v>
      </c>
      <c r="D581" t="s">
        <v>225</v>
      </c>
      <c r="E581" t="s">
        <v>14</v>
      </c>
      <c r="F581" t="s">
        <v>15</v>
      </c>
      <c r="G581" t="s">
        <v>21</v>
      </c>
      <c r="H581">
        <v>38</v>
      </c>
      <c r="I581" s="2">
        <v>113.15</v>
      </c>
      <c r="J581" s="2">
        <v>58.48</v>
      </c>
      <c r="K581" s="2">
        <v>4299.7</v>
      </c>
      <c r="L581" s="2">
        <v>2222.2399999999998</v>
      </c>
      <c r="M581" s="2">
        <v>2077.46</v>
      </c>
      <c r="N581">
        <v>2</v>
      </c>
    </row>
    <row r="582" spans="1:14" x14ac:dyDescent="0.3">
      <c r="A582" s="1">
        <v>37912</v>
      </c>
      <c r="B582">
        <v>10162</v>
      </c>
      <c r="C582">
        <v>321</v>
      </c>
      <c r="D582" t="s">
        <v>225</v>
      </c>
      <c r="E582" t="s">
        <v>14</v>
      </c>
      <c r="F582" t="s">
        <v>15</v>
      </c>
      <c r="G582" t="s">
        <v>22</v>
      </c>
      <c r="H582">
        <v>48</v>
      </c>
      <c r="I582" s="2">
        <v>156.94</v>
      </c>
      <c r="J582" s="2">
        <v>72.56</v>
      </c>
      <c r="K582" s="2">
        <v>7533.12</v>
      </c>
      <c r="L582" s="2">
        <v>3482.88</v>
      </c>
      <c r="M582" s="2">
        <v>4050.24</v>
      </c>
      <c r="N582">
        <v>2</v>
      </c>
    </row>
    <row r="583" spans="1:14" x14ac:dyDescent="0.3">
      <c r="A583" s="1">
        <v>37912</v>
      </c>
      <c r="B583">
        <v>10162</v>
      </c>
      <c r="C583">
        <v>321</v>
      </c>
      <c r="D583" t="s">
        <v>225</v>
      </c>
      <c r="E583" t="s">
        <v>14</v>
      </c>
      <c r="F583" t="s">
        <v>15</v>
      </c>
      <c r="G583" t="s">
        <v>18</v>
      </c>
      <c r="H583">
        <v>39</v>
      </c>
      <c r="I583" s="2">
        <v>86.51</v>
      </c>
      <c r="J583" s="2">
        <v>43.26</v>
      </c>
      <c r="K583" s="2">
        <v>3373.89</v>
      </c>
      <c r="L583" s="2">
        <v>1687.14</v>
      </c>
      <c r="M583" s="2">
        <v>1686.75</v>
      </c>
      <c r="N583">
        <v>2</v>
      </c>
    </row>
    <row r="584" spans="1:14" x14ac:dyDescent="0.3">
      <c r="A584" s="1">
        <v>37912</v>
      </c>
      <c r="B584">
        <v>10162</v>
      </c>
      <c r="C584">
        <v>321</v>
      </c>
      <c r="D584" t="s">
        <v>225</v>
      </c>
      <c r="E584" t="s">
        <v>14</v>
      </c>
      <c r="F584" t="s">
        <v>15</v>
      </c>
      <c r="G584" t="s">
        <v>23</v>
      </c>
      <c r="H584">
        <v>37</v>
      </c>
      <c r="I584" s="2">
        <v>27.55</v>
      </c>
      <c r="J584" s="2">
        <v>22.57</v>
      </c>
      <c r="K584" s="2">
        <v>1019.35</v>
      </c>
      <c r="L584" s="2">
        <v>835.09</v>
      </c>
      <c r="M584" s="2">
        <v>184.26</v>
      </c>
      <c r="N584">
        <v>2</v>
      </c>
    </row>
    <row r="585" spans="1:14" x14ac:dyDescent="0.3">
      <c r="A585" s="1">
        <v>37912</v>
      </c>
      <c r="B585">
        <v>10162</v>
      </c>
      <c r="C585">
        <v>321</v>
      </c>
      <c r="D585" t="s">
        <v>225</v>
      </c>
      <c r="E585" t="s">
        <v>14</v>
      </c>
      <c r="F585" t="s">
        <v>15</v>
      </c>
      <c r="G585" t="s">
        <v>24</v>
      </c>
      <c r="H585">
        <v>43</v>
      </c>
      <c r="I585" s="2">
        <v>38.979999999999997</v>
      </c>
      <c r="J585" s="2">
        <v>20.61</v>
      </c>
      <c r="K585" s="2">
        <v>1676.14</v>
      </c>
      <c r="L585" s="2">
        <v>886.23</v>
      </c>
      <c r="M585" s="2">
        <v>789.91</v>
      </c>
      <c r="N585">
        <v>2</v>
      </c>
    </row>
    <row r="586" spans="1:14" x14ac:dyDescent="0.3">
      <c r="A586" s="1">
        <v>37912</v>
      </c>
      <c r="B586">
        <v>10162</v>
      </c>
      <c r="C586">
        <v>321</v>
      </c>
      <c r="D586" t="s">
        <v>225</v>
      </c>
      <c r="E586" t="s">
        <v>14</v>
      </c>
      <c r="F586" t="s">
        <v>15</v>
      </c>
      <c r="G586" t="s">
        <v>19</v>
      </c>
      <c r="H586">
        <v>37</v>
      </c>
      <c r="I586" s="2">
        <v>32.82</v>
      </c>
      <c r="J586" s="2">
        <v>21.75</v>
      </c>
      <c r="K586" s="2">
        <v>1214.3399999999999</v>
      </c>
      <c r="L586" s="2">
        <v>804.75</v>
      </c>
      <c r="M586" s="2">
        <v>409.59</v>
      </c>
      <c r="N586">
        <v>2</v>
      </c>
    </row>
    <row r="587" spans="1:14" x14ac:dyDescent="0.3">
      <c r="A587" s="1">
        <v>37914</v>
      </c>
      <c r="B587">
        <v>10163</v>
      </c>
      <c r="C587">
        <v>424</v>
      </c>
      <c r="D587" t="s">
        <v>208</v>
      </c>
      <c r="E587" t="s">
        <v>14</v>
      </c>
      <c r="F587" t="s">
        <v>29</v>
      </c>
      <c r="G587" t="s">
        <v>30</v>
      </c>
      <c r="H587">
        <v>21</v>
      </c>
      <c r="I587" s="2">
        <v>212.16</v>
      </c>
      <c r="J587" s="2">
        <v>98.58</v>
      </c>
      <c r="K587" s="2">
        <v>4455.3599999999997</v>
      </c>
      <c r="L587" s="2">
        <v>2070.1799999999998</v>
      </c>
      <c r="M587" s="2">
        <v>2385.1799999999998</v>
      </c>
      <c r="N587">
        <v>2</v>
      </c>
    </row>
    <row r="588" spans="1:14" x14ac:dyDescent="0.3">
      <c r="A588" s="1">
        <v>37914</v>
      </c>
      <c r="B588">
        <v>10163</v>
      </c>
      <c r="C588">
        <v>424</v>
      </c>
      <c r="D588" t="s">
        <v>208</v>
      </c>
      <c r="E588" t="s">
        <v>14</v>
      </c>
      <c r="F588" t="s">
        <v>15</v>
      </c>
      <c r="G588" t="s">
        <v>36</v>
      </c>
      <c r="H588">
        <v>31</v>
      </c>
      <c r="I588" s="2">
        <v>101.31</v>
      </c>
      <c r="J588" s="2">
        <v>60.78</v>
      </c>
      <c r="K588" s="2">
        <v>3140.61</v>
      </c>
      <c r="L588" s="2">
        <v>1884.18</v>
      </c>
      <c r="M588" s="2">
        <v>1256.43</v>
      </c>
      <c r="N588">
        <v>2</v>
      </c>
    </row>
    <row r="589" spans="1:14" x14ac:dyDescent="0.3">
      <c r="A589" s="1">
        <v>37914</v>
      </c>
      <c r="B589">
        <v>10163</v>
      </c>
      <c r="C589">
        <v>424</v>
      </c>
      <c r="D589" t="s">
        <v>208</v>
      </c>
      <c r="E589" t="s">
        <v>14</v>
      </c>
      <c r="F589" t="s">
        <v>15</v>
      </c>
      <c r="G589" t="s">
        <v>37</v>
      </c>
      <c r="H589">
        <v>48</v>
      </c>
      <c r="I589" s="2">
        <v>59.96</v>
      </c>
      <c r="J589" s="2">
        <v>34.35</v>
      </c>
      <c r="K589" s="2">
        <v>2878.08</v>
      </c>
      <c r="L589" s="2">
        <v>1648.8</v>
      </c>
      <c r="M589" s="2">
        <v>1229.28</v>
      </c>
      <c r="N589">
        <v>2</v>
      </c>
    </row>
    <row r="590" spans="1:14" x14ac:dyDescent="0.3">
      <c r="A590" s="1">
        <v>37914</v>
      </c>
      <c r="B590">
        <v>10163</v>
      </c>
      <c r="C590">
        <v>424</v>
      </c>
      <c r="D590" t="s">
        <v>208</v>
      </c>
      <c r="E590" t="s">
        <v>14</v>
      </c>
      <c r="F590" t="s">
        <v>15</v>
      </c>
      <c r="G590" t="s">
        <v>38</v>
      </c>
      <c r="H590">
        <v>40</v>
      </c>
      <c r="I590" s="2">
        <v>101.58</v>
      </c>
      <c r="J590" s="2">
        <v>60.74</v>
      </c>
      <c r="K590" s="2">
        <v>4063.2</v>
      </c>
      <c r="L590" s="2">
        <v>2429.6</v>
      </c>
      <c r="M590" s="2">
        <v>1633.6</v>
      </c>
      <c r="N590">
        <v>2</v>
      </c>
    </row>
    <row r="591" spans="1:14" x14ac:dyDescent="0.3">
      <c r="A591" s="1">
        <v>37914</v>
      </c>
      <c r="B591">
        <v>10163</v>
      </c>
      <c r="C591">
        <v>424</v>
      </c>
      <c r="D591" t="s">
        <v>208</v>
      </c>
      <c r="E591" t="s">
        <v>14</v>
      </c>
      <c r="F591" t="s">
        <v>15</v>
      </c>
      <c r="G591" t="s">
        <v>39</v>
      </c>
      <c r="H591">
        <v>43</v>
      </c>
      <c r="I591" s="2">
        <v>80.36</v>
      </c>
      <c r="J591" s="2">
        <v>57.54</v>
      </c>
      <c r="K591" s="2">
        <v>3455.48</v>
      </c>
      <c r="L591" s="2">
        <v>2474.2199999999998</v>
      </c>
      <c r="M591" s="2">
        <v>981.26</v>
      </c>
      <c r="N591">
        <v>2</v>
      </c>
    </row>
    <row r="592" spans="1:14" x14ac:dyDescent="0.3">
      <c r="A592" s="1">
        <v>37914</v>
      </c>
      <c r="B592">
        <v>10163</v>
      </c>
      <c r="C592">
        <v>424</v>
      </c>
      <c r="D592" t="s">
        <v>208</v>
      </c>
      <c r="E592" t="s">
        <v>14</v>
      </c>
      <c r="F592" t="s">
        <v>15</v>
      </c>
      <c r="G592" t="s">
        <v>43</v>
      </c>
      <c r="H592">
        <v>42</v>
      </c>
      <c r="I592" s="2">
        <v>96.42</v>
      </c>
      <c r="J592" s="2">
        <v>57.46</v>
      </c>
      <c r="K592" s="2">
        <v>4049.64</v>
      </c>
      <c r="L592" s="2">
        <v>2413.3200000000002</v>
      </c>
      <c r="M592" s="2">
        <v>1636.32</v>
      </c>
      <c r="N592">
        <v>2</v>
      </c>
    </row>
    <row r="593" spans="1:14" x14ac:dyDescent="0.3">
      <c r="A593" s="1">
        <v>37915</v>
      </c>
      <c r="B593">
        <v>10164</v>
      </c>
      <c r="C593">
        <v>452</v>
      </c>
      <c r="D593" t="s">
        <v>169</v>
      </c>
      <c r="E593" t="s">
        <v>150</v>
      </c>
      <c r="F593" t="s">
        <v>29</v>
      </c>
      <c r="G593" t="s">
        <v>31</v>
      </c>
      <c r="H593">
        <v>21</v>
      </c>
      <c r="I593" s="2">
        <v>143.31</v>
      </c>
      <c r="J593" s="2">
        <v>103.42</v>
      </c>
      <c r="K593" s="2">
        <v>3009.51</v>
      </c>
      <c r="L593" s="2">
        <v>2171.8200000000002</v>
      </c>
      <c r="M593" s="2">
        <v>837.69</v>
      </c>
      <c r="N593">
        <v>1</v>
      </c>
    </row>
    <row r="594" spans="1:14" x14ac:dyDescent="0.3">
      <c r="A594" s="1">
        <v>37915</v>
      </c>
      <c r="B594">
        <v>10164</v>
      </c>
      <c r="C594">
        <v>452</v>
      </c>
      <c r="D594" t="s">
        <v>169</v>
      </c>
      <c r="E594" t="s">
        <v>150</v>
      </c>
      <c r="F594" t="s">
        <v>32</v>
      </c>
      <c r="G594" t="s">
        <v>33</v>
      </c>
      <c r="H594">
        <v>49</v>
      </c>
      <c r="I594" s="2">
        <v>121.64</v>
      </c>
      <c r="J594" s="2">
        <v>77.900000000000006</v>
      </c>
      <c r="K594" s="2">
        <v>5960.36</v>
      </c>
      <c r="L594" s="2">
        <v>3817.1</v>
      </c>
      <c r="M594" s="2">
        <v>2143.2600000000002</v>
      </c>
      <c r="N594">
        <v>1</v>
      </c>
    </row>
    <row r="595" spans="1:14" x14ac:dyDescent="0.3">
      <c r="A595" s="1">
        <v>37915</v>
      </c>
      <c r="B595">
        <v>10164</v>
      </c>
      <c r="C595">
        <v>452</v>
      </c>
      <c r="D595" t="s">
        <v>169</v>
      </c>
      <c r="E595" t="s">
        <v>150</v>
      </c>
      <c r="F595" t="s">
        <v>32</v>
      </c>
      <c r="G595" t="s">
        <v>34</v>
      </c>
      <c r="H595">
        <v>36</v>
      </c>
      <c r="I595" s="2">
        <v>103.84</v>
      </c>
      <c r="J595" s="2">
        <v>58.33</v>
      </c>
      <c r="K595" s="2">
        <v>3738.24</v>
      </c>
      <c r="L595" s="2">
        <v>2099.88</v>
      </c>
      <c r="M595" s="2">
        <v>1638.36</v>
      </c>
      <c r="N595">
        <v>1</v>
      </c>
    </row>
    <row r="596" spans="1:14" x14ac:dyDescent="0.3">
      <c r="A596" s="1">
        <v>37915</v>
      </c>
      <c r="B596">
        <v>10164</v>
      </c>
      <c r="C596">
        <v>452</v>
      </c>
      <c r="D596" t="s">
        <v>169</v>
      </c>
      <c r="E596" t="s">
        <v>150</v>
      </c>
      <c r="F596" t="s">
        <v>32</v>
      </c>
      <c r="G596" t="s">
        <v>40</v>
      </c>
      <c r="H596">
        <v>45</v>
      </c>
      <c r="I596" s="2">
        <v>107.76</v>
      </c>
      <c r="J596" s="2">
        <v>84.76</v>
      </c>
      <c r="K596" s="2">
        <v>4849.2</v>
      </c>
      <c r="L596" s="2">
        <v>3814.2</v>
      </c>
      <c r="M596" s="2">
        <v>1035</v>
      </c>
      <c r="N596">
        <v>1</v>
      </c>
    </row>
    <row r="597" spans="1:14" x14ac:dyDescent="0.3">
      <c r="A597" s="1">
        <v>37915</v>
      </c>
      <c r="B597">
        <v>10164</v>
      </c>
      <c r="C597">
        <v>452</v>
      </c>
      <c r="D597" t="s">
        <v>169</v>
      </c>
      <c r="E597" t="s">
        <v>150</v>
      </c>
      <c r="F597" t="s">
        <v>15</v>
      </c>
      <c r="G597" t="s">
        <v>41</v>
      </c>
      <c r="H597">
        <v>25</v>
      </c>
      <c r="I597" s="2">
        <v>46.29</v>
      </c>
      <c r="J597" s="2">
        <v>23.14</v>
      </c>
      <c r="K597" s="2">
        <v>1157.25</v>
      </c>
      <c r="L597" s="2">
        <v>578.5</v>
      </c>
      <c r="M597" s="2">
        <v>578.75</v>
      </c>
      <c r="N597">
        <v>1</v>
      </c>
    </row>
    <row r="598" spans="1:14" x14ac:dyDescent="0.3">
      <c r="A598" s="1">
        <v>37915</v>
      </c>
      <c r="B598">
        <v>10164</v>
      </c>
      <c r="C598">
        <v>452</v>
      </c>
      <c r="D598" t="s">
        <v>169</v>
      </c>
      <c r="E598" t="s">
        <v>150</v>
      </c>
      <c r="F598" t="s">
        <v>32</v>
      </c>
      <c r="G598" t="s">
        <v>44</v>
      </c>
      <c r="H598">
        <v>24</v>
      </c>
      <c r="I598" s="2">
        <v>91.49</v>
      </c>
      <c r="J598" s="2">
        <v>53.93</v>
      </c>
      <c r="K598" s="2">
        <v>2195.7600000000002</v>
      </c>
      <c r="L598" s="2">
        <v>1294.32</v>
      </c>
      <c r="M598" s="2">
        <v>901.44</v>
      </c>
      <c r="N598">
        <v>1</v>
      </c>
    </row>
    <row r="599" spans="1:14" x14ac:dyDescent="0.3">
      <c r="A599" s="1">
        <v>37915</v>
      </c>
      <c r="B599">
        <v>10164</v>
      </c>
      <c r="C599">
        <v>452</v>
      </c>
      <c r="D599" t="s">
        <v>169</v>
      </c>
      <c r="E599" t="s">
        <v>150</v>
      </c>
      <c r="F599" t="s">
        <v>32</v>
      </c>
      <c r="G599" t="s">
        <v>45</v>
      </c>
      <c r="H599">
        <v>49</v>
      </c>
      <c r="I599" s="2">
        <v>57.53</v>
      </c>
      <c r="J599" s="2">
        <v>33.61</v>
      </c>
      <c r="K599" s="2">
        <v>2818.97</v>
      </c>
      <c r="L599" s="2">
        <v>1646.89</v>
      </c>
      <c r="M599" s="2">
        <v>1172.08</v>
      </c>
      <c r="N599">
        <v>1</v>
      </c>
    </row>
    <row r="600" spans="1:14" x14ac:dyDescent="0.3">
      <c r="A600" s="1">
        <v>37915</v>
      </c>
      <c r="B600">
        <v>10164</v>
      </c>
      <c r="C600">
        <v>452</v>
      </c>
      <c r="D600" t="s">
        <v>169</v>
      </c>
      <c r="E600" t="s">
        <v>150</v>
      </c>
      <c r="F600" t="s">
        <v>29</v>
      </c>
      <c r="G600" t="s">
        <v>46</v>
      </c>
      <c r="H600">
        <v>39</v>
      </c>
      <c r="I600" s="2">
        <v>86.99</v>
      </c>
      <c r="J600" s="2">
        <v>46.53</v>
      </c>
      <c r="K600" s="2">
        <v>3392.61</v>
      </c>
      <c r="L600" s="2">
        <v>1814.67</v>
      </c>
      <c r="M600" s="2">
        <v>1577.94</v>
      </c>
      <c r="N600">
        <v>1</v>
      </c>
    </row>
    <row r="601" spans="1:14" x14ac:dyDescent="0.3">
      <c r="A601" s="1">
        <v>37915</v>
      </c>
      <c r="B601">
        <v>10166</v>
      </c>
      <c r="C601">
        <v>462</v>
      </c>
      <c r="D601" t="s">
        <v>227</v>
      </c>
      <c r="E601" t="s">
        <v>14</v>
      </c>
      <c r="F601" t="s">
        <v>15</v>
      </c>
      <c r="G601" t="s">
        <v>68</v>
      </c>
      <c r="H601">
        <v>43</v>
      </c>
      <c r="I601" s="2">
        <v>136.59</v>
      </c>
      <c r="J601" s="2">
        <v>68.3</v>
      </c>
      <c r="K601" s="2">
        <v>5873.37</v>
      </c>
      <c r="L601" s="2">
        <v>2936.9</v>
      </c>
      <c r="M601" s="2">
        <v>2936.47</v>
      </c>
      <c r="N601">
        <v>1</v>
      </c>
    </row>
    <row r="602" spans="1:14" x14ac:dyDescent="0.3">
      <c r="A602" s="1">
        <v>37915</v>
      </c>
      <c r="B602">
        <v>10166</v>
      </c>
      <c r="C602">
        <v>462</v>
      </c>
      <c r="D602" t="s">
        <v>227</v>
      </c>
      <c r="E602" t="s">
        <v>14</v>
      </c>
      <c r="F602" t="s">
        <v>15</v>
      </c>
      <c r="G602" t="s">
        <v>70</v>
      </c>
      <c r="H602">
        <v>26</v>
      </c>
      <c r="I602" s="2">
        <v>72.849999999999994</v>
      </c>
      <c r="J602" s="2">
        <v>52.66</v>
      </c>
      <c r="K602" s="2">
        <v>1894.1</v>
      </c>
      <c r="L602" s="2">
        <v>1369.16</v>
      </c>
      <c r="M602" s="2">
        <v>524.94000000000005</v>
      </c>
      <c r="N602">
        <v>1</v>
      </c>
    </row>
    <row r="603" spans="1:14" x14ac:dyDescent="0.3">
      <c r="A603" s="1">
        <v>37915</v>
      </c>
      <c r="B603">
        <v>10166</v>
      </c>
      <c r="C603">
        <v>462</v>
      </c>
      <c r="D603" t="s">
        <v>227</v>
      </c>
      <c r="E603" t="s">
        <v>14</v>
      </c>
      <c r="F603" t="s">
        <v>71</v>
      </c>
      <c r="G603" t="s">
        <v>76</v>
      </c>
      <c r="H603">
        <v>29</v>
      </c>
      <c r="I603" s="2">
        <v>76.22</v>
      </c>
      <c r="J603" s="2">
        <v>43.3</v>
      </c>
      <c r="K603" s="2">
        <v>2210.38</v>
      </c>
      <c r="L603" s="2">
        <v>1255.7</v>
      </c>
      <c r="M603" s="2">
        <v>954.68</v>
      </c>
      <c r="N603">
        <v>1</v>
      </c>
    </row>
    <row r="604" spans="1:14" x14ac:dyDescent="0.3">
      <c r="A604" s="1">
        <v>37916</v>
      </c>
      <c r="B604">
        <v>10165</v>
      </c>
      <c r="C604">
        <v>148</v>
      </c>
      <c r="D604" t="s">
        <v>209</v>
      </c>
      <c r="E604" t="s">
        <v>147</v>
      </c>
      <c r="F604" t="s">
        <v>29</v>
      </c>
      <c r="G604" t="s">
        <v>66</v>
      </c>
      <c r="H604">
        <v>44</v>
      </c>
      <c r="I604" s="2">
        <v>168.32</v>
      </c>
      <c r="J604" s="2">
        <v>95.59</v>
      </c>
      <c r="K604" s="2">
        <v>7406.08</v>
      </c>
      <c r="L604" s="2">
        <v>4205.96</v>
      </c>
      <c r="M604" s="2">
        <v>3200.12</v>
      </c>
      <c r="N604">
        <v>3</v>
      </c>
    </row>
    <row r="605" spans="1:14" x14ac:dyDescent="0.3">
      <c r="A605" s="1">
        <v>37916</v>
      </c>
      <c r="B605">
        <v>10165</v>
      </c>
      <c r="C605">
        <v>148</v>
      </c>
      <c r="D605" t="s">
        <v>209</v>
      </c>
      <c r="E605" t="s">
        <v>147</v>
      </c>
      <c r="F605" t="s">
        <v>29</v>
      </c>
      <c r="G605" t="s">
        <v>49</v>
      </c>
      <c r="H605">
        <v>34</v>
      </c>
      <c r="I605" s="2">
        <v>123.89</v>
      </c>
      <c r="J605" s="2">
        <v>89.14</v>
      </c>
      <c r="K605" s="2">
        <v>4212.26</v>
      </c>
      <c r="L605" s="2">
        <v>3030.76</v>
      </c>
      <c r="M605" s="2">
        <v>1181.5</v>
      </c>
      <c r="N605">
        <v>3</v>
      </c>
    </row>
    <row r="606" spans="1:14" x14ac:dyDescent="0.3">
      <c r="A606" s="1">
        <v>37916</v>
      </c>
      <c r="B606">
        <v>10165</v>
      </c>
      <c r="C606">
        <v>148</v>
      </c>
      <c r="D606" t="s">
        <v>209</v>
      </c>
      <c r="E606" t="s">
        <v>147</v>
      </c>
      <c r="F606" t="s">
        <v>29</v>
      </c>
      <c r="G606" t="s">
        <v>67</v>
      </c>
      <c r="H606">
        <v>27</v>
      </c>
      <c r="I606" s="2">
        <v>152.26</v>
      </c>
      <c r="J606" s="2">
        <v>83.05</v>
      </c>
      <c r="K606" s="2">
        <v>4111.0200000000004</v>
      </c>
      <c r="L606" s="2">
        <v>2242.35</v>
      </c>
      <c r="M606" s="2">
        <v>1868.67</v>
      </c>
      <c r="N606">
        <v>3</v>
      </c>
    </row>
    <row r="607" spans="1:14" x14ac:dyDescent="0.3">
      <c r="A607" s="1">
        <v>37916</v>
      </c>
      <c r="B607">
        <v>10165</v>
      </c>
      <c r="C607">
        <v>148</v>
      </c>
      <c r="D607" t="s">
        <v>209</v>
      </c>
      <c r="E607" t="s">
        <v>147</v>
      </c>
      <c r="F607" t="s">
        <v>32</v>
      </c>
      <c r="G607" t="s">
        <v>50</v>
      </c>
      <c r="H607">
        <v>48</v>
      </c>
      <c r="I607" s="2">
        <v>109.02</v>
      </c>
      <c r="J607" s="2">
        <v>55.7</v>
      </c>
      <c r="K607" s="2">
        <v>5232.96</v>
      </c>
      <c r="L607" s="2">
        <v>2673.6</v>
      </c>
      <c r="M607" s="2">
        <v>2559.36</v>
      </c>
      <c r="N607">
        <v>3</v>
      </c>
    </row>
    <row r="608" spans="1:14" x14ac:dyDescent="0.3">
      <c r="A608" s="1">
        <v>37916</v>
      </c>
      <c r="B608">
        <v>10165</v>
      </c>
      <c r="C608">
        <v>148</v>
      </c>
      <c r="D608" t="s">
        <v>209</v>
      </c>
      <c r="E608" t="s">
        <v>147</v>
      </c>
      <c r="F608" t="s">
        <v>29</v>
      </c>
      <c r="G608" t="s">
        <v>51</v>
      </c>
      <c r="H608">
        <v>29</v>
      </c>
      <c r="I608" s="2">
        <v>134.26</v>
      </c>
      <c r="J608" s="2">
        <v>101.51</v>
      </c>
      <c r="K608" s="2">
        <v>3893.54</v>
      </c>
      <c r="L608" s="2">
        <v>2943.79</v>
      </c>
      <c r="M608" s="2">
        <v>949.75</v>
      </c>
      <c r="N608">
        <v>3</v>
      </c>
    </row>
    <row r="609" spans="1:14" x14ac:dyDescent="0.3">
      <c r="A609" s="1">
        <v>37916</v>
      </c>
      <c r="B609">
        <v>10165</v>
      </c>
      <c r="C609">
        <v>148</v>
      </c>
      <c r="D609" t="s">
        <v>209</v>
      </c>
      <c r="E609" t="s">
        <v>147</v>
      </c>
      <c r="F609" t="s">
        <v>32</v>
      </c>
      <c r="G609" t="s">
        <v>52</v>
      </c>
      <c r="H609">
        <v>46</v>
      </c>
      <c r="I609" s="2">
        <v>120.28</v>
      </c>
      <c r="J609" s="2">
        <v>74.86</v>
      </c>
      <c r="K609" s="2">
        <v>5532.88</v>
      </c>
      <c r="L609" s="2">
        <v>3443.56</v>
      </c>
      <c r="M609" s="2">
        <v>2089.3200000000002</v>
      </c>
      <c r="N609">
        <v>3</v>
      </c>
    </row>
    <row r="610" spans="1:14" x14ac:dyDescent="0.3">
      <c r="A610" s="1">
        <v>37916</v>
      </c>
      <c r="B610">
        <v>10165</v>
      </c>
      <c r="C610">
        <v>148</v>
      </c>
      <c r="D610" t="s">
        <v>209</v>
      </c>
      <c r="E610" t="s">
        <v>147</v>
      </c>
      <c r="F610" t="s">
        <v>32</v>
      </c>
      <c r="G610" t="s">
        <v>35</v>
      </c>
      <c r="H610">
        <v>31</v>
      </c>
      <c r="I610" s="2">
        <v>60.77</v>
      </c>
      <c r="J610" s="2">
        <v>24.92</v>
      </c>
      <c r="K610" s="2">
        <v>1883.87</v>
      </c>
      <c r="L610" s="2">
        <v>772.52</v>
      </c>
      <c r="M610" s="2">
        <v>1111.3499999999999</v>
      </c>
      <c r="N610">
        <v>3</v>
      </c>
    </row>
    <row r="611" spans="1:14" x14ac:dyDescent="0.3">
      <c r="A611" s="1">
        <v>37916</v>
      </c>
      <c r="B611">
        <v>10165</v>
      </c>
      <c r="C611">
        <v>148</v>
      </c>
      <c r="D611" t="s">
        <v>209</v>
      </c>
      <c r="E611" t="s">
        <v>147</v>
      </c>
      <c r="F611" t="s">
        <v>29</v>
      </c>
      <c r="G611" t="s">
        <v>53</v>
      </c>
      <c r="H611">
        <v>47</v>
      </c>
      <c r="I611" s="2">
        <v>154.1</v>
      </c>
      <c r="J611" s="2">
        <v>77.900000000000006</v>
      </c>
      <c r="K611" s="2">
        <v>7242.7</v>
      </c>
      <c r="L611" s="2">
        <v>3661.3</v>
      </c>
      <c r="M611" s="2">
        <v>3581.4</v>
      </c>
      <c r="N611">
        <v>3</v>
      </c>
    </row>
    <row r="612" spans="1:14" x14ac:dyDescent="0.3">
      <c r="A612" s="1">
        <v>37916</v>
      </c>
      <c r="B612">
        <v>10165</v>
      </c>
      <c r="C612">
        <v>148</v>
      </c>
      <c r="D612" t="s">
        <v>209</v>
      </c>
      <c r="E612" t="s">
        <v>147</v>
      </c>
      <c r="F612" t="s">
        <v>59</v>
      </c>
      <c r="G612" t="s">
        <v>69</v>
      </c>
      <c r="H612">
        <v>50</v>
      </c>
      <c r="I612" s="2">
        <v>84.71</v>
      </c>
      <c r="J612" s="2">
        <v>67.56</v>
      </c>
      <c r="K612" s="2">
        <v>4235.5</v>
      </c>
      <c r="L612" s="2">
        <v>3378</v>
      </c>
      <c r="M612" s="2">
        <v>857.5</v>
      </c>
      <c r="N612">
        <v>3</v>
      </c>
    </row>
    <row r="613" spans="1:14" x14ac:dyDescent="0.3">
      <c r="A613" s="1">
        <v>37916</v>
      </c>
      <c r="B613">
        <v>10165</v>
      </c>
      <c r="C613">
        <v>148</v>
      </c>
      <c r="D613" t="s">
        <v>209</v>
      </c>
      <c r="E613" t="s">
        <v>147</v>
      </c>
      <c r="F613" t="s">
        <v>29</v>
      </c>
      <c r="G613" t="s">
        <v>54</v>
      </c>
      <c r="H613">
        <v>28</v>
      </c>
      <c r="I613" s="2">
        <v>123.51</v>
      </c>
      <c r="J613" s="2">
        <v>91.92</v>
      </c>
      <c r="K613" s="2">
        <v>3458.28</v>
      </c>
      <c r="L613" s="2">
        <v>2573.7600000000002</v>
      </c>
      <c r="M613" s="2">
        <v>884.52</v>
      </c>
      <c r="N613">
        <v>3</v>
      </c>
    </row>
    <row r="614" spans="1:14" x14ac:dyDescent="0.3">
      <c r="A614" s="1">
        <v>37916</v>
      </c>
      <c r="B614">
        <v>10165</v>
      </c>
      <c r="C614">
        <v>148</v>
      </c>
      <c r="D614" t="s">
        <v>209</v>
      </c>
      <c r="E614" t="s">
        <v>147</v>
      </c>
      <c r="F614" t="s">
        <v>29</v>
      </c>
      <c r="G614" t="s">
        <v>55</v>
      </c>
      <c r="H614">
        <v>25</v>
      </c>
      <c r="I614" s="2">
        <v>46.82</v>
      </c>
      <c r="J614" s="2">
        <v>32.369999999999997</v>
      </c>
      <c r="K614" s="2">
        <v>1170.5</v>
      </c>
      <c r="L614" s="2">
        <v>809.25</v>
      </c>
      <c r="M614" s="2">
        <v>361.25</v>
      </c>
      <c r="N614">
        <v>3</v>
      </c>
    </row>
    <row r="615" spans="1:14" x14ac:dyDescent="0.3">
      <c r="A615" s="1">
        <v>37916</v>
      </c>
      <c r="B615">
        <v>10165</v>
      </c>
      <c r="C615">
        <v>148</v>
      </c>
      <c r="D615" t="s">
        <v>209</v>
      </c>
      <c r="E615" t="s">
        <v>147</v>
      </c>
      <c r="F615" t="s">
        <v>32</v>
      </c>
      <c r="G615" t="s">
        <v>42</v>
      </c>
      <c r="H615">
        <v>32</v>
      </c>
      <c r="I615" s="2">
        <v>117.57</v>
      </c>
      <c r="J615" s="2">
        <v>61.34</v>
      </c>
      <c r="K615" s="2">
        <v>3762.24</v>
      </c>
      <c r="L615" s="2">
        <v>1962.88</v>
      </c>
      <c r="M615" s="2">
        <v>1799.36</v>
      </c>
      <c r="N615">
        <v>3</v>
      </c>
    </row>
    <row r="616" spans="1:14" x14ac:dyDescent="0.3">
      <c r="A616" s="1">
        <v>37916</v>
      </c>
      <c r="B616">
        <v>10165</v>
      </c>
      <c r="C616">
        <v>148</v>
      </c>
      <c r="D616" t="s">
        <v>209</v>
      </c>
      <c r="E616" t="s">
        <v>147</v>
      </c>
      <c r="F616" t="s">
        <v>29</v>
      </c>
      <c r="G616" t="s">
        <v>56</v>
      </c>
      <c r="H616">
        <v>27</v>
      </c>
      <c r="I616" s="2">
        <v>31.12</v>
      </c>
      <c r="J616" s="2">
        <v>15.91</v>
      </c>
      <c r="K616" s="2">
        <v>840.24</v>
      </c>
      <c r="L616" s="2">
        <v>429.57</v>
      </c>
      <c r="M616" s="2">
        <v>410.67</v>
      </c>
      <c r="N616">
        <v>3</v>
      </c>
    </row>
    <row r="617" spans="1:14" x14ac:dyDescent="0.3">
      <c r="A617" s="1">
        <v>37916</v>
      </c>
      <c r="B617">
        <v>10165</v>
      </c>
      <c r="C617">
        <v>148</v>
      </c>
      <c r="D617" t="s">
        <v>209</v>
      </c>
      <c r="E617" t="s">
        <v>147</v>
      </c>
      <c r="F617" t="s">
        <v>29</v>
      </c>
      <c r="G617" t="s">
        <v>57</v>
      </c>
      <c r="H617">
        <v>24</v>
      </c>
      <c r="I617" s="2">
        <v>106.45</v>
      </c>
      <c r="J617" s="2">
        <v>69.78</v>
      </c>
      <c r="K617" s="2">
        <v>2554.8000000000002</v>
      </c>
      <c r="L617" s="2">
        <v>1674.72</v>
      </c>
      <c r="M617" s="2">
        <v>880.08</v>
      </c>
      <c r="N617">
        <v>3</v>
      </c>
    </row>
    <row r="618" spans="1:14" x14ac:dyDescent="0.3">
      <c r="A618" s="1">
        <v>37916</v>
      </c>
      <c r="B618">
        <v>10165</v>
      </c>
      <c r="C618">
        <v>148</v>
      </c>
      <c r="D618" t="s">
        <v>209</v>
      </c>
      <c r="E618" t="s">
        <v>147</v>
      </c>
      <c r="F618" t="s">
        <v>32</v>
      </c>
      <c r="G618" t="s">
        <v>58</v>
      </c>
      <c r="H618">
        <v>48</v>
      </c>
      <c r="I618" s="2">
        <v>50.86</v>
      </c>
      <c r="J618" s="2">
        <v>25.98</v>
      </c>
      <c r="K618" s="2">
        <v>2441.2800000000002</v>
      </c>
      <c r="L618" s="2">
        <v>1247.04</v>
      </c>
      <c r="M618" s="2">
        <v>1194.24</v>
      </c>
      <c r="N618">
        <v>3</v>
      </c>
    </row>
    <row r="619" spans="1:14" x14ac:dyDescent="0.3">
      <c r="A619" s="1">
        <v>37916</v>
      </c>
      <c r="B619">
        <v>10165</v>
      </c>
      <c r="C619">
        <v>148</v>
      </c>
      <c r="D619" t="s">
        <v>209</v>
      </c>
      <c r="E619" t="s">
        <v>147</v>
      </c>
      <c r="F619" t="s">
        <v>59</v>
      </c>
      <c r="G619" t="s">
        <v>60</v>
      </c>
      <c r="H619">
        <v>44</v>
      </c>
      <c r="I619" s="2">
        <v>55.3</v>
      </c>
      <c r="J619" s="2">
        <v>26.72</v>
      </c>
      <c r="K619" s="2">
        <v>2433.1999999999998</v>
      </c>
      <c r="L619" s="2">
        <v>1175.68</v>
      </c>
      <c r="M619" s="2">
        <v>1257.52</v>
      </c>
      <c r="N619">
        <v>3</v>
      </c>
    </row>
    <row r="620" spans="1:14" x14ac:dyDescent="0.3">
      <c r="A620" s="1">
        <v>37916</v>
      </c>
      <c r="B620">
        <v>10165</v>
      </c>
      <c r="C620">
        <v>148</v>
      </c>
      <c r="D620" t="s">
        <v>209</v>
      </c>
      <c r="E620" t="s">
        <v>147</v>
      </c>
      <c r="F620" t="s">
        <v>32</v>
      </c>
      <c r="G620" t="s">
        <v>61</v>
      </c>
      <c r="H620">
        <v>48</v>
      </c>
      <c r="I620" s="2">
        <v>106.49</v>
      </c>
      <c r="J620" s="2">
        <v>68.290000000000006</v>
      </c>
      <c r="K620" s="2">
        <v>5111.5200000000004</v>
      </c>
      <c r="L620" s="2">
        <v>3277.92</v>
      </c>
      <c r="M620" s="2">
        <v>1833.6</v>
      </c>
      <c r="N620">
        <v>3</v>
      </c>
    </row>
    <row r="621" spans="1:14" x14ac:dyDescent="0.3">
      <c r="A621" s="1">
        <v>37916</v>
      </c>
      <c r="B621">
        <v>10165</v>
      </c>
      <c r="C621">
        <v>148</v>
      </c>
      <c r="D621" t="s">
        <v>209</v>
      </c>
      <c r="E621" t="s">
        <v>147</v>
      </c>
      <c r="F621" t="s">
        <v>59</v>
      </c>
      <c r="G621" t="s">
        <v>62</v>
      </c>
      <c r="H621">
        <v>38</v>
      </c>
      <c r="I621" s="2">
        <v>49.21</v>
      </c>
      <c r="J621" s="2">
        <v>37.49</v>
      </c>
      <c r="K621" s="2">
        <v>1869.98</v>
      </c>
      <c r="L621" s="2">
        <v>1424.62</v>
      </c>
      <c r="M621" s="2">
        <v>445.36</v>
      </c>
      <c r="N621">
        <v>3</v>
      </c>
    </row>
    <row r="622" spans="1:14" x14ac:dyDescent="0.3">
      <c r="A622" s="1">
        <v>37917</v>
      </c>
      <c r="B622">
        <v>10167</v>
      </c>
      <c r="C622">
        <v>448</v>
      </c>
      <c r="D622" t="s">
        <v>170</v>
      </c>
      <c r="E622" t="s">
        <v>143</v>
      </c>
      <c r="F622" t="s">
        <v>29</v>
      </c>
      <c r="G622" t="s">
        <v>65</v>
      </c>
      <c r="H622">
        <v>44</v>
      </c>
      <c r="I622" s="2">
        <v>123.76</v>
      </c>
      <c r="J622" s="2">
        <v>85.68</v>
      </c>
      <c r="K622" s="2">
        <v>5445.44</v>
      </c>
      <c r="L622" s="2">
        <v>3769.92</v>
      </c>
      <c r="M622" s="2">
        <v>1675.52</v>
      </c>
      <c r="N622">
        <v>1</v>
      </c>
    </row>
    <row r="623" spans="1:14" x14ac:dyDescent="0.3">
      <c r="A623" s="1">
        <v>37917</v>
      </c>
      <c r="B623">
        <v>10167</v>
      </c>
      <c r="C623">
        <v>448</v>
      </c>
      <c r="D623" t="s">
        <v>170</v>
      </c>
      <c r="E623" t="s">
        <v>143</v>
      </c>
      <c r="F623" t="s">
        <v>83</v>
      </c>
      <c r="G623" t="s">
        <v>84</v>
      </c>
      <c r="H623">
        <v>43</v>
      </c>
      <c r="I623" s="2">
        <v>141.91999999999999</v>
      </c>
      <c r="J623" s="2">
        <v>77.27</v>
      </c>
      <c r="K623" s="2">
        <v>6102.56</v>
      </c>
      <c r="L623" s="2">
        <v>3322.61</v>
      </c>
      <c r="M623" s="2">
        <v>2779.95</v>
      </c>
      <c r="N623">
        <v>1</v>
      </c>
    </row>
    <row r="624" spans="1:14" x14ac:dyDescent="0.3">
      <c r="A624" s="1">
        <v>37917</v>
      </c>
      <c r="B624">
        <v>10167</v>
      </c>
      <c r="C624">
        <v>448</v>
      </c>
      <c r="D624" t="s">
        <v>170</v>
      </c>
      <c r="E624" t="s">
        <v>143</v>
      </c>
      <c r="F624" t="s">
        <v>71</v>
      </c>
      <c r="G624" t="s">
        <v>86</v>
      </c>
      <c r="H624">
        <v>46</v>
      </c>
      <c r="I624" s="2">
        <v>69.680000000000007</v>
      </c>
      <c r="J624" s="2">
        <v>51.61</v>
      </c>
      <c r="K624" s="2">
        <v>3205.28</v>
      </c>
      <c r="L624" s="2">
        <v>2374.06</v>
      </c>
      <c r="M624" s="2">
        <v>831.22</v>
      </c>
      <c r="N624">
        <v>1</v>
      </c>
    </row>
    <row r="625" spans="1:14" x14ac:dyDescent="0.3">
      <c r="A625" s="1">
        <v>37917</v>
      </c>
      <c r="B625">
        <v>10167</v>
      </c>
      <c r="C625">
        <v>448</v>
      </c>
      <c r="D625" t="s">
        <v>170</v>
      </c>
      <c r="E625" t="s">
        <v>143</v>
      </c>
      <c r="F625" t="s">
        <v>15</v>
      </c>
      <c r="G625" t="s">
        <v>87</v>
      </c>
      <c r="H625">
        <v>34</v>
      </c>
      <c r="I625" s="2">
        <v>84.7</v>
      </c>
      <c r="J625" s="2">
        <v>64.58</v>
      </c>
      <c r="K625" s="2">
        <v>2879.8</v>
      </c>
      <c r="L625" s="2">
        <v>2195.7199999999998</v>
      </c>
      <c r="M625" s="2">
        <v>684.08</v>
      </c>
      <c r="N625">
        <v>1</v>
      </c>
    </row>
    <row r="626" spans="1:14" x14ac:dyDescent="0.3">
      <c r="A626" s="1">
        <v>37917</v>
      </c>
      <c r="B626">
        <v>10167</v>
      </c>
      <c r="C626">
        <v>448</v>
      </c>
      <c r="D626" t="s">
        <v>170</v>
      </c>
      <c r="E626" t="s">
        <v>143</v>
      </c>
      <c r="F626" t="s">
        <v>71</v>
      </c>
      <c r="G626" t="s">
        <v>72</v>
      </c>
      <c r="H626">
        <v>33</v>
      </c>
      <c r="I626" s="2">
        <v>110.6</v>
      </c>
      <c r="J626" s="2">
        <v>82.34</v>
      </c>
      <c r="K626" s="2">
        <v>3649.8</v>
      </c>
      <c r="L626" s="2">
        <v>2717.22</v>
      </c>
      <c r="M626" s="2">
        <v>932.58</v>
      </c>
      <c r="N626">
        <v>1</v>
      </c>
    </row>
    <row r="627" spans="1:14" x14ac:dyDescent="0.3">
      <c r="A627" s="1">
        <v>37917</v>
      </c>
      <c r="B627">
        <v>10167</v>
      </c>
      <c r="C627">
        <v>448</v>
      </c>
      <c r="D627" t="s">
        <v>170</v>
      </c>
      <c r="E627" t="s">
        <v>143</v>
      </c>
      <c r="F627" t="s">
        <v>83</v>
      </c>
      <c r="G627" t="s">
        <v>89</v>
      </c>
      <c r="H627">
        <v>21</v>
      </c>
      <c r="I627" s="2">
        <v>54.81</v>
      </c>
      <c r="J627" s="2">
        <v>34.25</v>
      </c>
      <c r="K627" s="2">
        <v>1151.01</v>
      </c>
      <c r="L627" s="2">
        <v>719.25</v>
      </c>
      <c r="M627" s="2">
        <v>431.76</v>
      </c>
      <c r="N627">
        <v>1</v>
      </c>
    </row>
    <row r="628" spans="1:14" x14ac:dyDescent="0.3">
      <c r="A628" s="1">
        <v>37917</v>
      </c>
      <c r="B628">
        <v>10167</v>
      </c>
      <c r="C628">
        <v>448</v>
      </c>
      <c r="D628" t="s">
        <v>170</v>
      </c>
      <c r="E628" t="s">
        <v>143</v>
      </c>
      <c r="F628" t="s">
        <v>15</v>
      </c>
      <c r="G628" t="s">
        <v>73</v>
      </c>
      <c r="H628">
        <v>20</v>
      </c>
      <c r="I628" s="2">
        <v>77</v>
      </c>
      <c r="J628" s="2">
        <v>46.91</v>
      </c>
      <c r="K628" s="2">
        <v>1540</v>
      </c>
      <c r="L628" s="2">
        <v>938.2</v>
      </c>
      <c r="M628" s="2">
        <v>601.79999999999995</v>
      </c>
      <c r="N628">
        <v>1</v>
      </c>
    </row>
    <row r="629" spans="1:14" x14ac:dyDescent="0.3">
      <c r="A629" s="1">
        <v>37917</v>
      </c>
      <c r="B629">
        <v>10167</v>
      </c>
      <c r="C629">
        <v>448</v>
      </c>
      <c r="D629" t="s">
        <v>170</v>
      </c>
      <c r="E629" t="s">
        <v>143</v>
      </c>
      <c r="F629" t="s">
        <v>15</v>
      </c>
      <c r="G629" t="s">
        <v>90</v>
      </c>
      <c r="H629">
        <v>32</v>
      </c>
      <c r="I629" s="2">
        <v>64.44</v>
      </c>
      <c r="J629" s="2">
        <v>26.3</v>
      </c>
      <c r="K629" s="2">
        <v>2062.08</v>
      </c>
      <c r="L629" s="2">
        <v>841.6</v>
      </c>
      <c r="M629" s="2">
        <v>1220.48</v>
      </c>
      <c r="N629">
        <v>1</v>
      </c>
    </row>
    <row r="630" spans="1:14" x14ac:dyDescent="0.3">
      <c r="A630" s="1">
        <v>37917</v>
      </c>
      <c r="B630">
        <v>10167</v>
      </c>
      <c r="C630">
        <v>448</v>
      </c>
      <c r="D630" t="s">
        <v>170</v>
      </c>
      <c r="E630" t="s">
        <v>143</v>
      </c>
      <c r="F630" t="s">
        <v>15</v>
      </c>
      <c r="G630" t="s">
        <v>74</v>
      </c>
      <c r="H630">
        <v>29</v>
      </c>
      <c r="I630" s="2">
        <v>73.8</v>
      </c>
      <c r="J630" s="2">
        <v>48.64</v>
      </c>
      <c r="K630" s="2">
        <v>2140.1999999999998</v>
      </c>
      <c r="L630" s="2">
        <v>1410.56</v>
      </c>
      <c r="M630" s="2">
        <v>729.64</v>
      </c>
      <c r="N630">
        <v>1</v>
      </c>
    </row>
    <row r="631" spans="1:14" x14ac:dyDescent="0.3">
      <c r="A631" s="1">
        <v>37917</v>
      </c>
      <c r="B631">
        <v>10167</v>
      </c>
      <c r="C631">
        <v>448</v>
      </c>
      <c r="D631" t="s">
        <v>170</v>
      </c>
      <c r="E631" t="s">
        <v>143</v>
      </c>
      <c r="F631" t="s">
        <v>71</v>
      </c>
      <c r="G631" t="s">
        <v>75</v>
      </c>
      <c r="H631">
        <v>43</v>
      </c>
      <c r="I631" s="2">
        <v>66</v>
      </c>
      <c r="J631" s="2">
        <v>34</v>
      </c>
      <c r="K631" s="2">
        <v>2838</v>
      </c>
      <c r="L631" s="2">
        <v>1462</v>
      </c>
      <c r="M631" s="2">
        <v>1376</v>
      </c>
      <c r="N631">
        <v>1</v>
      </c>
    </row>
    <row r="632" spans="1:14" x14ac:dyDescent="0.3">
      <c r="A632" s="1">
        <v>37917</v>
      </c>
      <c r="B632">
        <v>10167</v>
      </c>
      <c r="C632">
        <v>448</v>
      </c>
      <c r="D632" t="s">
        <v>170</v>
      </c>
      <c r="E632" t="s">
        <v>143</v>
      </c>
      <c r="F632" t="s">
        <v>71</v>
      </c>
      <c r="G632" t="s">
        <v>96</v>
      </c>
      <c r="H632">
        <v>29</v>
      </c>
      <c r="I632" s="2">
        <v>87.8</v>
      </c>
      <c r="J632" s="2">
        <v>39.83</v>
      </c>
      <c r="K632" s="2">
        <v>2546.1999999999998</v>
      </c>
      <c r="L632" s="2">
        <v>1155.07</v>
      </c>
      <c r="M632" s="2">
        <v>1391.13</v>
      </c>
      <c r="N632">
        <v>1</v>
      </c>
    </row>
    <row r="633" spans="1:14" x14ac:dyDescent="0.3">
      <c r="A633" s="1">
        <v>37917</v>
      </c>
      <c r="B633">
        <v>10167</v>
      </c>
      <c r="C633">
        <v>448</v>
      </c>
      <c r="D633" t="s">
        <v>170</v>
      </c>
      <c r="E633" t="s">
        <v>143</v>
      </c>
      <c r="F633" t="s">
        <v>71</v>
      </c>
      <c r="G633" t="s">
        <v>77</v>
      </c>
      <c r="H633">
        <v>46</v>
      </c>
      <c r="I633" s="2">
        <v>62.16</v>
      </c>
      <c r="J633" s="2">
        <v>33.97</v>
      </c>
      <c r="K633" s="2">
        <v>2859.36</v>
      </c>
      <c r="L633" s="2">
        <v>1562.62</v>
      </c>
      <c r="M633" s="2">
        <v>1296.74</v>
      </c>
      <c r="N633">
        <v>1</v>
      </c>
    </row>
    <row r="634" spans="1:14" x14ac:dyDescent="0.3">
      <c r="A634" s="1">
        <v>37917</v>
      </c>
      <c r="B634">
        <v>10167</v>
      </c>
      <c r="C634">
        <v>448</v>
      </c>
      <c r="D634" t="s">
        <v>170</v>
      </c>
      <c r="E634" t="s">
        <v>143</v>
      </c>
      <c r="F634" t="s">
        <v>71</v>
      </c>
      <c r="G634" t="s">
        <v>78</v>
      </c>
      <c r="H634">
        <v>24</v>
      </c>
      <c r="I634" s="2">
        <v>85.14</v>
      </c>
      <c r="J634" s="2">
        <v>51.09</v>
      </c>
      <c r="K634" s="2">
        <v>2043.36</v>
      </c>
      <c r="L634" s="2">
        <v>1226.1600000000001</v>
      </c>
      <c r="M634" s="2">
        <v>817.2</v>
      </c>
      <c r="N634">
        <v>1</v>
      </c>
    </row>
    <row r="635" spans="1:14" x14ac:dyDescent="0.3">
      <c r="A635" s="1">
        <v>37917</v>
      </c>
      <c r="B635">
        <v>10167</v>
      </c>
      <c r="C635">
        <v>448</v>
      </c>
      <c r="D635" t="s">
        <v>170</v>
      </c>
      <c r="E635" t="s">
        <v>143</v>
      </c>
      <c r="F635" t="s">
        <v>71</v>
      </c>
      <c r="G635" t="s">
        <v>79</v>
      </c>
      <c r="H635">
        <v>28</v>
      </c>
      <c r="I635" s="2">
        <v>83.42</v>
      </c>
      <c r="J635" s="2">
        <v>53.63</v>
      </c>
      <c r="K635" s="2">
        <v>2335.7600000000002</v>
      </c>
      <c r="L635" s="2">
        <v>1501.64</v>
      </c>
      <c r="M635" s="2">
        <v>834.12</v>
      </c>
      <c r="N635">
        <v>1</v>
      </c>
    </row>
    <row r="636" spans="1:14" x14ac:dyDescent="0.3">
      <c r="A636" s="1">
        <v>37917</v>
      </c>
      <c r="B636">
        <v>10167</v>
      </c>
      <c r="C636">
        <v>448</v>
      </c>
      <c r="D636" t="s">
        <v>170</v>
      </c>
      <c r="E636" t="s">
        <v>143</v>
      </c>
      <c r="F636" t="s">
        <v>83</v>
      </c>
      <c r="G636" t="s">
        <v>101</v>
      </c>
      <c r="H636">
        <v>40</v>
      </c>
      <c r="I636" s="2">
        <v>42.71</v>
      </c>
      <c r="J636" s="2">
        <v>32.770000000000003</v>
      </c>
      <c r="K636" s="2">
        <v>1708.4</v>
      </c>
      <c r="L636" s="2">
        <v>1310.8</v>
      </c>
      <c r="M636" s="2">
        <v>397.6</v>
      </c>
      <c r="N636">
        <v>1</v>
      </c>
    </row>
    <row r="637" spans="1:14" x14ac:dyDescent="0.3">
      <c r="A637" s="1">
        <v>37917</v>
      </c>
      <c r="B637">
        <v>10167</v>
      </c>
      <c r="C637">
        <v>448</v>
      </c>
      <c r="D637" t="s">
        <v>170</v>
      </c>
      <c r="E637" t="s">
        <v>143</v>
      </c>
      <c r="F637" t="s">
        <v>71</v>
      </c>
      <c r="G637" t="s">
        <v>80</v>
      </c>
      <c r="H637">
        <v>38</v>
      </c>
      <c r="I637" s="2">
        <v>43.68</v>
      </c>
      <c r="J637" s="2">
        <v>33.299999999999997</v>
      </c>
      <c r="K637" s="2">
        <v>1659.84</v>
      </c>
      <c r="L637" s="2">
        <v>1265.4000000000001</v>
      </c>
      <c r="M637" s="2">
        <v>394.44</v>
      </c>
      <c r="N637">
        <v>1</v>
      </c>
    </row>
    <row r="638" spans="1:14" x14ac:dyDescent="0.3">
      <c r="A638" s="1">
        <v>37922</v>
      </c>
      <c r="B638">
        <v>10168</v>
      </c>
      <c r="C638">
        <v>161</v>
      </c>
      <c r="D638" t="s">
        <v>215</v>
      </c>
      <c r="E638" t="s">
        <v>14</v>
      </c>
      <c r="F638" t="s">
        <v>102</v>
      </c>
      <c r="G638" t="s">
        <v>103</v>
      </c>
      <c r="H638">
        <v>36</v>
      </c>
      <c r="I638" s="2">
        <v>94.74</v>
      </c>
      <c r="J638" s="2">
        <v>48.81</v>
      </c>
      <c r="K638" s="2">
        <v>3410.64</v>
      </c>
      <c r="L638" s="2">
        <v>1757.16</v>
      </c>
      <c r="M638" s="2">
        <v>1653.48</v>
      </c>
      <c r="N638">
        <v>2</v>
      </c>
    </row>
    <row r="639" spans="1:14" x14ac:dyDescent="0.3">
      <c r="A639" s="1">
        <v>37922</v>
      </c>
      <c r="B639">
        <v>10168</v>
      </c>
      <c r="C639">
        <v>161</v>
      </c>
      <c r="D639" t="s">
        <v>215</v>
      </c>
      <c r="E639" t="s">
        <v>14</v>
      </c>
      <c r="F639" t="s">
        <v>102</v>
      </c>
      <c r="G639" t="s">
        <v>104</v>
      </c>
      <c r="H639">
        <v>27</v>
      </c>
      <c r="I639" s="2">
        <v>97.53</v>
      </c>
      <c r="J639" s="2">
        <v>68.989999999999995</v>
      </c>
      <c r="K639" s="2">
        <v>2633.31</v>
      </c>
      <c r="L639" s="2">
        <v>1862.73</v>
      </c>
      <c r="M639" s="2">
        <v>770.58</v>
      </c>
      <c r="N639">
        <v>2</v>
      </c>
    </row>
    <row r="640" spans="1:14" x14ac:dyDescent="0.3">
      <c r="A640" s="1">
        <v>37922</v>
      </c>
      <c r="B640">
        <v>10168</v>
      </c>
      <c r="C640">
        <v>161</v>
      </c>
      <c r="D640" t="s">
        <v>215</v>
      </c>
      <c r="E640" t="s">
        <v>14</v>
      </c>
      <c r="F640" t="s">
        <v>102</v>
      </c>
      <c r="G640" t="s">
        <v>105</v>
      </c>
      <c r="H640">
        <v>20</v>
      </c>
      <c r="I640" s="2">
        <v>160.74</v>
      </c>
      <c r="J640" s="2">
        <v>91.02</v>
      </c>
      <c r="K640" s="2">
        <v>3214.8</v>
      </c>
      <c r="L640" s="2">
        <v>1820.4</v>
      </c>
      <c r="M640" s="2">
        <v>1394.4</v>
      </c>
      <c r="N640">
        <v>2</v>
      </c>
    </row>
    <row r="641" spans="1:14" x14ac:dyDescent="0.3">
      <c r="A641" s="1">
        <v>37922</v>
      </c>
      <c r="B641">
        <v>10168</v>
      </c>
      <c r="C641">
        <v>161</v>
      </c>
      <c r="D641" t="s">
        <v>215</v>
      </c>
      <c r="E641" t="s">
        <v>14</v>
      </c>
      <c r="F641" t="s">
        <v>83</v>
      </c>
      <c r="G641" t="s">
        <v>85</v>
      </c>
      <c r="H641">
        <v>21</v>
      </c>
      <c r="I641" s="2">
        <v>75.19</v>
      </c>
      <c r="J641" s="2">
        <v>49</v>
      </c>
      <c r="K641" s="2">
        <v>1578.99</v>
      </c>
      <c r="L641" s="2">
        <v>1029</v>
      </c>
      <c r="M641" s="2">
        <v>549.99</v>
      </c>
      <c r="N641">
        <v>2</v>
      </c>
    </row>
    <row r="642" spans="1:14" x14ac:dyDescent="0.3">
      <c r="A642" s="1">
        <v>37922</v>
      </c>
      <c r="B642">
        <v>10168</v>
      </c>
      <c r="C642">
        <v>161</v>
      </c>
      <c r="D642" t="s">
        <v>215</v>
      </c>
      <c r="E642" t="s">
        <v>14</v>
      </c>
      <c r="F642" t="s">
        <v>102</v>
      </c>
      <c r="G642" t="s">
        <v>107</v>
      </c>
      <c r="H642">
        <v>46</v>
      </c>
      <c r="I642" s="2">
        <v>49.06</v>
      </c>
      <c r="J642" s="2">
        <v>24.23</v>
      </c>
      <c r="K642" s="2">
        <v>2256.7600000000002</v>
      </c>
      <c r="L642" s="2">
        <v>1114.58</v>
      </c>
      <c r="M642" s="2">
        <v>1142.18</v>
      </c>
      <c r="N642">
        <v>2</v>
      </c>
    </row>
    <row r="643" spans="1:14" x14ac:dyDescent="0.3">
      <c r="A643" s="1">
        <v>37922</v>
      </c>
      <c r="B643">
        <v>10168</v>
      </c>
      <c r="C643">
        <v>161</v>
      </c>
      <c r="D643" t="s">
        <v>215</v>
      </c>
      <c r="E643" t="s">
        <v>14</v>
      </c>
      <c r="F643" t="s">
        <v>102</v>
      </c>
      <c r="G643" t="s">
        <v>108</v>
      </c>
      <c r="H643">
        <v>50</v>
      </c>
      <c r="I643" s="2">
        <v>103.68</v>
      </c>
      <c r="J643" s="2">
        <v>60.86</v>
      </c>
      <c r="K643" s="2">
        <v>5184</v>
      </c>
      <c r="L643" s="2">
        <v>3043</v>
      </c>
      <c r="M643" s="2">
        <v>2141</v>
      </c>
      <c r="N643">
        <v>2</v>
      </c>
    </row>
    <row r="644" spans="1:14" x14ac:dyDescent="0.3">
      <c r="A644" s="1">
        <v>37922</v>
      </c>
      <c r="B644">
        <v>10168</v>
      </c>
      <c r="C644">
        <v>161</v>
      </c>
      <c r="D644" t="s">
        <v>215</v>
      </c>
      <c r="E644" t="s">
        <v>14</v>
      </c>
      <c r="F644" t="s">
        <v>83</v>
      </c>
      <c r="G644" t="s">
        <v>88</v>
      </c>
      <c r="H644">
        <v>49</v>
      </c>
      <c r="I644" s="2">
        <v>93.01</v>
      </c>
      <c r="J644" s="2">
        <v>66.739999999999995</v>
      </c>
      <c r="K644" s="2">
        <v>4557.49</v>
      </c>
      <c r="L644" s="2">
        <v>3270.26</v>
      </c>
      <c r="M644" s="2">
        <v>1287.23</v>
      </c>
      <c r="N644">
        <v>2</v>
      </c>
    </row>
    <row r="645" spans="1:14" x14ac:dyDescent="0.3">
      <c r="A645" s="1">
        <v>37922</v>
      </c>
      <c r="B645">
        <v>10168</v>
      </c>
      <c r="C645">
        <v>161</v>
      </c>
      <c r="D645" t="s">
        <v>215</v>
      </c>
      <c r="E645" t="s">
        <v>14</v>
      </c>
      <c r="F645" t="s">
        <v>102</v>
      </c>
      <c r="G645" t="s">
        <v>109</v>
      </c>
      <c r="H645">
        <v>29</v>
      </c>
      <c r="I645" s="2">
        <v>72.36</v>
      </c>
      <c r="J645" s="2">
        <v>37.32</v>
      </c>
      <c r="K645" s="2">
        <v>2098.44</v>
      </c>
      <c r="L645" s="2">
        <v>1082.28</v>
      </c>
      <c r="M645" s="2">
        <v>1016.16</v>
      </c>
      <c r="N645">
        <v>2</v>
      </c>
    </row>
    <row r="646" spans="1:14" x14ac:dyDescent="0.3">
      <c r="A646" s="1">
        <v>37922</v>
      </c>
      <c r="B646">
        <v>10168</v>
      </c>
      <c r="C646">
        <v>161</v>
      </c>
      <c r="D646" t="s">
        <v>215</v>
      </c>
      <c r="E646" t="s">
        <v>14</v>
      </c>
      <c r="F646" t="s">
        <v>83</v>
      </c>
      <c r="G646" t="s">
        <v>91</v>
      </c>
      <c r="H646">
        <v>27</v>
      </c>
      <c r="I646" s="2">
        <v>57.32</v>
      </c>
      <c r="J646" s="2">
        <v>29.34</v>
      </c>
      <c r="K646" s="2">
        <v>1547.64</v>
      </c>
      <c r="L646" s="2">
        <v>792.18</v>
      </c>
      <c r="M646" s="2">
        <v>755.46</v>
      </c>
      <c r="N646">
        <v>2</v>
      </c>
    </row>
    <row r="647" spans="1:14" x14ac:dyDescent="0.3">
      <c r="A647" s="1">
        <v>37922</v>
      </c>
      <c r="B647">
        <v>10168</v>
      </c>
      <c r="C647">
        <v>161</v>
      </c>
      <c r="D647" t="s">
        <v>215</v>
      </c>
      <c r="E647" t="s">
        <v>14</v>
      </c>
      <c r="F647" t="s">
        <v>83</v>
      </c>
      <c r="G647" t="s">
        <v>92</v>
      </c>
      <c r="H647">
        <v>48</v>
      </c>
      <c r="I647" s="2">
        <v>68.099999999999994</v>
      </c>
      <c r="J647" s="2">
        <v>36.229999999999997</v>
      </c>
      <c r="K647" s="2">
        <v>3268.8</v>
      </c>
      <c r="L647" s="2">
        <v>1739.04</v>
      </c>
      <c r="M647" s="2">
        <v>1529.76</v>
      </c>
      <c r="N647">
        <v>2</v>
      </c>
    </row>
    <row r="648" spans="1:14" x14ac:dyDescent="0.3">
      <c r="A648" s="1">
        <v>37922</v>
      </c>
      <c r="B648">
        <v>10168</v>
      </c>
      <c r="C648">
        <v>161</v>
      </c>
      <c r="D648" t="s">
        <v>215</v>
      </c>
      <c r="E648" t="s">
        <v>14</v>
      </c>
      <c r="F648" t="s">
        <v>102</v>
      </c>
      <c r="G648" t="s">
        <v>110</v>
      </c>
      <c r="H648">
        <v>28</v>
      </c>
      <c r="I648" s="2">
        <v>89.9</v>
      </c>
      <c r="J648" s="2">
        <v>66.92</v>
      </c>
      <c r="K648" s="2">
        <v>2517.1999999999998</v>
      </c>
      <c r="L648" s="2">
        <v>1873.76</v>
      </c>
      <c r="M648" s="2">
        <v>643.44000000000005</v>
      </c>
      <c r="N648">
        <v>2</v>
      </c>
    </row>
    <row r="649" spans="1:14" x14ac:dyDescent="0.3">
      <c r="A649" s="1">
        <v>37922</v>
      </c>
      <c r="B649">
        <v>10168</v>
      </c>
      <c r="C649">
        <v>161</v>
      </c>
      <c r="D649" t="s">
        <v>215</v>
      </c>
      <c r="E649" t="s">
        <v>14</v>
      </c>
      <c r="F649" t="s">
        <v>15</v>
      </c>
      <c r="G649" t="s">
        <v>93</v>
      </c>
      <c r="H649">
        <v>31</v>
      </c>
      <c r="I649" s="2">
        <v>57.78</v>
      </c>
      <c r="J649" s="2">
        <v>33.020000000000003</v>
      </c>
      <c r="K649" s="2">
        <v>1791.18</v>
      </c>
      <c r="L649" s="2">
        <v>1023.62</v>
      </c>
      <c r="M649" s="2">
        <v>767.56</v>
      </c>
      <c r="N649">
        <v>2</v>
      </c>
    </row>
    <row r="650" spans="1:14" x14ac:dyDescent="0.3">
      <c r="A650" s="1">
        <v>37922</v>
      </c>
      <c r="B650">
        <v>10168</v>
      </c>
      <c r="C650">
        <v>161</v>
      </c>
      <c r="D650" t="s">
        <v>215</v>
      </c>
      <c r="E650" t="s">
        <v>14</v>
      </c>
      <c r="F650" t="s">
        <v>15</v>
      </c>
      <c r="G650" t="s">
        <v>94</v>
      </c>
      <c r="H650">
        <v>48</v>
      </c>
      <c r="I650" s="2">
        <v>39.71</v>
      </c>
      <c r="J650" s="2">
        <v>27.06</v>
      </c>
      <c r="K650" s="2">
        <v>1906.08</v>
      </c>
      <c r="L650" s="2">
        <v>1298.8800000000001</v>
      </c>
      <c r="M650" s="2">
        <v>607.20000000000005</v>
      </c>
      <c r="N650">
        <v>2</v>
      </c>
    </row>
    <row r="651" spans="1:14" x14ac:dyDescent="0.3">
      <c r="A651" s="1">
        <v>37922</v>
      </c>
      <c r="B651">
        <v>10168</v>
      </c>
      <c r="C651">
        <v>161</v>
      </c>
      <c r="D651" t="s">
        <v>215</v>
      </c>
      <c r="E651" t="s">
        <v>14</v>
      </c>
      <c r="F651" t="s">
        <v>83</v>
      </c>
      <c r="G651" t="s">
        <v>95</v>
      </c>
      <c r="H651">
        <v>28</v>
      </c>
      <c r="I651" s="2">
        <v>91.34</v>
      </c>
      <c r="J651" s="2">
        <v>51.15</v>
      </c>
      <c r="K651" s="2">
        <v>2557.52</v>
      </c>
      <c r="L651" s="2">
        <v>1432.2</v>
      </c>
      <c r="M651" s="2">
        <v>1125.32</v>
      </c>
      <c r="N651">
        <v>2</v>
      </c>
    </row>
    <row r="652" spans="1:14" x14ac:dyDescent="0.3">
      <c r="A652" s="1">
        <v>37922</v>
      </c>
      <c r="B652">
        <v>10168</v>
      </c>
      <c r="C652">
        <v>161</v>
      </c>
      <c r="D652" t="s">
        <v>215</v>
      </c>
      <c r="E652" t="s">
        <v>14</v>
      </c>
      <c r="F652" t="s">
        <v>83</v>
      </c>
      <c r="G652" t="s">
        <v>97</v>
      </c>
      <c r="H652">
        <v>31</v>
      </c>
      <c r="I652" s="2">
        <v>87.75</v>
      </c>
      <c r="J652" s="2">
        <v>68.8</v>
      </c>
      <c r="K652" s="2">
        <v>2720.25</v>
      </c>
      <c r="L652" s="2">
        <v>2132.8000000000002</v>
      </c>
      <c r="M652" s="2">
        <v>587.45000000000005</v>
      </c>
      <c r="N652">
        <v>2</v>
      </c>
    </row>
    <row r="653" spans="1:14" x14ac:dyDescent="0.3">
      <c r="A653" s="1">
        <v>37922</v>
      </c>
      <c r="B653">
        <v>10168</v>
      </c>
      <c r="C653">
        <v>161</v>
      </c>
      <c r="D653" t="s">
        <v>215</v>
      </c>
      <c r="E653" t="s">
        <v>14</v>
      </c>
      <c r="F653" t="s">
        <v>83</v>
      </c>
      <c r="G653" t="s">
        <v>98</v>
      </c>
      <c r="H653">
        <v>36</v>
      </c>
      <c r="I653" s="2">
        <v>94.92</v>
      </c>
      <c r="J653" s="2">
        <v>59.33</v>
      </c>
      <c r="K653" s="2">
        <v>3417.12</v>
      </c>
      <c r="L653" s="2">
        <v>2135.88</v>
      </c>
      <c r="M653" s="2">
        <v>1281.24</v>
      </c>
      <c r="N653">
        <v>2</v>
      </c>
    </row>
    <row r="654" spans="1:14" x14ac:dyDescent="0.3">
      <c r="A654" s="1">
        <v>37922</v>
      </c>
      <c r="B654">
        <v>10168</v>
      </c>
      <c r="C654">
        <v>161</v>
      </c>
      <c r="D654" t="s">
        <v>215</v>
      </c>
      <c r="E654" t="s">
        <v>14</v>
      </c>
      <c r="F654" t="s">
        <v>83</v>
      </c>
      <c r="G654" t="s">
        <v>99</v>
      </c>
      <c r="H654">
        <v>48</v>
      </c>
      <c r="I654" s="2">
        <v>72</v>
      </c>
      <c r="J654" s="2">
        <v>54.4</v>
      </c>
      <c r="K654" s="2">
        <v>3456</v>
      </c>
      <c r="L654" s="2">
        <v>2611.1999999999998</v>
      </c>
      <c r="M654" s="2">
        <v>844.8</v>
      </c>
      <c r="N654">
        <v>2</v>
      </c>
    </row>
    <row r="655" spans="1:14" x14ac:dyDescent="0.3">
      <c r="A655" s="1">
        <v>37922</v>
      </c>
      <c r="B655">
        <v>10168</v>
      </c>
      <c r="C655">
        <v>161</v>
      </c>
      <c r="D655" t="s">
        <v>215</v>
      </c>
      <c r="E655" t="s">
        <v>14</v>
      </c>
      <c r="F655" t="s">
        <v>83</v>
      </c>
      <c r="G655" t="s">
        <v>100</v>
      </c>
      <c r="H655">
        <v>39</v>
      </c>
      <c r="I655" s="2">
        <v>67.37</v>
      </c>
      <c r="J655" s="2">
        <v>36.270000000000003</v>
      </c>
      <c r="K655" s="2">
        <v>2627.43</v>
      </c>
      <c r="L655" s="2">
        <v>1414.53</v>
      </c>
      <c r="M655" s="2">
        <v>1212.9000000000001</v>
      </c>
      <c r="N655">
        <v>2</v>
      </c>
    </row>
    <row r="656" spans="1:14" x14ac:dyDescent="0.3">
      <c r="A656" s="1">
        <v>37929</v>
      </c>
      <c r="B656">
        <v>10169</v>
      </c>
      <c r="C656">
        <v>276</v>
      </c>
      <c r="D656" t="s">
        <v>165</v>
      </c>
      <c r="E656" t="s">
        <v>151</v>
      </c>
      <c r="F656" t="s">
        <v>29</v>
      </c>
      <c r="G656" t="s">
        <v>112</v>
      </c>
      <c r="H656">
        <v>30</v>
      </c>
      <c r="I656" s="2">
        <v>163.44</v>
      </c>
      <c r="J656" s="2">
        <v>95.34</v>
      </c>
      <c r="K656" s="2">
        <v>4903.2</v>
      </c>
      <c r="L656" s="2">
        <v>2860.2</v>
      </c>
      <c r="M656" s="2">
        <v>2043</v>
      </c>
      <c r="N656">
        <v>2</v>
      </c>
    </row>
    <row r="657" spans="1:14" x14ac:dyDescent="0.3">
      <c r="A657" s="1">
        <v>37929</v>
      </c>
      <c r="B657">
        <v>10169</v>
      </c>
      <c r="C657">
        <v>276</v>
      </c>
      <c r="D657" t="s">
        <v>165</v>
      </c>
      <c r="E657" t="s">
        <v>151</v>
      </c>
      <c r="F657" t="s">
        <v>102</v>
      </c>
      <c r="G657" t="s">
        <v>106</v>
      </c>
      <c r="H657">
        <v>35</v>
      </c>
      <c r="I657" s="2">
        <v>126.52</v>
      </c>
      <c r="J657" s="2">
        <v>66.27</v>
      </c>
      <c r="K657" s="2">
        <v>4428.2</v>
      </c>
      <c r="L657" s="2">
        <v>2319.4499999999998</v>
      </c>
      <c r="M657" s="2">
        <v>2108.75</v>
      </c>
      <c r="N657">
        <v>2</v>
      </c>
    </row>
    <row r="658" spans="1:14" x14ac:dyDescent="0.3">
      <c r="A658" s="1">
        <v>37929</v>
      </c>
      <c r="B658">
        <v>10169</v>
      </c>
      <c r="C658">
        <v>276</v>
      </c>
      <c r="D658" t="s">
        <v>165</v>
      </c>
      <c r="E658" t="s">
        <v>151</v>
      </c>
      <c r="F658" t="s">
        <v>29</v>
      </c>
      <c r="G658" t="s">
        <v>114</v>
      </c>
      <c r="H658">
        <v>36</v>
      </c>
      <c r="I658" s="2">
        <v>71.819999999999993</v>
      </c>
      <c r="J658" s="2">
        <v>31.92</v>
      </c>
      <c r="K658" s="2">
        <v>2585.52</v>
      </c>
      <c r="L658" s="2">
        <v>1149.1199999999999</v>
      </c>
      <c r="M658" s="2">
        <v>1436.4</v>
      </c>
      <c r="N658">
        <v>2</v>
      </c>
    </row>
    <row r="659" spans="1:14" x14ac:dyDescent="0.3">
      <c r="A659" s="1">
        <v>37929</v>
      </c>
      <c r="B659">
        <v>10169</v>
      </c>
      <c r="C659">
        <v>276</v>
      </c>
      <c r="D659" t="s">
        <v>165</v>
      </c>
      <c r="E659" t="s">
        <v>151</v>
      </c>
      <c r="F659" t="s">
        <v>29</v>
      </c>
      <c r="G659" t="s">
        <v>117</v>
      </c>
      <c r="H659">
        <v>32</v>
      </c>
      <c r="I659" s="2">
        <v>65.13</v>
      </c>
      <c r="J659" s="2">
        <v>49.05</v>
      </c>
      <c r="K659" s="2">
        <v>2084.16</v>
      </c>
      <c r="L659" s="2">
        <v>1569.6</v>
      </c>
      <c r="M659" s="2">
        <v>514.55999999999995</v>
      </c>
      <c r="N659">
        <v>2</v>
      </c>
    </row>
    <row r="660" spans="1:14" x14ac:dyDescent="0.3">
      <c r="A660" s="1">
        <v>37929</v>
      </c>
      <c r="B660">
        <v>10169</v>
      </c>
      <c r="C660">
        <v>276</v>
      </c>
      <c r="D660" t="s">
        <v>165</v>
      </c>
      <c r="E660" t="s">
        <v>151</v>
      </c>
      <c r="F660" t="s">
        <v>29</v>
      </c>
      <c r="G660" t="s">
        <v>118</v>
      </c>
      <c r="H660">
        <v>36</v>
      </c>
      <c r="I660" s="2">
        <v>136.69999999999999</v>
      </c>
      <c r="J660" s="2">
        <v>73.489999999999995</v>
      </c>
      <c r="K660" s="2">
        <v>4921.2</v>
      </c>
      <c r="L660" s="2">
        <v>2645.64</v>
      </c>
      <c r="M660" s="2">
        <v>2275.56</v>
      </c>
      <c r="N660">
        <v>2</v>
      </c>
    </row>
    <row r="661" spans="1:14" x14ac:dyDescent="0.3">
      <c r="A661" s="1">
        <v>37929</v>
      </c>
      <c r="B661">
        <v>10169</v>
      </c>
      <c r="C661">
        <v>276</v>
      </c>
      <c r="D661" t="s">
        <v>165</v>
      </c>
      <c r="E661" t="s">
        <v>151</v>
      </c>
      <c r="F661" t="s">
        <v>102</v>
      </c>
      <c r="G661" t="s">
        <v>119</v>
      </c>
      <c r="H661">
        <v>38</v>
      </c>
      <c r="I661" s="2">
        <v>52.84</v>
      </c>
      <c r="J661" s="2">
        <v>32.950000000000003</v>
      </c>
      <c r="K661" s="2">
        <v>2007.92</v>
      </c>
      <c r="L661" s="2">
        <v>1252.0999999999999</v>
      </c>
      <c r="M661" s="2">
        <v>755.82</v>
      </c>
      <c r="N661">
        <v>2</v>
      </c>
    </row>
    <row r="662" spans="1:14" x14ac:dyDescent="0.3">
      <c r="A662" s="1">
        <v>37929</v>
      </c>
      <c r="B662">
        <v>10169</v>
      </c>
      <c r="C662">
        <v>276</v>
      </c>
      <c r="D662" t="s">
        <v>165</v>
      </c>
      <c r="E662" t="s">
        <v>151</v>
      </c>
      <c r="F662" t="s">
        <v>29</v>
      </c>
      <c r="G662" t="s">
        <v>120</v>
      </c>
      <c r="H662">
        <v>33</v>
      </c>
      <c r="I662" s="2">
        <v>120.53</v>
      </c>
      <c r="J662" s="2">
        <v>69.930000000000007</v>
      </c>
      <c r="K662" s="2">
        <v>3977.49</v>
      </c>
      <c r="L662" s="2">
        <v>2307.69</v>
      </c>
      <c r="M662" s="2">
        <v>1669.8</v>
      </c>
      <c r="N662">
        <v>2</v>
      </c>
    </row>
    <row r="663" spans="1:14" x14ac:dyDescent="0.3">
      <c r="A663" s="1">
        <v>37929</v>
      </c>
      <c r="B663">
        <v>10169</v>
      </c>
      <c r="C663">
        <v>276</v>
      </c>
      <c r="D663" t="s">
        <v>165</v>
      </c>
      <c r="E663" t="s">
        <v>151</v>
      </c>
      <c r="F663" t="s">
        <v>102</v>
      </c>
      <c r="G663" t="s">
        <v>121</v>
      </c>
      <c r="H663">
        <v>38</v>
      </c>
      <c r="I663" s="2">
        <v>66.489999999999995</v>
      </c>
      <c r="J663" s="2">
        <v>47.1</v>
      </c>
      <c r="K663" s="2">
        <v>2526.62</v>
      </c>
      <c r="L663" s="2">
        <v>1789.8</v>
      </c>
      <c r="M663" s="2">
        <v>736.82</v>
      </c>
      <c r="N663">
        <v>2</v>
      </c>
    </row>
    <row r="664" spans="1:14" x14ac:dyDescent="0.3">
      <c r="A664" s="1">
        <v>37929</v>
      </c>
      <c r="B664">
        <v>10169</v>
      </c>
      <c r="C664">
        <v>276</v>
      </c>
      <c r="D664" t="s">
        <v>165</v>
      </c>
      <c r="E664" t="s">
        <v>151</v>
      </c>
      <c r="F664" t="s">
        <v>29</v>
      </c>
      <c r="G664" t="s">
        <v>122</v>
      </c>
      <c r="H664">
        <v>34</v>
      </c>
      <c r="I664" s="2">
        <v>53.27</v>
      </c>
      <c r="J664" s="2">
        <v>38.58</v>
      </c>
      <c r="K664" s="2">
        <v>1811.18</v>
      </c>
      <c r="L664" s="2">
        <v>1311.72</v>
      </c>
      <c r="M664" s="2">
        <v>499.46</v>
      </c>
      <c r="N664">
        <v>2</v>
      </c>
    </row>
    <row r="665" spans="1:14" x14ac:dyDescent="0.3">
      <c r="A665" s="1">
        <v>37929</v>
      </c>
      <c r="B665">
        <v>10169</v>
      </c>
      <c r="C665">
        <v>276</v>
      </c>
      <c r="D665" t="s">
        <v>165</v>
      </c>
      <c r="E665" t="s">
        <v>151</v>
      </c>
      <c r="F665" t="s">
        <v>29</v>
      </c>
      <c r="G665" t="s">
        <v>124</v>
      </c>
      <c r="H665">
        <v>24</v>
      </c>
      <c r="I665" s="2">
        <v>77.61</v>
      </c>
      <c r="J665" s="2">
        <v>32.33</v>
      </c>
      <c r="K665" s="2">
        <v>1862.64</v>
      </c>
      <c r="L665" s="2">
        <v>775.92</v>
      </c>
      <c r="M665" s="2">
        <v>1086.72</v>
      </c>
      <c r="N665">
        <v>2</v>
      </c>
    </row>
    <row r="666" spans="1:14" x14ac:dyDescent="0.3">
      <c r="A666" s="1">
        <v>37929</v>
      </c>
      <c r="B666">
        <v>10169</v>
      </c>
      <c r="C666">
        <v>276</v>
      </c>
      <c r="D666" t="s">
        <v>165</v>
      </c>
      <c r="E666" t="s">
        <v>151</v>
      </c>
      <c r="F666" t="s">
        <v>102</v>
      </c>
      <c r="G666" t="s">
        <v>125</v>
      </c>
      <c r="H666">
        <v>26</v>
      </c>
      <c r="I666" s="2">
        <v>37.01</v>
      </c>
      <c r="J666" s="2">
        <v>24.14</v>
      </c>
      <c r="K666" s="2">
        <v>962.26</v>
      </c>
      <c r="L666" s="2">
        <v>627.64</v>
      </c>
      <c r="M666" s="2">
        <v>334.62</v>
      </c>
      <c r="N666">
        <v>2</v>
      </c>
    </row>
    <row r="667" spans="1:14" x14ac:dyDescent="0.3">
      <c r="A667" s="1">
        <v>37929</v>
      </c>
      <c r="B667">
        <v>10169</v>
      </c>
      <c r="C667">
        <v>276</v>
      </c>
      <c r="D667" t="s">
        <v>165</v>
      </c>
      <c r="E667" t="s">
        <v>151</v>
      </c>
      <c r="F667" t="s">
        <v>102</v>
      </c>
      <c r="G667" t="s">
        <v>126</v>
      </c>
      <c r="H667">
        <v>34</v>
      </c>
      <c r="I667" s="2">
        <v>83.68</v>
      </c>
      <c r="J667" s="2">
        <v>56.13</v>
      </c>
      <c r="K667" s="2">
        <v>2845.12</v>
      </c>
      <c r="L667" s="2">
        <v>1908.42</v>
      </c>
      <c r="M667" s="2">
        <v>936.7</v>
      </c>
      <c r="N667">
        <v>2</v>
      </c>
    </row>
    <row r="668" spans="1:14" x14ac:dyDescent="0.3">
      <c r="A668" s="1">
        <v>37929</v>
      </c>
      <c r="B668">
        <v>10169</v>
      </c>
      <c r="C668">
        <v>276</v>
      </c>
      <c r="D668" t="s">
        <v>165</v>
      </c>
      <c r="E668" t="s">
        <v>151</v>
      </c>
      <c r="F668" t="s">
        <v>102</v>
      </c>
      <c r="G668" t="s">
        <v>127</v>
      </c>
      <c r="H668">
        <v>48</v>
      </c>
      <c r="I668" s="2">
        <v>75.66</v>
      </c>
      <c r="J668" s="2">
        <v>34.17</v>
      </c>
      <c r="K668" s="2">
        <v>3631.68</v>
      </c>
      <c r="L668" s="2">
        <v>1640.16</v>
      </c>
      <c r="M668" s="2">
        <v>1991.52</v>
      </c>
      <c r="N668">
        <v>2</v>
      </c>
    </row>
    <row r="669" spans="1:14" x14ac:dyDescent="0.3">
      <c r="A669" s="1">
        <v>37929</v>
      </c>
      <c r="B669">
        <v>10170</v>
      </c>
      <c r="C669">
        <v>452</v>
      </c>
      <c r="D669" t="s">
        <v>169</v>
      </c>
      <c r="E669" t="s">
        <v>150</v>
      </c>
      <c r="F669" t="s">
        <v>29</v>
      </c>
      <c r="G669" t="s">
        <v>113</v>
      </c>
      <c r="H669">
        <v>47</v>
      </c>
      <c r="I669" s="2">
        <v>116.27</v>
      </c>
      <c r="J669" s="2">
        <v>75.16</v>
      </c>
      <c r="K669" s="2">
        <v>5464.69</v>
      </c>
      <c r="L669" s="2">
        <v>3532.52</v>
      </c>
      <c r="M669" s="2">
        <v>1932.17</v>
      </c>
      <c r="N669">
        <v>2</v>
      </c>
    </row>
    <row r="670" spans="1:14" x14ac:dyDescent="0.3">
      <c r="A670" s="1">
        <v>37929</v>
      </c>
      <c r="B670">
        <v>10170</v>
      </c>
      <c r="C670">
        <v>452</v>
      </c>
      <c r="D670" t="s">
        <v>169</v>
      </c>
      <c r="E670" t="s">
        <v>150</v>
      </c>
      <c r="F670" t="s">
        <v>29</v>
      </c>
      <c r="G670" t="s">
        <v>115</v>
      </c>
      <c r="H670">
        <v>41</v>
      </c>
      <c r="I670" s="2">
        <v>93.28</v>
      </c>
      <c r="J670" s="2">
        <v>58.73</v>
      </c>
      <c r="K670" s="2">
        <v>3824.48</v>
      </c>
      <c r="L670" s="2">
        <v>2407.9299999999998</v>
      </c>
      <c r="M670" s="2">
        <v>1416.55</v>
      </c>
      <c r="N670">
        <v>2</v>
      </c>
    </row>
    <row r="671" spans="1:14" x14ac:dyDescent="0.3">
      <c r="A671" s="1">
        <v>37929</v>
      </c>
      <c r="B671">
        <v>10170</v>
      </c>
      <c r="C671">
        <v>452</v>
      </c>
      <c r="D671" t="s">
        <v>169</v>
      </c>
      <c r="E671" t="s">
        <v>150</v>
      </c>
      <c r="F671" t="s">
        <v>29</v>
      </c>
      <c r="G671" t="s">
        <v>116</v>
      </c>
      <c r="H671">
        <v>20</v>
      </c>
      <c r="I671" s="2">
        <v>70.069999999999993</v>
      </c>
      <c r="J671" s="2">
        <v>53.9</v>
      </c>
      <c r="K671" s="2">
        <v>1401.4</v>
      </c>
      <c r="L671" s="2">
        <v>1078</v>
      </c>
      <c r="M671" s="2">
        <v>323.39999999999998</v>
      </c>
      <c r="N671">
        <v>2</v>
      </c>
    </row>
    <row r="672" spans="1:14" x14ac:dyDescent="0.3">
      <c r="A672" s="1">
        <v>37929</v>
      </c>
      <c r="B672">
        <v>10170</v>
      </c>
      <c r="C672">
        <v>452</v>
      </c>
      <c r="D672" t="s">
        <v>169</v>
      </c>
      <c r="E672" t="s">
        <v>150</v>
      </c>
      <c r="F672" t="s">
        <v>29</v>
      </c>
      <c r="G672" t="s">
        <v>123</v>
      </c>
      <c r="H672">
        <v>34</v>
      </c>
      <c r="I672" s="2">
        <v>130.6</v>
      </c>
      <c r="J672" s="2">
        <v>98.3</v>
      </c>
      <c r="K672" s="2">
        <v>4440.3999999999996</v>
      </c>
      <c r="L672" s="2">
        <v>3342.2</v>
      </c>
      <c r="M672" s="2">
        <v>1098.2</v>
      </c>
      <c r="N672">
        <v>2</v>
      </c>
    </row>
    <row r="673" spans="1:14" x14ac:dyDescent="0.3">
      <c r="A673" s="1">
        <v>37930</v>
      </c>
      <c r="B673">
        <v>10172</v>
      </c>
      <c r="C673">
        <v>175</v>
      </c>
      <c r="D673" t="s">
        <v>228</v>
      </c>
      <c r="E673" t="s">
        <v>14</v>
      </c>
      <c r="F673" t="s">
        <v>29</v>
      </c>
      <c r="G673" t="s">
        <v>134</v>
      </c>
      <c r="H673">
        <v>42</v>
      </c>
      <c r="I673" s="2">
        <v>109.51</v>
      </c>
      <c r="J673" s="2">
        <v>65.959999999999994</v>
      </c>
      <c r="K673" s="2">
        <v>4599.42</v>
      </c>
      <c r="L673" s="2">
        <v>2770.32</v>
      </c>
      <c r="M673" s="2">
        <v>1829.1</v>
      </c>
      <c r="N673">
        <v>1</v>
      </c>
    </row>
    <row r="674" spans="1:14" x14ac:dyDescent="0.3">
      <c r="A674" s="1">
        <v>37930</v>
      </c>
      <c r="B674">
        <v>10172</v>
      </c>
      <c r="C674">
        <v>175</v>
      </c>
      <c r="D674" t="s">
        <v>228</v>
      </c>
      <c r="E674" t="s">
        <v>14</v>
      </c>
      <c r="F674" t="s">
        <v>29</v>
      </c>
      <c r="G674" t="s">
        <v>130</v>
      </c>
      <c r="H674">
        <v>39</v>
      </c>
      <c r="I674" s="2">
        <v>117.48</v>
      </c>
      <c r="J674" s="2">
        <v>56.76</v>
      </c>
      <c r="K674" s="2">
        <v>4581.72</v>
      </c>
      <c r="L674" s="2">
        <v>2213.64</v>
      </c>
      <c r="M674" s="2">
        <v>2368.08</v>
      </c>
      <c r="N674">
        <v>1</v>
      </c>
    </row>
    <row r="675" spans="1:14" x14ac:dyDescent="0.3">
      <c r="A675" s="1">
        <v>37930</v>
      </c>
      <c r="B675">
        <v>10172</v>
      </c>
      <c r="C675">
        <v>175</v>
      </c>
      <c r="D675" t="s">
        <v>228</v>
      </c>
      <c r="E675" t="s">
        <v>14</v>
      </c>
      <c r="F675" t="s">
        <v>29</v>
      </c>
      <c r="G675" t="s">
        <v>131</v>
      </c>
      <c r="H675">
        <v>48</v>
      </c>
      <c r="I675" s="2">
        <v>139.87</v>
      </c>
      <c r="J675" s="2">
        <v>62.16</v>
      </c>
      <c r="K675" s="2">
        <v>6713.76</v>
      </c>
      <c r="L675" s="2">
        <v>2983.68</v>
      </c>
      <c r="M675" s="2">
        <v>3730.08</v>
      </c>
      <c r="N675">
        <v>1</v>
      </c>
    </row>
    <row r="676" spans="1:14" x14ac:dyDescent="0.3">
      <c r="A676" s="1">
        <v>37930</v>
      </c>
      <c r="B676">
        <v>10172</v>
      </c>
      <c r="C676">
        <v>175</v>
      </c>
      <c r="D676" t="s">
        <v>228</v>
      </c>
      <c r="E676" t="s">
        <v>14</v>
      </c>
      <c r="F676" t="s">
        <v>29</v>
      </c>
      <c r="G676" t="s">
        <v>136</v>
      </c>
      <c r="H676">
        <v>32</v>
      </c>
      <c r="I676" s="2">
        <v>61</v>
      </c>
      <c r="J676" s="2">
        <v>49.24</v>
      </c>
      <c r="K676" s="2">
        <v>1952</v>
      </c>
      <c r="L676" s="2">
        <v>1575.68</v>
      </c>
      <c r="M676" s="2">
        <v>376.32</v>
      </c>
      <c r="N676">
        <v>1</v>
      </c>
    </row>
    <row r="677" spans="1:14" x14ac:dyDescent="0.3">
      <c r="A677" s="1">
        <v>37930</v>
      </c>
      <c r="B677">
        <v>10172</v>
      </c>
      <c r="C677">
        <v>175</v>
      </c>
      <c r="D677" t="s">
        <v>228</v>
      </c>
      <c r="E677" t="s">
        <v>14</v>
      </c>
      <c r="F677" t="s">
        <v>29</v>
      </c>
      <c r="G677" t="s">
        <v>137</v>
      </c>
      <c r="H677">
        <v>34</v>
      </c>
      <c r="I677" s="2">
        <v>43.27</v>
      </c>
      <c r="J677" s="2">
        <v>29.18</v>
      </c>
      <c r="K677" s="2">
        <v>1471.18</v>
      </c>
      <c r="L677" s="2">
        <v>992.12</v>
      </c>
      <c r="M677" s="2">
        <v>479.06</v>
      </c>
      <c r="N677">
        <v>1</v>
      </c>
    </row>
    <row r="678" spans="1:14" x14ac:dyDescent="0.3">
      <c r="A678" s="1">
        <v>37930</v>
      </c>
      <c r="B678">
        <v>10172</v>
      </c>
      <c r="C678">
        <v>175</v>
      </c>
      <c r="D678" t="s">
        <v>228</v>
      </c>
      <c r="E678" t="s">
        <v>14</v>
      </c>
      <c r="F678" t="s">
        <v>29</v>
      </c>
      <c r="G678" t="s">
        <v>138</v>
      </c>
      <c r="H678">
        <v>22</v>
      </c>
      <c r="I678" s="2">
        <v>79.97</v>
      </c>
      <c r="J678" s="2">
        <v>47.25</v>
      </c>
      <c r="K678" s="2">
        <v>1759.34</v>
      </c>
      <c r="L678" s="2">
        <v>1039.5</v>
      </c>
      <c r="M678" s="2">
        <v>719.84</v>
      </c>
      <c r="N678">
        <v>1</v>
      </c>
    </row>
    <row r="679" spans="1:14" x14ac:dyDescent="0.3">
      <c r="A679" s="1">
        <v>37930</v>
      </c>
      <c r="B679">
        <v>10172</v>
      </c>
      <c r="C679">
        <v>175</v>
      </c>
      <c r="D679" t="s">
        <v>228</v>
      </c>
      <c r="E679" t="s">
        <v>14</v>
      </c>
      <c r="F679" t="s">
        <v>29</v>
      </c>
      <c r="G679" t="s">
        <v>140</v>
      </c>
      <c r="H679">
        <v>24</v>
      </c>
      <c r="I679" s="2">
        <v>77.91</v>
      </c>
      <c r="J679" s="2">
        <v>50.51</v>
      </c>
      <c r="K679" s="2">
        <v>1869.84</v>
      </c>
      <c r="L679" s="2">
        <v>1212.24</v>
      </c>
      <c r="M679" s="2">
        <v>657.6</v>
      </c>
      <c r="N679">
        <v>1</v>
      </c>
    </row>
    <row r="680" spans="1:14" x14ac:dyDescent="0.3">
      <c r="A680" s="1">
        <v>37930</v>
      </c>
      <c r="B680">
        <v>10172</v>
      </c>
      <c r="C680">
        <v>175</v>
      </c>
      <c r="D680" t="s">
        <v>228</v>
      </c>
      <c r="E680" t="s">
        <v>14</v>
      </c>
      <c r="F680" t="s">
        <v>29</v>
      </c>
      <c r="G680" t="s">
        <v>141</v>
      </c>
      <c r="H680">
        <v>22</v>
      </c>
      <c r="I680" s="2">
        <v>87.81</v>
      </c>
      <c r="J680" s="2">
        <v>62.11</v>
      </c>
      <c r="K680" s="2">
        <v>1931.82</v>
      </c>
      <c r="L680" s="2">
        <v>1366.42</v>
      </c>
      <c r="M680" s="2">
        <v>565.4</v>
      </c>
      <c r="N680">
        <v>1</v>
      </c>
    </row>
    <row r="681" spans="1:14" x14ac:dyDescent="0.3">
      <c r="A681" s="1">
        <v>37930</v>
      </c>
      <c r="B681">
        <v>10171</v>
      </c>
      <c r="C681">
        <v>233</v>
      </c>
      <c r="D681" t="s">
        <v>171</v>
      </c>
      <c r="E681" t="s">
        <v>172</v>
      </c>
      <c r="F681" t="s">
        <v>29</v>
      </c>
      <c r="G681" t="s">
        <v>128</v>
      </c>
      <c r="H681">
        <v>35</v>
      </c>
      <c r="I681" s="2">
        <v>134.46</v>
      </c>
      <c r="J681" s="2">
        <v>83.51</v>
      </c>
      <c r="K681" s="2">
        <v>4706.1000000000004</v>
      </c>
      <c r="L681" s="2">
        <v>2922.85</v>
      </c>
      <c r="M681" s="2">
        <v>1783.25</v>
      </c>
      <c r="N681">
        <v>1</v>
      </c>
    </row>
    <row r="682" spans="1:14" x14ac:dyDescent="0.3">
      <c r="A682" s="1">
        <v>37930</v>
      </c>
      <c r="B682">
        <v>10171</v>
      </c>
      <c r="C682">
        <v>233</v>
      </c>
      <c r="D682" t="s">
        <v>171</v>
      </c>
      <c r="E682" t="s">
        <v>172</v>
      </c>
      <c r="F682" t="s">
        <v>29</v>
      </c>
      <c r="G682" t="s">
        <v>129</v>
      </c>
      <c r="H682">
        <v>35</v>
      </c>
      <c r="I682" s="2">
        <v>128.03</v>
      </c>
      <c r="J682" s="2">
        <v>93.89</v>
      </c>
      <c r="K682" s="2">
        <v>4481.05</v>
      </c>
      <c r="L682" s="2">
        <v>3286.15</v>
      </c>
      <c r="M682" s="2">
        <v>1194.9000000000001</v>
      </c>
      <c r="N682">
        <v>1</v>
      </c>
    </row>
    <row r="683" spans="1:14" x14ac:dyDescent="0.3">
      <c r="A683" s="1">
        <v>37930</v>
      </c>
      <c r="B683">
        <v>10171</v>
      </c>
      <c r="C683">
        <v>233</v>
      </c>
      <c r="D683" t="s">
        <v>171</v>
      </c>
      <c r="E683" t="s">
        <v>172</v>
      </c>
      <c r="F683" t="s">
        <v>29</v>
      </c>
      <c r="G683" t="s">
        <v>53</v>
      </c>
      <c r="H683">
        <v>39</v>
      </c>
      <c r="I683" s="2">
        <v>165.95</v>
      </c>
      <c r="J683" s="2">
        <v>77.900000000000006</v>
      </c>
      <c r="K683" s="2">
        <v>6472.05</v>
      </c>
      <c r="L683" s="2">
        <v>3038.1</v>
      </c>
      <c r="M683" s="2">
        <v>3433.95</v>
      </c>
      <c r="N683">
        <v>1</v>
      </c>
    </row>
    <row r="684" spans="1:14" x14ac:dyDescent="0.3">
      <c r="A684" s="1">
        <v>37930</v>
      </c>
      <c r="B684">
        <v>10171</v>
      </c>
      <c r="C684">
        <v>233</v>
      </c>
      <c r="D684" t="s">
        <v>171</v>
      </c>
      <c r="E684" t="s">
        <v>172</v>
      </c>
      <c r="F684" t="s">
        <v>29</v>
      </c>
      <c r="G684" t="s">
        <v>132</v>
      </c>
      <c r="H684">
        <v>36</v>
      </c>
      <c r="I684" s="2">
        <v>34.74</v>
      </c>
      <c r="J684" s="2">
        <v>16.239999999999998</v>
      </c>
      <c r="K684" s="2">
        <v>1250.6400000000001</v>
      </c>
      <c r="L684" s="2">
        <v>584.64</v>
      </c>
      <c r="M684" s="2">
        <v>666</v>
      </c>
      <c r="N684">
        <v>1</v>
      </c>
    </row>
    <row r="685" spans="1:14" x14ac:dyDescent="0.3">
      <c r="A685" s="1">
        <v>37930</v>
      </c>
      <c r="B685">
        <v>10173</v>
      </c>
      <c r="C685">
        <v>278</v>
      </c>
      <c r="D685" t="s">
        <v>81</v>
      </c>
      <c r="E685" t="s">
        <v>82</v>
      </c>
      <c r="F685" t="s">
        <v>15</v>
      </c>
      <c r="G685" t="s">
        <v>25</v>
      </c>
      <c r="H685">
        <v>43</v>
      </c>
      <c r="I685" s="2">
        <v>101.71</v>
      </c>
      <c r="J685" s="2">
        <v>60.62</v>
      </c>
      <c r="K685" s="2">
        <v>4373.53</v>
      </c>
      <c r="L685" s="2">
        <v>2606.66</v>
      </c>
      <c r="M685" s="2">
        <v>1766.87</v>
      </c>
      <c r="N685">
        <v>2</v>
      </c>
    </row>
    <row r="686" spans="1:14" x14ac:dyDescent="0.3">
      <c r="A686" s="1">
        <v>37930</v>
      </c>
      <c r="B686">
        <v>10173</v>
      </c>
      <c r="C686">
        <v>278</v>
      </c>
      <c r="D686" t="s">
        <v>81</v>
      </c>
      <c r="E686" t="s">
        <v>82</v>
      </c>
      <c r="F686" t="s">
        <v>15</v>
      </c>
      <c r="G686" t="s">
        <v>26</v>
      </c>
      <c r="H686">
        <v>48</v>
      </c>
      <c r="I686" s="2">
        <v>51.75</v>
      </c>
      <c r="J686" s="2">
        <v>24.26</v>
      </c>
      <c r="K686" s="2">
        <v>2484</v>
      </c>
      <c r="L686" s="2">
        <v>1164.48</v>
      </c>
      <c r="M686" s="2">
        <v>1319.52</v>
      </c>
      <c r="N686">
        <v>2</v>
      </c>
    </row>
    <row r="687" spans="1:14" x14ac:dyDescent="0.3">
      <c r="A687" s="1">
        <v>37930</v>
      </c>
      <c r="B687">
        <v>10173</v>
      </c>
      <c r="C687">
        <v>278</v>
      </c>
      <c r="D687" t="s">
        <v>81</v>
      </c>
      <c r="E687" t="s">
        <v>82</v>
      </c>
      <c r="F687" t="s">
        <v>15</v>
      </c>
      <c r="G687" t="s">
        <v>16</v>
      </c>
      <c r="H687">
        <v>24</v>
      </c>
      <c r="I687" s="2">
        <v>168.3</v>
      </c>
      <c r="J687" s="2">
        <v>86.7</v>
      </c>
      <c r="K687" s="2">
        <v>4039.2</v>
      </c>
      <c r="L687" s="2">
        <v>2080.8000000000002</v>
      </c>
      <c r="M687" s="2">
        <v>1958.4</v>
      </c>
      <c r="N687">
        <v>2</v>
      </c>
    </row>
    <row r="688" spans="1:14" x14ac:dyDescent="0.3">
      <c r="A688" s="1">
        <v>37930</v>
      </c>
      <c r="B688">
        <v>10173</v>
      </c>
      <c r="C688">
        <v>278</v>
      </c>
      <c r="D688" t="s">
        <v>81</v>
      </c>
      <c r="E688" t="s">
        <v>82</v>
      </c>
      <c r="F688" t="s">
        <v>15</v>
      </c>
      <c r="G688" t="s">
        <v>17</v>
      </c>
      <c r="H688">
        <v>26</v>
      </c>
      <c r="I688" s="2">
        <v>55.09</v>
      </c>
      <c r="J688" s="2">
        <v>33.299999999999997</v>
      </c>
      <c r="K688" s="2">
        <v>1432.34</v>
      </c>
      <c r="L688" s="2">
        <v>865.8</v>
      </c>
      <c r="M688" s="2">
        <v>566.54</v>
      </c>
      <c r="N688">
        <v>2</v>
      </c>
    </row>
    <row r="689" spans="1:14" x14ac:dyDescent="0.3">
      <c r="A689" s="1">
        <v>37930</v>
      </c>
      <c r="B689">
        <v>10173</v>
      </c>
      <c r="C689">
        <v>278</v>
      </c>
      <c r="D689" t="s">
        <v>81</v>
      </c>
      <c r="E689" t="s">
        <v>82</v>
      </c>
      <c r="F689" t="s">
        <v>15</v>
      </c>
      <c r="G689" t="s">
        <v>21</v>
      </c>
      <c r="H689">
        <v>31</v>
      </c>
      <c r="I689" s="2">
        <v>127.13</v>
      </c>
      <c r="J689" s="2">
        <v>58.48</v>
      </c>
      <c r="K689" s="2">
        <v>3941.03</v>
      </c>
      <c r="L689" s="2">
        <v>1812.88</v>
      </c>
      <c r="M689" s="2">
        <v>2128.15</v>
      </c>
      <c r="N689">
        <v>2</v>
      </c>
    </row>
    <row r="690" spans="1:14" x14ac:dyDescent="0.3">
      <c r="A690" s="1">
        <v>37930</v>
      </c>
      <c r="B690">
        <v>10173</v>
      </c>
      <c r="C690">
        <v>278</v>
      </c>
      <c r="D690" t="s">
        <v>81</v>
      </c>
      <c r="E690" t="s">
        <v>82</v>
      </c>
      <c r="F690" t="s">
        <v>15</v>
      </c>
      <c r="G690" t="s">
        <v>22</v>
      </c>
      <c r="H690">
        <v>22</v>
      </c>
      <c r="I690" s="2">
        <v>140.06</v>
      </c>
      <c r="J690" s="2">
        <v>72.56</v>
      </c>
      <c r="K690" s="2">
        <v>3081.32</v>
      </c>
      <c r="L690" s="2">
        <v>1596.32</v>
      </c>
      <c r="M690" s="2">
        <v>1485</v>
      </c>
      <c r="N690">
        <v>2</v>
      </c>
    </row>
    <row r="691" spans="1:14" x14ac:dyDescent="0.3">
      <c r="A691" s="1">
        <v>37930</v>
      </c>
      <c r="B691">
        <v>10173</v>
      </c>
      <c r="C691">
        <v>278</v>
      </c>
      <c r="D691" t="s">
        <v>81</v>
      </c>
      <c r="E691" t="s">
        <v>82</v>
      </c>
      <c r="F691" t="s">
        <v>15</v>
      </c>
      <c r="G691" t="s">
        <v>37</v>
      </c>
      <c r="H691">
        <v>28</v>
      </c>
      <c r="I691" s="2">
        <v>56.84</v>
      </c>
      <c r="J691" s="2">
        <v>34.35</v>
      </c>
      <c r="K691" s="2">
        <v>1591.52</v>
      </c>
      <c r="L691" s="2">
        <v>961.8</v>
      </c>
      <c r="M691" s="2">
        <v>629.72</v>
      </c>
      <c r="N691">
        <v>2</v>
      </c>
    </row>
    <row r="692" spans="1:14" x14ac:dyDescent="0.3">
      <c r="A692" s="1">
        <v>37930</v>
      </c>
      <c r="B692">
        <v>10173</v>
      </c>
      <c r="C692">
        <v>278</v>
      </c>
      <c r="D692" t="s">
        <v>81</v>
      </c>
      <c r="E692" t="s">
        <v>82</v>
      </c>
      <c r="F692" t="s">
        <v>15</v>
      </c>
      <c r="G692" t="s">
        <v>38</v>
      </c>
      <c r="H692">
        <v>31</v>
      </c>
      <c r="I692" s="2">
        <v>86.92</v>
      </c>
      <c r="J692" s="2">
        <v>60.74</v>
      </c>
      <c r="K692" s="2">
        <v>2694.52</v>
      </c>
      <c r="L692" s="2">
        <v>1882.94</v>
      </c>
      <c r="M692" s="2">
        <v>811.58</v>
      </c>
      <c r="N692">
        <v>2</v>
      </c>
    </row>
    <row r="693" spans="1:14" x14ac:dyDescent="0.3">
      <c r="A693" s="1">
        <v>37930</v>
      </c>
      <c r="B693">
        <v>10173</v>
      </c>
      <c r="C693">
        <v>278</v>
      </c>
      <c r="D693" t="s">
        <v>81</v>
      </c>
      <c r="E693" t="s">
        <v>82</v>
      </c>
      <c r="F693" t="s">
        <v>15</v>
      </c>
      <c r="G693" t="s">
        <v>39</v>
      </c>
      <c r="H693">
        <v>29</v>
      </c>
      <c r="I693" s="2">
        <v>90.28</v>
      </c>
      <c r="J693" s="2">
        <v>57.54</v>
      </c>
      <c r="K693" s="2">
        <v>2618.12</v>
      </c>
      <c r="L693" s="2">
        <v>1668.66</v>
      </c>
      <c r="M693" s="2">
        <v>949.46</v>
      </c>
      <c r="N693">
        <v>2</v>
      </c>
    </row>
    <row r="694" spans="1:14" x14ac:dyDescent="0.3">
      <c r="A694" s="1">
        <v>37930</v>
      </c>
      <c r="B694">
        <v>10173</v>
      </c>
      <c r="C694">
        <v>278</v>
      </c>
      <c r="D694" t="s">
        <v>81</v>
      </c>
      <c r="E694" t="s">
        <v>82</v>
      </c>
      <c r="F694" t="s">
        <v>15</v>
      </c>
      <c r="G694" t="s">
        <v>18</v>
      </c>
      <c r="H694">
        <v>21</v>
      </c>
      <c r="I694" s="2">
        <v>77.31</v>
      </c>
      <c r="J694" s="2">
        <v>43.26</v>
      </c>
      <c r="K694" s="2">
        <v>1623.51</v>
      </c>
      <c r="L694" s="2">
        <v>908.46</v>
      </c>
      <c r="M694" s="2">
        <v>715.05</v>
      </c>
      <c r="N694">
        <v>2</v>
      </c>
    </row>
    <row r="695" spans="1:14" x14ac:dyDescent="0.3">
      <c r="A695" s="1">
        <v>37930</v>
      </c>
      <c r="B695">
        <v>10173</v>
      </c>
      <c r="C695">
        <v>278</v>
      </c>
      <c r="D695" t="s">
        <v>81</v>
      </c>
      <c r="E695" t="s">
        <v>82</v>
      </c>
      <c r="F695" t="s">
        <v>29</v>
      </c>
      <c r="G695" t="s">
        <v>135</v>
      </c>
      <c r="H695">
        <v>39</v>
      </c>
      <c r="I695" s="2">
        <v>58.44</v>
      </c>
      <c r="J695" s="2">
        <v>34.21</v>
      </c>
      <c r="K695" s="2">
        <v>2279.16</v>
      </c>
      <c r="L695" s="2">
        <v>1334.19</v>
      </c>
      <c r="M695" s="2">
        <v>944.97</v>
      </c>
      <c r="N695">
        <v>2</v>
      </c>
    </row>
    <row r="696" spans="1:14" x14ac:dyDescent="0.3">
      <c r="A696" s="1">
        <v>37930</v>
      </c>
      <c r="B696">
        <v>10173</v>
      </c>
      <c r="C696">
        <v>278</v>
      </c>
      <c r="D696" t="s">
        <v>81</v>
      </c>
      <c r="E696" t="s">
        <v>82</v>
      </c>
      <c r="F696" t="s">
        <v>15</v>
      </c>
      <c r="G696" t="s">
        <v>23</v>
      </c>
      <c r="H696">
        <v>31</v>
      </c>
      <c r="I696" s="2">
        <v>29.87</v>
      </c>
      <c r="J696" s="2">
        <v>22.57</v>
      </c>
      <c r="K696" s="2">
        <v>925.97</v>
      </c>
      <c r="L696" s="2">
        <v>699.67</v>
      </c>
      <c r="M696" s="2">
        <v>226.3</v>
      </c>
      <c r="N696">
        <v>2</v>
      </c>
    </row>
    <row r="697" spans="1:14" x14ac:dyDescent="0.3">
      <c r="A697" s="1">
        <v>37930</v>
      </c>
      <c r="B697">
        <v>10173</v>
      </c>
      <c r="C697">
        <v>278</v>
      </c>
      <c r="D697" t="s">
        <v>81</v>
      </c>
      <c r="E697" t="s">
        <v>82</v>
      </c>
      <c r="F697" t="s">
        <v>15</v>
      </c>
      <c r="G697" t="s">
        <v>24</v>
      </c>
      <c r="H697">
        <v>27</v>
      </c>
      <c r="I697" s="2">
        <v>39.42</v>
      </c>
      <c r="J697" s="2">
        <v>20.61</v>
      </c>
      <c r="K697" s="2">
        <v>1064.3399999999999</v>
      </c>
      <c r="L697" s="2">
        <v>556.47</v>
      </c>
      <c r="M697" s="2">
        <v>507.87</v>
      </c>
      <c r="N697">
        <v>2</v>
      </c>
    </row>
    <row r="698" spans="1:14" x14ac:dyDescent="0.3">
      <c r="A698" s="1">
        <v>37930</v>
      </c>
      <c r="B698">
        <v>10173</v>
      </c>
      <c r="C698">
        <v>278</v>
      </c>
      <c r="D698" t="s">
        <v>81</v>
      </c>
      <c r="E698" t="s">
        <v>82</v>
      </c>
      <c r="F698" t="s">
        <v>29</v>
      </c>
      <c r="G698" t="s">
        <v>139</v>
      </c>
      <c r="H698">
        <v>23</v>
      </c>
      <c r="I698" s="2">
        <v>98.65</v>
      </c>
      <c r="J698" s="2">
        <v>72.819999999999993</v>
      </c>
      <c r="K698" s="2">
        <v>2268.9499999999998</v>
      </c>
      <c r="L698" s="2">
        <v>1674.86</v>
      </c>
      <c r="M698" s="2">
        <v>594.09</v>
      </c>
      <c r="N698">
        <v>2</v>
      </c>
    </row>
    <row r="699" spans="1:14" x14ac:dyDescent="0.3">
      <c r="A699" s="1">
        <v>37930</v>
      </c>
      <c r="B699">
        <v>10173</v>
      </c>
      <c r="C699">
        <v>278</v>
      </c>
      <c r="D699" t="s">
        <v>81</v>
      </c>
      <c r="E699" t="s">
        <v>82</v>
      </c>
      <c r="F699" t="s">
        <v>15</v>
      </c>
      <c r="G699" t="s">
        <v>19</v>
      </c>
      <c r="H699">
        <v>35</v>
      </c>
      <c r="I699" s="2">
        <v>35.700000000000003</v>
      </c>
      <c r="J699" s="2">
        <v>21.75</v>
      </c>
      <c r="K699" s="2">
        <v>1249.5</v>
      </c>
      <c r="L699" s="2">
        <v>761.25</v>
      </c>
      <c r="M699" s="2">
        <v>488.25</v>
      </c>
      <c r="N699">
        <v>2</v>
      </c>
    </row>
    <row r="700" spans="1:14" x14ac:dyDescent="0.3">
      <c r="A700" s="1">
        <v>37930</v>
      </c>
      <c r="B700">
        <v>10173</v>
      </c>
      <c r="C700">
        <v>278</v>
      </c>
      <c r="D700" t="s">
        <v>81</v>
      </c>
      <c r="E700" t="s">
        <v>82</v>
      </c>
      <c r="F700" t="s">
        <v>15</v>
      </c>
      <c r="G700" t="s">
        <v>43</v>
      </c>
      <c r="H700">
        <v>22</v>
      </c>
      <c r="I700" s="2">
        <v>93.49</v>
      </c>
      <c r="J700" s="2">
        <v>57.46</v>
      </c>
      <c r="K700" s="2">
        <v>2056.7800000000002</v>
      </c>
      <c r="L700" s="2">
        <v>1264.1199999999999</v>
      </c>
      <c r="M700" s="2">
        <v>792.66</v>
      </c>
      <c r="N700">
        <v>2</v>
      </c>
    </row>
    <row r="701" spans="1:14" x14ac:dyDescent="0.3">
      <c r="A701" s="1">
        <v>37931</v>
      </c>
      <c r="B701">
        <v>10175</v>
      </c>
      <c r="C701">
        <v>324</v>
      </c>
      <c r="D701" t="s">
        <v>211</v>
      </c>
      <c r="E701" t="s">
        <v>133</v>
      </c>
      <c r="F701" t="s">
        <v>29</v>
      </c>
      <c r="G701" t="s">
        <v>31</v>
      </c>
      <c r="H701">
        <v>33</v>
      </c>
      <c r="I701" s="2">
        <v>119.67</v>
      </c>
      <c r="J701" s="2">
        <v>103.42</v>
      </c>
      <c r="K701" s="2">
        <v>3949.11</v>
      </c>
      <c r="L701" s="2">
        <v>3412.86</v>
      </c>
      <c r="M701" s="2">
        <v>536.25</v>
      </c>
      <c r="N701">
        <v>2</v>
      </c>
    </row>
    <row r="702" spans="1:14" x14ac:dyDescent="0.3">
      <c r="A702" s="1">
        <v>37931</v>
      </c>
      <c r="B702">
        <v>10175</v>
      </c>
      <c r="C702">
        <v>324</v>
      </c>
      <c r="D702" t="s">
        <v>211</v>
      </c>
      <c r="E702" t="s">
        <v>133</v>
      </c>
      <c r="F702" t="s">
        <v>32</v>
      </c>
      <c r="G702" t="s">
        <v>50</v>
      </c>
      <c r="H702">
        <v>26</v>
      </c>
      <c r="I702" s="2">
        <v>109.02</v>
      </c>
      <c r="J702" s="2">
        <v>55.7</v>
      </c>
      <c r="K702" s="2">
        <v>2834.52</v>
      </c>
      <c r="L702" s="2">
        <v>1448.2</v>
      </c>
      <c r="M702" s="2">
        <v>1386.32</v>
      </c>
      <c r="N702">
        <v>2</v>
      </c>
    </row>
    <row r="703" spans="1:14" x14ac:dyDescent="0.3">
      <c r="A703" s="1">
        <v>37931</v>
      </c>
      <c r="B703">
        <v>10175</v>
      </c>
      <c r="C703">
        <v>324</v>
      </c>
      <c r="D703" t="s">
        <v>211</v>
      </c>
      <c r="E703" t="s">
        <v>133</v>
      </c>
      <c r="F703" t="s">
        <v>32</v>
      </c>
      <c r="G703" t="s">
        <v>52</v>
      </c>
      <c r="H703">
        <v>48</v>
      </c>
      <c r="I703" s="2">
        <v>101.87</v>
      </c>
      <c r="J703" s="2">
        <v>74.86</v>
      </c>
      <c r="K703" s="2">
        <v>4889.76</v>
      </c>
      <c r="L703" s="2">
        <v>3593.28</v>
      </c>
      <c r="M703" s="2">
        <v>1296.48</v>
      </c>
      <c r="N703">
        <v>2</v>
      </c>
    </row>
    <row r="704" spans="1:14" x14ac:dyDescent="0.3">
      <c r="A704" s="1">
        <v>37931</v>
      </c>
      <c r="B704">
        <v>10175</v>
      </c>
      <c r="C704">
        <v>324</v>
      </c>
      <c r="D704" t="s">
        <v>211</v>
      </c>
      <c r="E704" t="s">
        <v>133</v>
      </c>
      <c r="F704" t="s">
        <v>32</v>
      </c>
      <c r="G704" t="s">
        <v>35</v>
      </c>
      <c r="H704">
        <v>41</v>
      </c>
      <c r="I704" s="2">
        <v>59.55</v>
      </c>
      <c r="J704" s="2">
        <v>24.92</v>
      </c>
      <c r="K704" s="2">
        <v>2441.5500000000002</v>
      </c>
      <c r="L704" s="2">
        <v>1021.72</v>
      </c>
      <c r="M704" s="2">
        <v>1419.83</v>
      </c>
      <c r="N704">
        <v>2</v>
      </c>
    </row>
    <row r="705" spans="1:14" x14ac:dyDescent="0.3">
      <c r="A705" s="1">
        <v>37931</v>
      </c>
      <c r="B705">
        <v>10175</v>
      </c>
      <c r="C705">
        <v>324</v>
      </c>
      <c r="D705" t="s">
        <v>211</v>
      </c>
      <c r="E705" t="s">
        <v>133</v>
      </c>
      <c r="F705" t="s">
        <v>29</v>
      </c>
      <c r="G705" t="s">
        <v>53</v>
      </c>
      <c r="H705">
        <v>29</v>
      </c>
      <c r="I705" s="2">
        <v>150.71</v>
      </c>
      <c r="J705" s="2">
        <v>77.900000000000006</v>
      </c>
      <c r="K705" s="2">
        <v>4370.59</v>
      </c>
      <c r="L705" s="2">
        <v>2259.1</v>
      </c>
      <c r="M705" s="2">
        <v>2111.4899999999998</v>
      </c>
      <c r="N705">
        <v>2</v>
      </c>
    </row>
    <row r="706" spans="1:14" x14ac:dyDescent="0.3">
      <c r="A706" s="1">
        <v>37931</v>
      </c>
      <c r="B706">
        <v>10175</v>
      </c>
      <c r="C706">
        <v>324</v>
      </c>
      <c r="D706" t="s">
        <v>211</v>
      </c>
      <c r="E706" t="s">
        <v>133</v>
      </c>
      <c r="F706" t="s">
        <v>32</v>
      </c>
      <c r="G706" t="s">
        <v>40</v>
      </c>
      <c r="H706">
        <v>47</v>
      </c>
      <c r="I706" s="2">
        <v>102.92</v>
      </c>
      <c r="J706" s="2">
        <v>84.76</v>
      </c>
      <c r="K706" s="2">
        <v>4837.24</v>
      </c>
      <c r="L706" s="2">
        <v>3983.72</v>
      </c>
      <c r="M706" s="2">
        <v>853.52</v>
      </c>
      <c r="N706">
        <v>2</v>
      </c>
    </row>
    <row r="707" spans="1:14" x14ac:dyDescent="0.3">
      <c r="A707" s="1">
        <v>37931</v>
      </c>
      <c r="B707">
        <v>10175</v>
      </c>
      <c r="C707">
        <v>324</v>
      </c>
      <c r="D707" t="s">
        <v>211</v>
      </c>
      <c r="E707" t="s">
        <v>133</v>
      </c>
      <c r="F707" t="s">
        <v>32</v>
      </c>
      <c r="G707" t="s">
        <v>42</v>
      </c>
      <c r="H707">
        <v>28</v>
      </c>
      <c r="I707" s="2">
        <v>121.4</v>
      </c>
      <c r="J707" s="2">
        <v>61.34</v>
      </c>
      <c r="K707" s="2">
        <v>3399.2</v>
      </c>
      <c r="L707" s="2">
        <v>1717.52</v>
      </c>
      <c r="M707" s="2">
        <v>1681.68</v>
      </c>
      <c r="N707">
        <v>2</v>
      </c>
    </row>
    <row r="708" spans="1:14" x14ac:dyDescent="0.3">
      <c r="A708" s="1">
        <v>37931</v>
      </c>
      <c r="B708">
        <v>10175</v>
      </c>
      <c r="C708">
        <v>324</v>
      </c>
      <c r="D708" t="s">
        <v>211</v>
      </c>
      <c r="E708" t="s">
        <v>133</v>
      </c>
      <c r="F708" t="s">
        <v>29</v>
      </c>
      <c r="G708" t="s">
        <v>56</v>
      </c>
      <c r="H708">
        <v>37</v>
      </c>
      <c r="I708" s="2">
        <v>32.18</v>
      </c>
      <c r="J708" s="2">
        <v>15.91</v>
      </c>
      <c r="K708" s="2">
        <v>1190.6600000000001</v>
      </c>
      <c r="L708" s="2">
        <v>588.66999999999996</v>
      </c>
      <c r="M708" s="2">
        <v>601.99</v>
      </c>
      <c r="N708">
        <v>2</v>
      </c>
    </row>
    <row r="709" spans="1:14" x14ac:dyDescent="0.3">
      <c r="A709" s="1">
        <v>37931</v>
      </c>
      <c r="B709">
        <v>10175</v>
      </c>
      <c r="C709">
        <v>324</v>
      </c>
      <c r="D709" t="s">
        <v>211</v>
      </c>
      <c r="E709" t="s">
        <v>133</v>
      </c>
      <c r="F709" t="s">
        <v>32</v>
      </c>
      <c r="G709" t="s">
        <v>44</v>
      </c>
      <c r="H709">
        <v>22</v>
      </c>
      <c r="I709" s="2">
        <v>89.57</v>
      </c>
      <c r="J709" s="2">
        <v>53.93</v>
      </c>
      <c r="K709" s="2">
        <v>1970.54</v>
      </c>
      <c r="L709" s="2">
        <v>1186.46</v>
      </c>
      <c r="M709" s="2">
        <v>784.08</v>
      </c>
      <c r="N709">
        <v>2</v>
      </c>
    </row>
    <row r="710" spans="1:14" x14ac:dyDescent="0.3">
      <c r="A710" s="1">
        <v>37931</v>
      </c>
      <c r="B710">
        <v>10175</v>
      </c>
      <c r="C710">
        <v>324</v>
      </c>
      <c r="D710" t="s">
        <v>211</v>
      </c>
      <c r="E710" t="s">
        <v>133</v>
      </c>
      <c r="F710" t="s">
        <v>32</v>
      </c>
      <c r="G710" t="s">
        <v>58</v>
      </c>
      <c r="H710">
        <v>50</v>
      </c>
      <c r="I710" s="2">
        <v>50.86</v>
      </c>
      <c r="J710" s="2">
        <v>25.98</v>
      </c>
      <c r="K710" s="2">
        <v>2543</v>
      </c>
      <c r="L710" s="2">
        <v>1299</v>
      </c>
      <c r="M710" s="2">
        <v>1244</v>
      </c>
      <c r="N710">
        <v>2</v>
      </c>
    </row>
    <row r="711" spans="1:14" x14ac:dyDescent="0.3">
      <c r="A711" s="1">
        <v>37931</v>
      </c>
      <c r="B711">
        <v>10175</v>
      </c>
      <c r="C711">
        <v>324</v>
      </c>
      <c r="D711" t="s">
        <v>211</v>
      </c>
      <c r="E711" t="s">
        <v>133</v>
      </c>
      <c r="F711" t="s">
        <v>32</v>
      </c>
      <c r="G711" t="s">
        <v>45</v>
      </c>
      <c r="H711">
        <v>29</v>
      </c>
      <c r="I711" s="2">
        <v>56.24</v>
      </c>
      <c r="J711" s="2">
        <v>33.61</v>
      </c>
      <c r="K711" s="2">
        <v>1630.96</v>
      </c>
      <c r="L711" s="2">
        <v>974.69</v>
      </c>
      <c r="M711" s="2">
        <v>656.27</v>
      </c>
      <c r="N711">
        <v>2</v>
      </c>
    </row>
    <row r="712" spans="1:14" x14ac:dyDescent="0.3">
      <c r="A712" s="1">
        <v>37931</v>
      </c>
      <c r="B712">
        <v>10175</v>
      </c>
      <c r="C712">
        <v>324</v>
      </c>
      <c r="D712" t="s">
        <v>211</v>
      </c>
      <c r="E712" t="s">
        <v>133</v>
      </c>
      <c r="F712" t="s">
        <v>29</v>
      </c>
      <c r="G712" t="s">
        <v>46</v>
      </c>
      <c r="H712">
        <v>42</v>
      </c>
      <c r="I712" s="2">
        <v>80.92</v>
      </c>
      <c r="J712" s="2">
        <v>46.53</v>
      </c>
      <c r="K712" s="2">
        <v>3398.64</v>
      </c>
      <c r="L712" s="2">
        <v>1954.26</v>
      </c>
      <c r="M712" s="2">
        <v>1444.38</v>
      </c>
      <c r="N712">
        <v>2</v>
      </c>
    </row>
    <row r="713" spans="1:14" x14ac:dyDescent="0.3">
      <c r="A713" s="1">
        <v>37931</v>
      </c>
      <c r="B713">
        <v>10174</v>
      </c>
      <c r="C713">
        <v>333</v>
      </c>
      <c r="D713" t="s">
        <v>166</v>
      </c>
      <c r="E713" t="s">
        <v>151</v>
      </c>
      <c r="F713" t="s">
        <v>29</v>
      </c>
      <c r="G713" t="s">
        <v>30</v>
      </c>
      <c r="H713">
        <v>34</v>
      </c>
      <c r="I713" s="2">
        <v>207.87</v>
      </c>
      <c r="J713" s="2">
        <v>98.58</v>
      </c>
      <c r="K713" s="2">
        <v>7067.58</v>
      </c>
      <c r="L713" s="2">
        <v>3351.72</v>
      </c>
      <c r="M713" s="2">
        <v>3715.86</v>
      </c>
      <c r="N713">
        <v>2</v>
      </c>
    </row>
    <row r="714" spans="1:14" x14ac:dyDescent="0.3">
      <c r="A714" s="1">
        <v>37931</v>
      </c>
      <c r="B714">
        <v>10174</v>
      </c>
      <c r="C714">
        <v>333</v>
      </c>
      <c r="D714" t="s">
        <v>166</v>
      </c>
      <c r="E714" t="s">
        <v>151</v>
      </c>
      <c r="F714" t="s">
        <v>32</v>
      </c>
      <c r="G714" t="s">
        <v>33</v>
      </c>
      <c r="H714">
        <v>43</v>
      </c>
      <c r="I714" s="2">
        <v>113.44</v>
      </c>
      <c r="J714" s="2">
        <v>77.900000000000006</v>
      </c>
      <c r="K714" s="2">
        <v>4877.92</v>
      </c>
      <c r="L714" s="2">
        <v>3349.7</v>
      </c>
      <c r="M714" s="2">
        <v>1528.22</v>
      </c>
      <c r="N714">
        <v>2</v>
      </c>
    </row>
    <row r="715" spans="1:14" x14ac:dyDescent="0.3">
      <c r="A715" s="1">
        <v>37931</v>
      </c>
      <c r="B715">
        <v>10174</v>
      </c>
      <c r="C715">
        <v>333</v>
      </c>
      <c r="D715" t="s">
        <v>166</v>
      </c>
      <c r="E715" t="s">
        <v>151</v>
      </c>
      <c r="F715" t="s">
        <v>32</v>
      </c>
      <c r="G715" t="s">
        <v>34</v>
      </c>
      <c r="H715">
        <v>48</v>
      </c>
      <c r="I715" s="2">
        <v>108.5</v>
      </c>
      <c r="J715" s="2">
        <v>58.33</v>
      </c>
      <c r="K715" s="2">
        <v>5208</v>
      </c>
      <c r="L715" s="2">
        <v>2799.84</v>
      </c>
      <c r="M715" s="2">
        <v>2408.16</v>
      </c>
      <c r="N715">
        <v>2</v>
      </c>
    </row>
    <row r="716" spans="1:14" x14ac:dyDescent="0.3">
      <c r="A716" s="1">
        <v>37931</v>
      </c>
      <c r="B716">
        <v>10174</v>
      </c>
      <c r="C716">
        <v>333</v>
      </c>
      <c r="D716" t="s">
        <v>166</v>
      </c>
      <c r="E716" t="s">
        <v>151</v>
      </c>
      <c r="F716" t="s">
        <v>15</v>
      </c>
      <c r="G716" t="s">
        <v>36</v>
      </c>
      <c r="H716">
        <v>46</v>
      </c>
      <c r="I716" s="2">
        <v>100.3</v>
      </c>
      <c r="J716" s="2">
        <v>60.78</v>
      </c>
      <c r="K716" s="2">
        <v>4613.8</v>
      </c>
      <c r="L716" s="2">
        <v>2795.88</v>
      </c>
      <c r="M716" s="2">
        <v>1817.92</v>
      </c>
      <c r="N716">
        <v>2</v>
      </c>
    </row>
    <row r="717" spans="1:14" x14ac:dyDescent="0.3">
      <c r="A717" s="1">
        <v>37931</v>
      </c>
      <c r="B717">
        <v>10174</v>
      </c>
      <c r="C717">
        <v>333</v>
      </c>
      <c r="D717" t="s">
        <v>166</v>
      </c>
      <c r="E717" t="s">
        <v>151</v>
      </c>
      <c r="F717" t="s">
        <v>15</v>
      </c>
      <c r="G717" t="s">
        <v>41</v>
      </c>
      <c r="H717">
        <v>49</v>
      </c>
      <c r="I717" s="2">
        <v>44.27</v>
      </c>
      <c r="J717" s="2">
        <v>23.14</v>
      </c>
      <c r="K717" s="2">
        <v>2169.23</v>
      </c>
      <c r="L717" s="2">
        <v>1133.8599999999999</v>
      </c>
      <c r="M717" s="2">
        <v>1035.3699999999999</v>
      </c>
      <c r="N717">
        <v>2</v>
      </c>
    </row>
    <row r="718" spans="1:14" x14ac:dyDescent="0.3">
      <c r="A718" s="1">
        <v>37931</v>
      </c>
      <c r="B718">
        <v>10176</v>
      </c>
      <c r="C718">
        <v>386</v>
      </c>
      <c r="D718" t="s">
        <v>173</v>
      </c>
      <c r="E718" t="s">
        <v>82</v>
      </c>
      <c r="F718" t="s">
        <v>29</v>
      </c>
      <c r="G718" t="s">
        <v>66</v>
      </c>
      <c r="H718">
        <v>33</v>
      </c>
      <c r="I718" s="2">
        <v>166.24</v>
      </c>
      <c r="J718" s="2">
        <v>95.59</v>
      </c>
      <c r="K718" s="2">
        <v>5485.92</v>
      </c>
      <c r="L718" s="2">
        <v>3154.47</v>
      </c>
      <c r="M718" s="2">
        <v>2331.4499999999998</v>
      </c>
      <c r="N718">
        <v>1</v>
      </c>
    </row>
    <row r="719" spans="1:14" x14ac:dyDescent="0.3">
      <c r="A719" s="1">
        <v>37931</v>
      </c>
      <c r="B719">
        <v>10176</v>
      </c>
      <c r="C719">
        <v>386</v>
      </c>
      <c r="D719" t="s">
        <v>173</v>
      </c>
      <c r="E719" t="s">
        <v>82</v>
      </c>
      <c r="F719" t="s">
        <v>29</v>
      </c>
      <c r="G719" t="s">
        <v>49</v>
      </c>
      <c r="H719">
        <v>47</v>
      </c>
      <c r="I719" s="2">
        <v>145.04</v>
      </c>
      <c r="J719" s="2">
        <v>89.14</v>
      </c>
      <c r="K719" s="2">
        <v>6816.88</v>
      </c>
      <c r="L719" s="2">
        <v>4189.58</v>
      </c>
      <c r="M719" s="2">
        <v>2627.3</v>
      </c>
      <c r="N719">
        <v>1</v>
      </c>
    </row>
    <row r="720" spans="1:14" x14ac:dyDescent="0.3">
      <c r="A720" s="1">
        <v>37931</v>
      </c>
      <c r="B720">
        <v>10176</v>
      </c>
      <c r="C720">
        <v>386</v>
      </c>
      <c r="D720" t="s">
        <v>173</v>
      </c>
      <c r="E720" t="s">
        <v>82</v>
      </c>
      <c r="F720" t="s">
        <v>29</v>
      </c>
      <c r="G720" t="s">
        <v>67</v>
      </c>
      <c r="H720">
        <v>50</v>
      </c>
      <c r="I720" s="2">
        <v>160.91</v>
      </c>
      <c r="J720" s="2">
        <v>83.05</v>
      </c>
      <c r="K720" s="2">
        <v>8045.5</v>
      </c>
      <c r="L720" s="2">
        <v>4152.5</v>
      </c>
      <c r="M720" s="2">
        <v>3893</v>
      </c>
      <c r="N720">
        <v>1</v>
      </c>
    </row>
    <row r="721" spans="1:14" x14ac:dyDescent="0.3">
      <c r="A721" s="1">
        <v>37931</v>
      </c>
      <c r="B721">
        <v>10176</v>
      </c>
      <c r="C721">
        <v>386</v>
      </c>
      <c r="D721" t="s">
        <v>173</v>
      </c>
      <c r="E721" t="s">
        <v>82</v>
      </c>
      <c r="F721" t="s">
        <v>29</v>
      </c>
      <c r="G721" t="s">
        <v>51</v>
      </c>
      <c r="H721">
        <v>20</v>
      </c>
      <c r="I721" s="2">
        <v>139.16999999999999</v>
      </c>
      <c r="J721" s="2">
        <v>101.51</v>
      </c>
      <c r="K721" s="2">
        <v>2783.4</v>
      </c>
      <c r="L721" s="2">
        <v>2030.2</v>
      </c>
      <c r="M721" s="2">
        <v>753.2</v>
      </c>
      <c r="N721">
        <v>1</v>
      </c>
    </row>
    <row r="722" spans="1:14" x14ac:dyDescent="0.3">
      <c r="A722" s="1">
        <v>37931</v>
      </c>
      <c r="B722">
        <v>10176</v>
      </c>
      <c r="C722">
        <v>386</v>
      </c>
      <c r="D722" t="s">
        <v>173</v>
      </c>
      <c r="E722" t="s">
        <v>82</v>
      </c>
      <c r="F722" t="s">
        <v>29</v>
      </c>
      <c r="G722" t="s">
        <v>54</v>
      </c>
      <c r="H722">
        <v>36</v>
      </c>
      <c r="I722" s="2">
        <v>140.75</v>
      </c>
      <c r="J722" s="2">
        <v>91.92</v>
      </c>
      <c r="K722" s="2">
        <v>5067</v>
      </c>
      <c r="L722" s="2">
        <v>3309.12</v>
      </c>
      <c r="M722" s="2">
        <v>1757.88</v>
      </c>
      <c r="N722">
        <v>1</v>
      </c>
    </row>
    <row r="723" spans="1:14" x14ac:dyDescent="0.3">
      <c r="A723" s="1">
        <v>37931</v>
      </c>
      <c r="B723">
        <v>10176</v>
      </c>
      <c r="C723">
        <v>386</v>
      </c>
      <c r="D723" t="s">
        <v>173</v>
      </c>
      <c r="E723" t="s">
        <v>82</v>
      </c>
      <c r="F723" t="s">
        <v>29</v>
      </c>
      <c r="G723" t="s">
        <v>55</v>
      </c>
      <c r="H723">
        <v>27</v>
      </c>
      <c r="I723" s="2">
        <v>55.49</v>
      </c>
      <c r="J723" s="2">
        <v>32.369999999999997</v>
      </c>
      <c r="K723" s="2">
        <v>1498.23</v>
      </c>
      <c r="L723" s="2">
        <v>873.99</v>
      </c>
      <c r="M723" s="2">
        <v>624.24</v>
      </c>
      <c r="N723">
        <v>1</v>
      </c>
    </row>
    <row r="724" spans="1:14" x14ac:dyDescent="0.3">
      <c r="A724" s="1">
        <v>37931</v>
      </c>
      <c r="B724">
        <v>10176</v>
      </c>
      <c r="C724">
        <v>386</v>
      </c>
      <c r="D724" t="s">
        <v>173</v>
      </c>
      <c r="E724" t="s">
        <v>82</v>
      </c>
      <c r="F724" t="s">
        <v>29</v>
      </c>
      <c r="G724" t="s">
        <v>57</v>
      </c>
      <c r="H724">
        <v>29</v>
      </c>
      <c r="I724" s="2">
        <v>101.72</v>
      </c>
      <c r="J724" s="2">
        <v>69.78</v>
      </c>
      <c r="K724" s="2">
        <v>2949.88</v>
      </c>
      <c r="L724" s="2">
        <v>2023.62</v>
      </c>
      <c r="M724" s="2">
        <v>926.26</v>
      </c>
      <c r="N724">
        <v>1</v>
      </c>
    </row>
    <row r="725" spans="1:14" x14ac:dyDescent="0.3">
      <c r="A725" s="1">
        <v>37931</v>
      </c>
      <c r="B725">
        <v>10176</v>
      </c>
      <c r="C725">
        <v>386</v>
      </c>
      <c r="D725" t="s">
        <v>173</v>
      </c>
      <c r="E725" t="s">
        <v>82</v>
      </c>
      <c r="F725" t="s">
        <v>59</v>
      </c>
      <c r="G725" t="s">
        <v>60</v>
      </c>
      <c r="H725">
        <v>22</v>
      </c>
      <c r="I725" s="2">
        <v>62.14</v>
      </c>
      <c r="J725" s="2">
        <v>26.72</v>
      </c>
      <c r="K725" s="2">
        <v>1367.08</v>
      </c>
      <c r="L725" s="2">
        <v>587.84</v>
      </c>
      <c r="M725" s="2">
        <v>779.24</v>
      </c>
      <c r="N725">
        <v>1</v>
      </c>
    </row>
    <row r="726" spans="1:14" x14ac:dyDescent="0.3">
      <c r="A726" s="1">
        <v>37931</v>
      </c>
      <c r="B726">
        <v>10176</v>
      </c>
      <c r="C726">
        <v>386</v>
      </c>
      <c r="D726" t="s">
        <v>173</v>
      </c>
      <c r="E726" t="s">
        <v>82</v>
      </c>
      <c r="F726" t="s">
        <v>32</v>
      </c>
      <c r="G726" t="s">
        <v>61</v>
      </c>
      <c r="H726">
        <v>23</v>
      </c>
      <c r="I726" s="2">
        <v>109.96</v>
      </c>
      <c r="J726" s="2">
        <v>68.290000000000006</v>
      </c>
      <c r="K726" s="2">
        <v>2529.08</v>
      </c>
      <c r="L726" s="2">
        <v>1570.67</v>
      </c>
      <c r="M726" s="2">
        <v>958.41</v>
      </c>
      <c r="N726">
        <v>1</v>
      </c>
    </row>
    <row r="727" spans="1:14" x14ac:dyDescent="0.3">
      <c r="A727" s="1">
        <v>37931</v>
      </c>
      <c r="B727">
        <v>10176</v>
      </c>
      <c r="C727">
        <v>386</v>
      </c>
      <c r="D727" t="s">
        <v>173</v>
      </c>
      <c r="E727" t="s">
        <v>82</v>
      </c>
      <c r="F727" t="s">
        <v>59</v>
      </c>
      <c r="G727" t="s">
        <v>62</v>
      </c>
      <c r="H727">
        <v>38</v>
      </c>
      <c r="I727" s="2">
        <v>52.14</v>
      </c>
      <c r="J727" s="2">
        <v>37.49</v>
      </c>
      <c r="K727" s="2">
        <v>1981.32</v>
      </c>
      <c r="L727" s="2">
        <v>1424.62</v>
      </c>
      <c r="M727" s="2">
        <v>556.70000000000005</v>
      </c>
      <c r="N727">
        <v>1</v>
      </c>
    </row>
    <row r="728" spans="1:14" x14ac:dyDescent="0.3">
      <c r="A728" s="1">
        <v>37932</v>
      </c>
      <c r="B728">
        <v>10177</v>
      </c>
      <c r="C728">
        <v>344</v>
      </c>
      <c r="D728" t="s">
        <v>174</v>
      </c>
      <c r="E728" t="s">
        <v>48</v>
      </c>
      <c r="F728" t="s">
        <v>15</v>
      </c>
      <c r="G728" t="s">
        <v>68</v>
      </c>
      <c r="H728">
        <v>23</v>
      </c>
      <c r="I728" s="2">
        <v>113.37</v>
      </c>
      <c r="J728" s="2">
        <v>68.3</v>
      </c>
      <c r="K728" s="2">
        <v>2607.5100000000002</v>
      </c>
      <c r="L728" s="2">
        <v>1570.9</v>
      </c>
      <c r="M728" s="2">
        <v>1036.6099999999999</v>
      </c>
      <c r="N728">
        <v>1</v>
      </c>
    </row>
    <row r="729" spans="1:14" x14ac:dyDescent="0.3">
      <c r="A729" s="1">
        <v>37932</v>
      </c>
      <c r="B729">
        <v>10177</v>
      </c>
      <c r="C729">
        <v>344</v>
      </c>
      <c r="D729" t="s">
        <v>174</v>
      </c>
      <c r="E729" t="s">
        <v>48</v>
      </c>
      <c r="F729" t="s">
        <v>59</v>
      </c>
      <c r="G729" t="s">
        <v>69</v>
      </c>
      <c r="H729">
        <v>29</v>
      </c>
      <c r="I729" s="2">
        <v>92.77</v>
      </c>
      <c r="J729" s="2">
        <v>67.56</v>
      </c>
      <c r="K729" s="2">
        <v>2690.33</v>
      </c>
      <c r="L729" s="2">
        <v>1959.24</v>
      </c>
      <c r="M729" s="2">
        <v>731.09</v>
      </c>
      <c r="N729">
        <v>1</v>
      </c>
    </row>
    <row r="730" spans="1:14" x14ac:dyDescent="0.3">
      <c r="A730" s="1">
        <v>37932</v>
      </c>
      <c r="B730">
        <v>10177</v>
      </c>
      <c r="C730">
        <v>344</v>
      </c>
      <c r="D730" t="s">
        <v>174</v>
      </c>
      <c r="E730" t="s">
        <v>48</v>
      </c>
      <c r="F730" t="s">
        <v>15</v>
      </c>
      <c r="G730" t="s">
        <v>70</v>
      </c>
      <c r="H730">
        <v>35</v>
      </c>
      <c r="I730" s="2">
        <v>82.5</v>
      </c>
      <c r="J730" s="2">
        <v>52.66</v>
      </c>
      <c r="K730" s="2">
        <v>2887.5</v>
      </c>
      <c r="L730" s="2">
        <v>1843.1</v>
      </c>
      <c r="M730" s="2">
        <v>1044.4000000000001</v>
      </c>
      <c r="N730">
        <v>1</v>
      </c>
    </row>
    <row r="731" spans="1:14" x14ac:dyDescent="0.3">
      <c r="A731" s="1">
        <v>37932</v>
      </c>
      <c r="B731">
        <v>10177</v>
      </c>
      <c r="C731">
        <v>344</v>
      </c>
      <c r="D731" t="s">
        <v>174</v>
      </c>
      <c r="E731" t="s">
        <v>48</v>
      </c>
      <c r="F731" t="s">
        <v>71</v>
      </c>
      <c r="G731" t="s">
        <v>72</v>
      </c>
      <c r="H731">
        <v>50</v>
      </c>
      <c r="I731" s="2">
        <v>115.52</v>
      </c>
      <c r="J731" s="2">
        <v>82.34</v>
      </c>
      <c r="K731" s="2">
        <v>5776</v>
      </c>
      <c r="L731" s="2">
        <v>4117</v>
      </c>
      <c r="M731" s="2">
        <v>1659</v>
      </c>
      <c r="N731">
        <v>1</v>
      </c>
    </row>
    <row r="732" spans="1:14" x14ac:dyDescent="0.3">
      <c r="A732" s="1">
        <v>37932</v>
      </c>
      <c r="B732">
        <v>10177</v>
      </c>
      <c r="C732">
        <v>344</v>
      </c>
      <c r="D732" t="s">
        <v>174</v>
      </c>
      <c r="E732" t="s">
        <v>48</v>
      </c>
      <c r="F732" t="s">
        <v>15</v>
      </c>
      <c r="G732" t="s">
        <v>73</v>
      </c>
      <c r="H732">
        <v>45</v>
      </c>
      <c r="I732" s="2">
        <v>79.66</v>
      </c>
      <c r="J732" s="2">
        <v>46.91</v>
      </c>
      <c r="K732" s="2">
        <v>3584.7</v>
      </c>
      <c r="L732" s="2">
        <v>2110.9499999999998</v>
      </c>
      <c r="M732" s="2">
        <v>1473.75</v>
      </c>
      <c r="N732">
        <v>1</v>
      </c>
    </row>
    <row r="733" spans="1:14" x14ac:dyDescent="0.3">
      <c r="A733" s="1">
        <v>37932</v>
      </c>
      <c r="B733">
        <v>10177</v>
      </c>
      <c r="C733">
        <v>344</v>
      </c>
      <c r="D733" t="s">
        <v>174</v>
      </c>
      <c r="E733" t="s">
        <v>48</v>
      </c>
      <c r="F733" t="s">
        <v>71</v>
      </c>
      <c r="G733" t="s">
        <v>75</v>
      </c>
      <c r="H733">
        <v>24</v>
      </c>
      <c r="I733" s="2">
        <v>58.67</v>
      </c>
      <c r="J733" s="2">
        <v>34</v>
      </c>
      <c r="K733" s="2">
        <v>1408.08</v>
      </c>
      <c r="L733" s="2">
        <v>816</v>
      </c>
      <c r="M733" s="2">
        <v>592.08000000000004</v>
      </c>
      <c r="N733">
        <v>1</v>
      </c>
    </row>
    <row r="734" spans="1:14" x14ac:dyDescent="0.3">
      <c r="A734" s="1">
        <v>37932</v>
      </c>
      <c r="B734">
        <v>10177</v>
      </c>
      <c r="C734">
        <v>344</v>
      </c>
      <c r="D734" t="s">
        <v>174</v>
      </c>
      <c r="E734" t="s">
        <v>48</v>
      </c>
      <c r="F734" t="s">
        <v>71</v>
      </c>
      <c r="G734" t="s">
        <v>76</v>
      </c>
      <c r="H734">
        <v>31</v>
      </c>
      <c r="I734" s="2">
        <v>77.95</v>
      </c>
      <c r="J734" s="2">
        <v>43.3</v>
      </c>
      <c r="K734" s="2">
        <v>2416.4499999999998</v>
      </c>
      <c r="L734" s="2">
        <v>1342.3</v>
      </c>
      <c r="M734" s="2">
        <v>1074.1500000000001</v>
      </c>
      <c r="N734">
        <v>1</v>
      </c>
    </row>
    <row r="735" spans="1:14" x14ac:dyDescent="0.3">
      <c r="A735" s="1">
        <v>37932</v>
      </c>
      <c r="B735">
        <v>10177</v>
      </c>
      <c r="C735">
        <v>344</v>
      </c>
      <c r="D735" t="s">
        <v>174</v>
      </c>
      <c r="E735" t="s">
        <v>48</v>
      </c>
      <c r="F735" t="s">
        <v>71</v>
      </c>
      <c r="G735" t="s">
        <v>77</v>
      </c>
      <c r="H735">
        <v>32</v>
      </c>
      <c r="I735" s="2">
        <v>64.33</v>
      </c>
      <c r="J735" s="2">
        <v>33.97</v>
      </c>
      <c r="K735" s="2">
        <v>2058.56</v>
      </c>
      <c r="L735" s="2">
        <v>1087.04</v>
      </c>
      <c r="M735" s="2">
        <v>971.52</v>
      </c>
      <c r="N735">
        <v>1</v>
      </c>
    </row>
    <row r="736" spans="1:14" x14ac:dyDescent="0.3">
      <c r="A736" s="1">
        <v>37932</v>
      </c>
      <c r="B736">
        <v>10177</v>
      </c>
      <c r="C736">
        <v>344</v>
      </c>
      <c r="D736" t="s">
        <v>174</v>
      </c>
      <c r="E736" t="s">
        <v>48</v>
      </c>
      <c r="F736" t="s">
        <v>71</v>
      </c>
      <c r="G736" t="s">
        <v>78</v>
      </c>
      <c r="H736">
        <v>44</v>
      </c>
      <c r="I736" s="2">
        <v>88.15</v>
      </c>
      <c r="J736" s="2">
        <v>51.09</v>
      </c>
      <c r="K736" s="2">
        <v>3878.6</v>
      </c>
      <c r="L736" s="2">
        <v>2247.96</v>
      </c>
      <c r="M736" s="2">
        <v>1630.64</v>
      </c>
      <c r="N736">
        <v>1</v>
      </c>
    </row>
    <row r="737" spans="1:14" x14ac:dyDescent="0.3">
      <c r="A737" s="1">
        <v>37932</v>
      </c>
      <c r="B737">
        <v>10177</v>
      </c>
      <c r="C737">
        <v>344</v>
      </c>
      <c r="D737" t="s">
        <v>174</v>
      </c>
      <c r="E737" t="s">
        <v>48</v>
      </c>
      <c r="F737" t="s">
        <v>71</v>
      </c>
      <c r="G737" t="s">
        <v>79</v>
      </c>
      <c r="H737">
        <v>24</v>
      </c>
      <c r="I737" s="2">
        <v>83.42</v>
      </c>
      <c r="J737" s="2">
        <v>53.63</v>
      </c>
      <c r="K737" s="2">
        <v>2002.08</v>
      </c>
      <c r="L737" s="2">
        <v>1287.1199999999999</v>
      </c>
      <c r="M737" s="2">
        <v>714.96</v>
      </c>
      <c r="N737">
        <v>1</v>
      </c>
    </row>
    <row r="738" spans="1:14" x14ac:dyDescent="0.3">
      <c r="A738" s="1">
        <v>37932</v>
      </c>
      <c r="B738">
        <v>10177</v>
      </c>
      <c r="C738">
        <v>344</v>
      </c>
      <c r="D738" t="s">
        <v>174</v>
      </c>
      <c r="E738" t="s">
        <v>48</v>
      </c>
      <c r="F738" t="s">
        <v>71</v>
      </c>
      <c r="G738" t="s">
        <v>80</v>
      </c>
      <c r="H738">
        <v>40</v>
      </c>
      <c r="I738" s="2">
        <v>52.96</v>
      </c>
      <c r="J738" s="2">
        <v>33.299999999999997</v>
      </c>
      <c r="K738" s="2">
        <v>2118.4</v>
      </c>
      <c r="L738" s="2">
        <v>1332</v>
      </c>
      <c r="M738" s="2">
        <v>786.4</v>
      </c>
      <c r="N738">
        <v>1</v>
      </c>
    </row>
    <row r="739" spans="1:14" x14ac:dyDescent="0.3">
      <c r="A739" s="1">
        <v>37933</v>
      </c>
      <c r="B739">
        <v>10178</v>
      </c>
      <c r="C739">
        <v>242</v>
      </c>
      <c r="D739" t="s">
        <v>161</v>
      </c>
      <c r="E739" t="s">
        <v>144</v>
      </c>
      <c r="F739" t="s">
        <v>29</v>
      </c>
      <c r="G739" t="s">
        <v>65</v>
      </c>
      <c r="H739">
        <v>24</v>
      </c>
      <c r="I739" s="2">
        <v>131.91999999999999</v>
      </c>
      <c r="J739" s="2">
        <v>85.68</v>
      </c>
      <c r="K739" s="2">
        <v>3166.08</v>
      </c>
      <c r="L739" s="2">
        <v>2056.3200000000002</v>
      </c>
      <c r="M739" s="2">
        <v>1109.76</v>
      </c>
      <c r="N739">
        <v>2</v>
      </c>
    </row>
    <row r="740" spans="1:14" x14ac:dyDescent="0.3">
      <c r="A740" s="1">
        <v>37933</v>
      </c>
      <c r="B740">
        <v>10178</v>
      </c>
      <c r="C740">
        <v>242</v>
      </c>
      <c r="D740" t="s">
        <v>161</v>
      </c>
      <c r="E740" t="s">
        <v>144</v>
      </c>
      <c r="F740" t="s">
        <v>83</v>
      </c>
      <c r="G740" t="s">
        <v>84</v>
      </c>
      <c r="H740">
        <v>42</v>
      </c>
      <c r="I740" s="2">
        <v>127.73</v>
      </c>
      <c r="J740" s="2">
        <v>77.27</v>
      </c>
      <c r="K740" s="2">
        <v>5364.66</v>
      </c>
      <c r="L740" s="2">
        <v>3245.34</v>
      </c>
      <c r="M740" s="2">
        <v>2119.3200000000002</v>
      </c>
      <c r="N740">
        <v>2</v>
      </c>
    </row>
    <row r="741" spans="1:14" x14ac:dyDescent="0.3">
      <c r="A741" s="1">
        <v>37933</v>
      </c>
      <c r="B741">
        <v>10178</v>
      </c>
      <c r="C741">
        <v>242</v>
      </c>
      <c r="D741" t="s">
        <v>161</v>
      </c>
      <c r="E741" t="s">
        <v>144</v>
      </c>
      <c r="F741" t="s">
        <v>71</v>
      </c>
      <c r="G741" t="s">
        <v>86</v>
      </c>
      <c r="H741">
        <v>41</v>
      </c>
      <c r="I741" s="2">
        <v>70.540000000000006</v>
      </c>
      <c r="J741" s="2">
        <v>51.61</v>
      </c>
      <c r="K741" s="2">
        <v>2892.14</v>
      </c>
      <c r="L741" s="2">
        <v>2116.0100000000002</v>
      </c>
      <c r="M741" s="2">
        <v>776.13</v>
      </c>
      <c r="N741">
        <v>2</v>
      </c>
    </row>
    <row r="742" spans="1:14" x14ac:dyDescent="0.3">
      <c r="A742" s="1">
        <v>37933</v>
      </c>
      <c r="B742">
        <v>10178</v>
      </c>
      <c r="C742">
        <v>242</v>
      </c>
      <c r="D742" t="s">
        <v>161</v>
      </c>
      <c r="E742" t="s">
        <v>144</v>
      </c>
      <c r="F742" t="s">
        <v>15</v>
      </c>
      <c r="G742" t="s">
        <v>87</v>
      </c>
      <c r="H742">
        <v>48</v>
      </c>
      <c r="I742" s="2">
        <v>104.81</v>
      </c>
      <c r="J742" s="2">
        <v>64.58</v>
      </c>
      <c r="K742" s="2">
        <v>5030.88</v>
      </c>
      <c r="L742" s="2">
        <v>3099.84</v>
      </c>
      <c r="M742" s="2">
        <v>1931.04</v>
      </c>
      <c r="N742">
        <v>2</v>
      </c>
    </row>
    <row r="743" spans="1:14" x14ac:dyDescent="0.3">
      <c r="A743" s="1">
        <v>37933</v>
      </c>
      <c r="B743">
        <v>10178</v>
      </c>
      <c r="C743">
        <v>242</v>
      </c>
      <c r="D743" t="s">
        <v>161</v>
      </c>
      <c r="E743" t="s">
        <v>144</v>
      </c>
      <c r="F743" t="s">
        <v>83</v>
      </c>
      <c r="G743" t="s">
        <v>89</v>
      </c>
      <c r="H743">
        <v>34</v>
      </c>
      <c r="I743" s="2">
        <v>67.819999999999993</v>
      </c>
      <c r="J743" s="2">
        <v>34.25</v>
      </c>
      <c r="K743" s="2">
        <v>2305.88</v>
      </c>
      <c r="L743" s="2">
        <v>1164.5</v>
      </c>
      <c r="M743" s="2">
        <v>1141.3800000000001</v>
      </c>
      <c r="N743">
        <v>2</v>
      </c>
    </row>
    <row r="744" spans="1:14" x14ac:dyDescent="0.3">
      <c r="A744" s="1">
        <v>37933</v>
      </c>
      <c r="B744">
        <v>10178</v>
      </c>
      <c r="C744">
        <v>242</v>
      </c>
      <c r="D744" t="s">
        <v>161</v>
      </c>
      <c r="E744" t="s">
        <v>144</v>
      </c>
      <c r="F744" t="s">
        <v>15</v>
      </c>
      <c r="G744" t="s">
        <v>90</v>
      </c>
      <c r="H744">
        <v>27</v>
      </c>
      <c r="I744" s="2">
        <v>65.75</v>
      </c>
      <c r="J744" s="2">
        <v>26.3</v>
      </c>
      <c r="K744" s="2">
        <v>1775.25</v>
      </c>
      <c r="L744" s="2">
        <v>710.1</v>
      </c>
      <c r="M744" s="2">
        <v>1065.1500000000001</v>
      </c>
      <c r="N744">
        <v>2</v>
      </c>
    </row>
    <row r="745" spans="1:14" x14ac:dyDescent="0.3">
      <c r="A745" s="1">
        <v>37933</v>
      </c>
      <c r="B745">
        <v>10178</v>
      </c>
      <c r="C745">
        <v>242</v>
      </c>
      <c r="D745" t="s">
        <v>161</v>
      </c>
      <c r="E745" t="s">
        <v>144</v>
      </c>
      <c r="F745" t="s">
        <v>15</v>
      </c>
      <c r="G745" t="s">
        <v>74</v>
      </c>
      <c r="H745">
        <v>21</v>
      </c>
      <c r="I745" s="2">
        <v>68.77</v>
      </c>
      <c r="J745" s="2">
        <v>48.64</v>
      </c>
      <c r="K745" s="2">
        <v>1444.17</v>
      </c>
      <c r="L745" s="2">
        <v>1021.44</v>
      </c>
      <c r="M745" s="2">
        <v>422.73</v>
      </c>
      <c r="N745">
        <v>2</v>
      </c>
    </row>
    <row r="746" spans="1:14" x14ac:dyDescent="0.3">
      <c r="A746" s="1">
        <v>37933</v>
      </c>
      <c r="B746">
        <v>10178</v>
      </c>
      <c r="C746">
        <v>242</v>
      </c>
      <c r="D746" t="s">
        <v>161</v>
      </c>
      <c r="E746" t="s">
        <v>144</v>
      </c>
      <c r="F746" t="s">
        <v>83</v>
      </c>
      <c r="G746" t="s">
        <v>91</v>
      </c>
      <c r="H746">
        <v>30</v>
      </c>
      <c r="I746" s="2">
        <v>64.150000000000006</v>
      </c>
      <c r="J746" s="2">
        <v>29.34</v>
      </c>
      <c r="K746" s="2">
        <v>1924.5</v>
      </c>
      <c r="L746" s="2">
        <v>880.2</v>
      </c>
      <c r="M746" s="2">
        <v>1044.3</v>
      </c>
      <c r="N746">
        <v>2</v>
      </c>
    </row>
    <row r="747" spans="1:14" x14ac:dyDescent="0.3">
      <c r="A747" s="1">
        <v>37933</v>
      </c>
      <c r="B747">
        <v>10178</v>
      </c>
      <c r="C747">
        <v>242</v>
      </c>
      <c r="D747" t="s">
        <v>161</v>
      </c>
      <c r="E747" t="s">
        <v>144</v>
      </c>
      <c r="F747" t="s">
        <v>71</v>
      </c>
      <c r="G747" t="s">
        <v>96</v>
      </c>
      <c r="H747">
        <v>34</v>
      </c>
      <c r="I747" s="2">
        <v>86.9</v>
      </c>
      <c r="J747" s="2">
        <v>39.83</v>
      </c>
      <c r="K747" s="2">
        <v>2954.6</v>
      </c>
      <c r="L747" s="2">
        <v>1354.22</v>
      </c>
      <c r="M747" s="2">
        <v>1600.38</v>
      </c>
      <c r="N747">
        <v>2</v>
      </c>
    </row>
    <row r="748" spans="1:14" x14ac:dyDescent="0.3">
      <c r="A748" s="1">
        <v>37933</v>
      </c>
      <c r="B748">
        <v>10178</v>
      </c>
      <c r="C748">
        <v>242</v>
      </c>
      <c r="D748" t="s">
        <v>161</v>
      </c>
      <c r="E748" t="s">
        <v>144</v>
      </c>
      <c r="F748" t="s">
        <v>83</v>
      </c>
      <c r="G748" t="s">
        <v>97</v>
      </c>
      <c r="H748">
        <v>22</v>
      </c>
      <c r="I748" s="2">
        <v>91.74</v>
      </c>
      <c r="J748" s="2">
        <v>68.8</v>
      </c>
      <c r="K748" s="2">
        <v>2018.28</v>
      </c>
      <c r="L748" s="2">
        <v>1513.6</v>
      </c>
      <c r="M748" s="2">
        <v>504.68</v>
      </c>
      <c r="N748">
        <v>2</v>
      </c>
    </row>
    <row r="749" spans="1:14" x14ac:dyDescent="0.3">
      <c r="A749" s="1">
        <v>37933</v>
      </c>
      <c r="B749">
        <v>10178</v>
      </c>
      <c r="C749">
        <v>242</v>
      </c>
      <c r="D749" t="s">
        <v>161</v>
      </c>
      <c r="E749" t="s">
        <v>144</v>
      </c>
      <c r="F749" t="s">
        <v>83</v>
      </c>
      <c r="G749" t="s">
        <v>100</v>
      </c>
      <c r="H749">
        <v>45</v>
      </c>
      <c r="I749" s="2">
        <v>68.11</v>
      </c>
      <c r="J749" s="2">
        <v>36.270000000000003</v>
      </c>
      <c r="K749" s="2">
        <v>3064.95</v>
      </c>
      <c r="L749" s="2">
        <v>1632.15</v>
      </c>
      <c r="M749" s="2">
        <v>1432.8</v>
      </c>
      <c r="N749">
        <v>2</v>
      </c>
    </row>
    <row r="750" spans="1:14" x14ac:dyDescent="0.3">
      <c r="A750" s="1">
        <v>37933</v>
      </c>
      <c r="B750">
        <v>10178</v>
      </c>
      <c r="C750">
        <v>242</v>
      </c>
      <c r="D750" t="s">
        <v>161</v>
      </c>
      <c r="E750" t="s">
        <v>144</v>
      </c>
      <c r="F750" t="s">
        <v>83</v>
      </c>
      <c r="G750" t="s">
        <v>101</v>
      </c>
      <c r="H750">
        <v>45</v>
      </c>
      <c r="I750" s="2">
        <v>41.71</v>
      </c>
      <c r="J750" s="2">
        <v>32.770000000000003</v>
      </c>
      <c r="K750" s="2">
        <v>1876.95</v>
      </c>
      <c r="L750" s="2">
        <v>1474.65</v>
      </c>
      <c r="M750" s="2">
        <v>402.3</v>
      </c>
      <c r="N750">
        <v>2</v>
      </c>
    </row>
    <row r="751" spans="1:14" x14ac:dyDescent="0.3">
      <c r="A751" s="1">
        <v>37936</v>
      </c>
      <c r="B751">
        <v>10180</v>
      </c>
      <c r="C751">
        <v>171</v>
      </c>
      <c r="D751" t="s">
        <v>175</v>
      </c>
      <c r="E751" t="s">
        <v>144</v>
      </c>
      <c r="F751" t="s">
        <v>102</v>
      </c>
      <c r="G751" t="s">
        <v>103</v>
      </c>
      <c r="H751">
        <v>29</v>
      </c>
      <c r="I751" s="2">
        <v>76.56</v>
      </c>
      <c r="J751" s="2">
        <v>48.81</v>
      </c>
      <c r="K751" s="2">
        <v>2220.2399999999998</v>
      </c>
      <c r="L751" s="2">
        <v>1415.49</v>
      </c>
      <c r="M751" s="2">
        <v>804.75</v>
      </c>
      <c r="N751">
        <v>1</v>
      </c>
    </row>
    <row r="752" spans="1:14" x14ac:dyDescent="0.3">
      <c r="A752" s="1">
        <v>37936</v>
      </c>
      <c r="B752">
        <v>10180</v>
      </c>
      <c r="C752">
        <v>171</v>
      </c>
      <c r="D752" t="s">
        <v>175</v>
      </c>
      <c r="E752" t="s">
        <v>144</v>
      </c>
      <c r="F752" t="s">
        <v>102</v>
      </c>
      <c r="G752" t="s">
        <v>104</v>
      </c>
      <c r="H752">
        <v>42</v>
      </c>
      <c r="I752" s="2">
        <v>99.91</v>
      </c>
      <c r="J752" s="2">
        <v>68.989999999999995</v>
      </c>
      <c r="K752" s="2">
        <v>4196.22</v>
      </c>
      <c r="L752" s="2">
        <v>2897.58</v>
      </c>
      <c r="M752" s="2">
        <v>1298.6400000000001</v>
      </c>
      <c r="N752">
        <v>1</v>
      </c>
    </row>
    <row r="753" spans="1:14" x14ac:dyDescent="0.3">
      <c r="A753" s="1">
        <v>37936</v>
      </c>
      <c r="B753">
        <v>10180</v>
      </c>
      <c r="C753">
        <v>171</v>
      </c>
      <c r="D753" t="s">
        <v>175</v>
      </c>
      <c r="E753" t="s">
        <v>144</v>
      </c>
      <c r="F753" t="s">
        <v>102</v>
      </c>
      <c r="G753" t="s">
        <v>105</v>
      </c>
      <c r="H753">
        <v>41</v>
      </c>
      <c r="I753" s="2">
        <v>164.61</v>
      </c>
      <c r="J753" s="2">
        <v>91.02</v>
      </c>
      <c r="K753" s="2">
        <v>6749.01</v>
      </c>
      <c r="L753" s="2">
        <v>3731.82</v>
      </c>
      <c r="M753" s="2">
        <v>3017.19</v>
      </c>
      <c r="N753">
        <v>1</v>
      </c>
    </row>
    <row r="754" spans="1:14" x14ac:dyDescent="0.3">
      <c r="A754" s="1">
        <v>37936</v>
      </c>
      <c r="B754">
        <v>10180</v>
      </c>
      <c r="C754">
        <v>171</v>
      </c>
      <c r="D754" t="s">
        <v>175</v>
      </c>
      <c r="E754" t="s">
        <v>144</v>
      </c>
      <c r="F754" t="s">
        <v>102</v>
      </c>
      <c r="G754" t="s">
        <v>106</v>
      </c>
      <c r="H754">
        <v>40</v>
      </c>
      <c r="I754" s="2">
        <v>131.04</v>
      </c>
      <c r="J754" s="2">
        <v>66.27</v>
      </c>
      <c r="K754" s="2">
        <v>5241.6000000000004</v>
      </c>
      <c r="L754" s="2">
        <v>2650.8</v>
      </c>
      <c r="M754" s="2">
        <v>2590.8000000000002</v>
      </c>
      <c r="N754">
        <v>1</v>
      </c>
    </row>
    <row r="755" spans="1:14" x14ac:dyDescent="0.3">
      <c r="A755" s="1">
        <v>37936</v>
      </c>
      <c r="B755">
        <v>10180</v>
      </c>
      <c r="C755">
        <v>171</v>
      </c>
      <c r="D755" t="s">
        <v>175</v>
      </c>
      <c r="E755" t="s">
        <v>144</v>
      </c>
      <c r="F755" t="s">
        <v>102</v>
      </c>
      <c r="G755" t="s">
        <v>107</v>
      </c>
      <c r="H755">
        <v>25</v>
      </c>
      <c r="I755" s="2">
        <v>48.46</v>
      </c>
      <c r="J755" s="2">
        <v>24.23</v>
      </c>
      <c r="K755" s="2">
        <v>1211.5</v>
      </c>
      <c r="L755" s="2">
        <v>605.75</v>
      </c>
      <c r="M755" s="2">
        <v>605.75</v>
      </c>
      <c r="N755">
        <v>1</v>
      </c>
    </row>
    <row r="756" spans="1:14" x14ac:dyDescent="0.3">
      <c r="A756" s="1">
        <v>37936</v>
      </c>
      <c r="B756">
        <v>10180</v>
      </c>
      <c r="C756">
        <v>171</v>
      </c>
      <c r="D756" t="s">
        <v>175</v>
      </c>
      <c r="E756" t="s">
        <v>144</v>
      </c>
      <c r="F756" t="s">
        <v>102</v>
      </c>
      <c r="G756" t="s">
        <v>119</v>
      </c>
      <c r="H756">
        <v>21</v>
      </c>
      <c r="I756" s="2">
        <v>59.06</v>
      </c>
      <c r="J756" s="2">
        <v>32.950000000000003</v>
      </c>
      <c r="K756" s="2">
        <v>1240.26</v>
      </c>
      <c r="L756" s="2">
        <v>691.95</v>
      </c>
      <c r="M756" s="2">
        <v>548.30999999999995</v>
      </c>
      <c r="N756">
        <v>1</v>
      </c>
    </row>
    <row r="757" spans="1:14" x14ac:dyDescent="0.3">
      <c r="A757" s="1">
        <v>37936</v>
      </c>
      <c r="B757">
        <v>10180</v>
      </c>
      <c r="C757">
        <v>171</v>
      </c>
      <c r="D757" t="s">
        <v>175</v>
      </c>
      <c r="E757" t="s">
        <v>144</v>
      </c>
      <c r="F757" t="s">
        <v>29</v>
      </c>
      <c r="G757" t="s">
        <v>120</v>
      </c>
      <c r="H757">
        <v>44</v>
      </c>
      <c r="I757" s="2">
        <v>147.31</v>
      </c>
      <c r="J757" s="2">
        <v>69.930000000000007</v>
      </c>
      <c r="K757" s="2">
        <v>6481.64</v>
      </c>
      <c r="L757" s="2">
        <v>3076.92</v>
      </c>
      <c r="M757" s="2">
        <v>3404.72</v>
      </c>
      <c r="N757">
        <v>1</v>
      </c>
    </row>
    <row r="758" spans="1:14" x14ac:dyDescent="0.3">
      <c r="A758" s="1">
        <v>37936</v>
      </c>
      <c r="B758">
        <v>10180</v>
      </c>
      <c r="C758">
        <v>171</v>
      </c>
      <c r="D758" t="s">
        <v>175</v>
      </c>
      <c r="E758" t="s">
        <v>144</v>
      </c>
      <c r="F758" t="s">
        <v>102</v>
      </c>
      <c r="G758" t="s">
        <v>108</v>
      </c>
      <c r="H758">
        <v>48</v>
      </c>
      <c r="I758" s="2">
        <v>98.05</v>
      </c>
      <c r="J758" s="2">
        <v>60.86</v>
      </c>
      <c r="K758" s="2">
        <v>4706.3999999999996</v>
      </c>
      <c r="L758" s="2">
        <v>2921.28</v>
      </c>
      <c r="M758" s="2">
        <v>1785.12</v>
      </c>
      <c r="N758">
        <v>1</v>
      </c>
    </row>
    <row r="759" spans="1:14" x14ac:dyDescent="0.3">
      <c r="A759" s="1">
        <v>37936</v>
      </c>
      <c r="B759">
        <v>10180</v>
      </c>
      <c r="C759">
        <v>171</v>
      </c>
      <c r="D759" t="s">
        <v>175</v>
      </c>
      <c r="E759" t="s">
        <v>144</v>
      </c>
      <c r="F759" t="s">
        <v>102</v>
      </c>
      <c r="G759" t="s">
        <v>109</v>
      </c>
      <c r="H759">
        <v>28</v>
      </c>
      <c r="I759" s="2">
        <v>61.7</v>
      </c>
      <c r="J759" s="2">
        <v>37.32</v>
      </c>
      <c r="K759" s="2">
        <v>1727.6</v>
      </c>
      <c r="L759" s="2">
        <v>1044.96</v>
      </c>
      <c r="M759" s="2">
        <v>682.64</v>
      </c>
      <c r="N759">
        <v>1</v>
      </c>
    </row>
    <row r="760" spans="1:14" x14ac:dyDescent="0.3">
      <c r="A760" s="1">
        <v>37936</v>
      </c>
      <c r="B760">
        <v>10180</v>
      </c>
      <c r="C760">
        <v>171</v>
      </c>
      <c r="D760" t="s">
        <v>175</v>
      </c>
      <c r="E760" t="s">
        <v>144</v>
      </c>
      <c r="F760" t="s">
        <v>102</v>
      </c>
      <c r="G760" t="s">
        <v>121</v>
      </c>
      <c r="H760">
        <v>35</v>
      </c>
      <c r="I760" s="2">
        <v>60.95</v>
      </c>
      <c r="J760" s="2">
        <v>47.1</v>
      </c>
      <c r="K760" s="2">
        <v>2133.25</v>
      </c>
      <c r="L760" s="2">
        <v>1648.5</v>
      </c>
      <c r="M760" s="2">
        <v>484.75</v>
      </c>
      <c r="N760">
        <v>1</v>
      </c>
    </row>
    <row r="761" spans="1:14" x14ac:dyDescent="0.3">
      <c r="A761" s="1">
        <v>37936</v>
      </c>
      <c r="B761">
        <v>10180</v>
      </c>
      <c r="C761">
        <v>171</v>
      </c>
      <c r="D761" t="s">
        <v>175</v>
      </c>
      <c r="E761" t="s">
        <v>144</v>
      </c>
      <c r="F761" t="s">
        <v>29</v>
      </c>
      <c r="G761" t="s">
        <v>124</v>
      </c>
      <c r="H761">
        <v>28</v>
      </c>
      <c r="I761" s="2">
        <v>68.709999999999994</v>
      </c>
      <c r="J761" s="2">
        <v>32.33</v>
      </c>
      <c r="K761" s="2">
        <v>1923.88</v>
      </c>
      <c r="L761" s="2">
        <v>905.24</v>
      </c>
      <c r="M761" s="2">
        <v>1018.64</v>
      </c>
      <c r="N761">
        <v>1</v>
      </c>
    </row>
    <row r="762" spans="1:14" x14ac:dyDescent="0.3">
      <c r="A762" s="1">
        <v>37936</v>
      </c>
      <c r="B762">
        <v>10180</v>
      </c>
      <c r="C762">
        <v>171</v>
      </c>
      <c r="D762" t="s">
        <v>175</v>
      </c>
      <c r="E762" t="s">
        <v>144</v>
      </c>
      <c r="F762" t="s">
        <v>102</v>
      </c>
      <c r="G762" t="s">
        <v>125</v>
      </c>
      <c r="H762">
        <v>34</v>
      </c>
      <c r="I762" s="2">
        <v>33.39</v>
      </c>
      <c r="J762" s="2">
        <v>24.14</v>
      </c>
      <c r="K762" s="2">
        <v>1135.26</v>
      </c>
      <c r="L762" s="2">
        <v>820.76</v>
      </c>
      <c r="M762" s="2">
        <v>314.5</v>
      </c>
      <c r="N762">
        <v>1</v>
      </c>
    </row>
    <row r="763" spans="1:14" x14ac:dyDescent="0.3">
      <c r="A763" s="1">
        <v>37936</v>
      </c>
      <c r="B763">
        <v>10180</v>
      </c>
      <c r="C763">
        <v>171</v>
      </c>
      <c r="D763" t="s">
        <v>175</v>
      </c>
      <c r="E763" t="s">
        <v>144</v>
      </c>
      <c r="F763" t="s">
        <v>102</v>
      </c>
      <c r="G763" t="s">
        <v>126</v>
      </c>
      <c r="H763">
        <v>22</v>
      </c>
      <c r="I763" s="2">
        <v>102.05</v>
      </c>
      <c r="J763" s="2">
        <v>56.13</v>
      </c>
      <c r="K763" s="2">
        <v>2245.1</v>
      </c>
      <c r="L763" s="2">
        <v>1234.8599999999999</v>
      </c>
      <c r="M763" s="2">
        <v>1010.24</v>
      </c>
      <c r="N763">
        <v>1</v>
      </c>
    </row>
    <row r="764" spans="1:14" x14ac:dyDescent="0.3">
      <c r="A764" s="1">
        <v>37936</v>
      </c>
      <c r="B764">
        <v>10180</v>
      </c>
      <c r="C764">
        <v>171</v>
      </c>
      <c r="D764" t="s">
        <v>175</v>
      </c>
      <c r="E764" t="s">
        <v>144</v>
      </c>
      <c r="F764" t="s">
        <v>102</v>
      </c>
      <c r="G764" t="s">
        <v>127</v>
      </c>
      <c r="H764">
        <v>21</v>
      </c>
      <c r="I764" s="2">
        <v>74.849999999999994</v>
      </c>
      <c r="J764" s="2">
        <v>34.17</v>
      </c>
      <c r="K764" s="2">
        <v>1571.85</v>
      </c>
      <c r="L764" s="2">
        <v>717.57</v>
      </c>
      <c r="M764" s="2">
        <v>854.28</v>
      </c>
      <c r="N764">
        <v>1</v>
      </c>
    </row>
    <row r="765" spans="1:14" x14ac:dyDescent="0.3">
      <c r="A765" s="1">
        <v>37936</v>
      </c>
      <c r="B765">
        <v>10179</v>
      </c>
      <c r="C765">
        <v>496</v>
      </c>
      <c r="D765" t="s">
        <v>162</v>
      </c>
      <c r="E765" t="s">
        <v>159</v>
      </c>
      <c r="F765" t="s">
        <v>83</v>
      </c>
      <c r="G765" t="s">
        <v>85</v>
      </c>
      <c r="H765">
        <v>24</v>
      </c>
      <c r="I765" s="2">
        <v>82.79</v>
      </c>
      <c r="J765" s="2">
        <v>49</v>
      </c>
      <c r="K765" s="2">
        <v>1986.96</v>
      </c>
      <c r="L765" s="2">
        <v>1176</v>
      </c>
      <c r="M765" s="2">
        <v>810.96</v>
      </c>
      <c r="N765">
        <v>2</v>
      </c>
    </row>
    <row r="766" spans="1:14" x14ac:dyDescent="0.3">
      <c r="A766" s="1">
        <v>37936</v>
      </c>
      <c r="B766">
        <v>10179</v>
      </c>
      <c r="C766">
        <v>496</v>
      </c>
      <c r="D766" t="s">
        <v>162</v>
      </c>
      <c r="E766" t="s">
        <v>159</v>
      </c>
      <c r="F766" t="s">
        <v>83</v>
      </c>
      <c r="G766" t="s">
        <v>88</v>
      </c>
      <c r="H766">
        <v>47</v>
      </c>
      <c r="I766" s="2">
        <v>105.04</v>
      </c>
      <c r="J766" s="2">
        <v>66.739999999999995</v>
      </c>
      <c r="K766" s="2">
        <v>4936.88</v>
      </c>
      <c r="L766" s="2">
        <v>3136.78</v>
      </c>
      <c r="M766" s="2">
        <v>1800.1</v>
      </c>
      <c r="N766">
        <v>2</v>
      </c>
    </row>
    <row r="767" spans="1:14" x14ac:dyDescent="0.3">
      <c r="A767" s="1">
        <v>37936</v>
      </c>
      <c r="B767">
        <v>10179</v>
      </c>
      <c r="C767">
        <v>496</v>
      </c>
      <c r="D767" t="s">
        <v>162</v>
      </c>
      <c r="E767" t="s">
        <v>159</v>
      </c>
      <c r="F767" t="s">
        <v>83</v>
      </c>
      <c r="G767" t="s">
        <v>92</v>
      </c>
      <c r="H767">
        <v>27</v>
      </c>
      <c r="I767" s="2">
        <v>66.650000000000006</v>
      </c>
      <c r="J767" s="2">
        <v>36.229999999999997</v>
      </c>
      <c r="K767" s="2">
        <v>1799.55</v>
      </c>
      <c r="L767" s="2">
        <v>978.21</v>
      </c>
      <c r="M767" s="2">
        <v>821.34</v>
      </c>
      <c r="N767">
        <v>2</v>
      </c>
    </row>
    <row r="768" spans="1:14" x14ac:dyDescent="0.3">
      <c r="A768" s="1">
        <v>37936</v>
      </c>
      <c r="B768">
        <v>10179</v>
      </c>
      <c r="C768">
        <v>496</v>
      </c>
      <c r="D768" t="s">
        <v>162</v>
      </c>
      <c r="E768" t="s">
        <v>159</v>
      </c>
      <c r="F768" t="s">
        <v>102</v>
      </c>
      <c r="G768" t="s">
        <v>110</v>
      </c>
      <c r="H768">
        <v>45</v>
      </c>
      <c r="I768" s="2">
        <v>86.9</v>
      </c>
      <c r="J768" s="2">
        <v>66.92</v>
      </c>
      <c r="K768" s="2">
        <v>3910.5</v>
      </c>
      <c r="L768" s="2">
        <v>3011.4</v>
      </c>
      <c r="M768" s="2">
        <v>899.1</v>
      </c>
      <c r="N768">
        <v>2</v>
      </c>
    </row>
    <row r="769" spans="1:14" x14ac:dyDescent="0.3">
      <c r="A769" s="1">
        <v>37936</v>
      </c>
      <c r="B769">
        <v>10179</v>
      </c>
      <c r="C769">
        <v>496</v>
      </c>
      <c r="D769" t="s">
        <v>162</v>
      </c>
      <c r="E769" t="s">
        <v>159</v>
      </c>
      <c r="F769" t="s">
        <v>15</v>
      </c>
      <c r="G769" t="s">
        <v>93</v>
      </c>
      <c r="H769">
        <v>24</v>
      </c>
      <c r="I769" s="2">
        <v>63.97</v>
      </c>
      <c r="J769" s="2">
        <v>33.020000000000003</v>
      </c>
      <c r="K769" s="2">
        <v>1535.28</v>
      </c>
      <c r="L769" s="2">
        <v>792.48</v>
      </c>
      <c r="M769" s="2">
        <v>742.8</v>
      </c>
      <c r="N769">
        <v>2</v>
      </c>
    </row>
    <row r="770" spans="1:14" x14ac:dyDescent="0.3">
      <c r="A770" s="1">
        <v>37936</v>
      </c>
      <c r="B770">
        <v>10179</v>
      </c>
      <c r="C770">
        <v>496</v>
      </c>
      <c r="D770" t="s">
        <v>162</v>
      </c>
      <c r="E770" t="s">
        <v>159</v>
      </c>
      <c r="F770" t="s">
        <v>15</v>
      </c>
      <c r="G770" t="s">
        <v>94</v>
      </c>
      <c r="H770">
        <v>34</v>
      </c>
      <c r="I770" s="2">
        <v>43.2</v>
      </c>
      <c r="J770" s="2">
        <v>27.06</v>
      </c>
      <c r="K770" s="2">
        <v>1468.8</v>
      </c>
      <c r="L770" s="2">
        <v>920.04</v>
      </c>
      <c r="M770" s="2">
        <v>548.76</v>
      </c>
      <c r="N770">
        <v>2</v>
      </c>
    </row>
    <row r="771" spans="1:14" x14ac:dyDescent="0.3">
      <c r="A771" s="1">
        <v>37936</v>
      </c>
      <c r="B771">
        <v>10179</v>
      </c>
      <c r="C771">
        <v>496</v>
      </c>
      <c r="D771" t="s">
        <v>162</v>
      </c>
      <c r="E771" t="s">
        <v>159</v>
      </c>
      <c r="F771" t="s">
        <v>83</v>
      </c>
      <c r="G771" t="s">
        <v>95</v>
      </c>
      <c r="H771">
        <v>23</v>
      </c>
      <c r="I771" s="2">
        <v>75.81</v>
      </c>
      <c r="J771" s="2">
        <v>51.15</v>
      </c>
      <c r="K771" s="2">
        <v>1743.63</v>
      </c>
      <c r="L771" s="2">
        <v>1176.45</v>
      </c>
      <c r="M771" s="2">
        <v>567.17999999999995</v>
      </c>
      <c r="N771">
        <v>2</v>
      </c>
    </row>
    <row r="772" spans="1:14" x14ac:dyDescent="0.3">
      <c r="A772" s="1">
        <v>37936</v>
      </c>
      <c r="B772">
        <v>10179</v>
      </c>
      <c r="C772">
        <v>496</v>
      </c>
      <c r="D772" t="s">
        <v>162</v>
      </c>
      <c r="E772" t="s">
        <v>159</v>
      </c>
      <c r="F772" t="s">
        <v>83</v>
      </c>
      <c r="G772" t="s">
        <v>98</v>
      </c>
      <c r="H772">
        <v>25</v>
      </c>
      <c r="I772" s="2">
        <v>98.48</v>
      </c>
      <c r="J772" s="2">
        <v>59.33</v>
      </c>
      <c r="K772" s="2">
        <v>2462</v>
      </c>
      <c r="L772" s="2">
        <v>1483.25</v>
      </c>
      <c r="M772" s="2">
        <v>978.75</v>
      </c>
      <c r="N772">
        <v>2</v>
      </c>
    </row>
    <row r="773" spans="1:14" x14ac:dyDescent="0.3">
      <c r="A773" s="1">
        <v>37936</v>
      </c>
      <c r="B773">
        <v>10179</v>
      </c>
      <c r="C773">
        <v>496</v>
      </c>
      <c r="D773" t="s">
        <v>162</v>
      </c>
      <c r="E773" t="s">
        <v>159</v>
      </c>
      <c r="F773" t="s">
        <v>83</v>
      </c>
      <c r="G773" t="s">
        <v>99</v>
      </c>
      <c r="H773">
        <v>39</v>
      </c>
      <c r="I773" s="2">
        <v>80</v>
      </c>
      <c r="J773" s="2">
        <v>54.4</v>
      </c>
      <c r="K773" s="2">
        <v>3120</v>
      </c>
      <c r="L773" s="2">
        <v>2121.6</v>
      </c>
      <c r="M773" s="2">
        <v>998.4</v>
      </c>
      <c r="N773">
        <v>2</v>
      </c>
    </row>
    <row r="774" spans="1:14" x14ac:dyDescent="0.3">
      <c r="A774" s="1">
        <v>37937</v>
      </c>
      <c r="B774">
        <v>10182</v>
      </c>
      <c r="C774">
        <v>124</v>
      </c>
      <c r="D774" t="s">
        <v>206</v>
      </c>
      <c r="E774" t="s">
        <v>14</v>
      </c>
      <c r="F774" t="s">
        <v>15</v>
      </c>
      <c r="G774" t="s">
        <v>25</v>
      </c>
      <c r="H774">
        <v>25</v>
      </c>
      <c r="I774" s="2">
        <v>83.22</v>
      </c>
      <c r="J774" s="2">
        <v>60.62</v>
      </c>
      <c r="K774" s="2">
        <v>2080.5</v>
      </c>
      <c r="L774" s="2">
        <v>1515.5</v>
      </c>
      <c r="M774" s="2">
        <v>565</v>
      </c>
      <c r="N774">
        <v>4</v>
      </c>
    </row>
    <row r="775" spans="1:14" x14ac:dyDescent="0.3">
      <c r="A775" s="1">
        <v>37937</v>
      </c>
      <c r="B775">
        <v>10182</v>
      </c>
      <c r="C775">
        <v>124</v>
      </c>
      <c r="D775" t="s">
        <v>206</v>
      </c>
      <c r="E775" t="s">
        <v>14</v>
      </c>
      <c r="F775" t="s">
        <v>15</v>
      </c>
      <c r="G775" t="s">
        <v>26</v>
      </c>
      <c r="H775">
        <v>32</v>
      </c>
      <c r="I775" s="2">
        <v>44.21</v>
      </c>
      <c r="J775" s="2">
        <v>24.26</v>
      </c>
      <c r="K775" s="2">
        <v>1414.72</v>
      </c>
      <c r="L775" s="2">
        <v>776.32</v>
      </c>
      <c r="M775" s="2">
        <v>638.4</v>
      </c>
      <c r="N775">
        <v>4</v>
      </c>
    </row>
    <row r="776" spans="1:14" x14ac:dyDescent="0.3">
      <c r="A776" s="1">
        <v>37937</v>
      </c>
      <c r="B776">
        <v>10182</v>
      </c>
      <c r="C776">
        <v>124</v>
      </c>
      <c r="D776" t="s">
        <v>206</v>
      </c>
      <c r="E776" t="s">
        <v>14</v>
      </c>
      <c r="F776" t="s">
        <v>15</v>
      </c>
      <c r="G776" t="s">
        <v>16</v>
      </c>
      <c r="H776">
        <v>44</v>
      </c>
      <c r="I776" s="2">
        <v>159.80000000000001</v>
      </c>
      <c r="J776" s="2">
        <v>86.7</v>
      </c>
      <c r="K776" s="2">
        <v>7031.2</v>
      </c>
      <c r="L776" s="2">
        <v>3814.8</v>
      </c>
      <c r="M776" s="2">
        <v>3216.4</v>
      </c>
      <c r="N776">
        <v>4</v>
      </c>
    </row>
    <row r="777" spans="1:14" x14ac:dyDescent="0.3">
      <c r="A777" s="1">
        <v>37937</v>
      </c>
      <c r="B777">
        <v>10182</v>
      </c>
      <c r="C777">
        <v>124</v>
      </c>
      <c r="D777" t="s">
        <v>206</v>
      </c>
      <c r="E777" t="s">
        <v>14</v>
      </c>
      <c r="F777" t="s">
        <v>15</v>
      </c>
      <c r="G777" t="s">
        <v>17</v>
      </c>
      <c r="H777">
        <v>38</v>
      </c>
      <c r="I777" s="2">
        <v>54.49</v>
      </c>
      <c r="J777" s="2">
        <v>33.299999999999997</v>
      </c>
      <c r="K777" s="2">
        <v>2070.62</v>
      </c>
      <c r="L777" s="2">
        <v>1265.4000000000001</v>
      </c>
      <c r="M777" s="2">
        <v>805.22</v>
      </c>
      <c r="N777">
        <v>4</v>
      </c>
    </row>
    <row r="778" spans="1:14" x14ac:dyDescent="0.3">
      <c r="A778" s="1">
        <v>37937</v>
      </c>
      <c r="B778">
        <v>10182</v>
      </c>
      <c r="C778">
        <v>124</v>
      </c>
      <c r="D778" t="s">
        <v>206</v>
      </c>
      <c r="E778" t="s">
        <v>14</v>
      </c>
      <c r="F778" t="s">
        <v>15</v>
      </c>
      <c r="G778" t="s">
        <v>21</v>
      </c>
      <c r="H778">
        <v>20</v>
      </c>
      <c r="I778" s="2">
        <v>105.52</v>
      </c>
      <c r="J778" s="2">
        <v>58.48</v>
      </c>
      <c r="K778" s="2">
        <v>2110.4</v>
      </c>
      <c r="L778" s="2">
        <v>1169.5999999999999</v>
      </c>
      <c r="M778" s="2">
        <v>940.8</v>
      </c>
      <c r="N778">
        <v>4</v>
      </c>
    </row>
    <row r="779" spans="1:14" x14ac:dyDescent="0.3">
      <c r="A779" s="1">
        <v>37937</v>
      </c>
      <c r="B779">
        <v>10182</v>
      </c>
      <c r="C779">
        <v>124</v>
      </c>
      <c r="D779" t="s">
        <v>206</v>
      </c>
      <c r="E779" t="s">
        <v>14</v>
      </c>
      <c r="F779" t="s">
        <v>15</v>
      </c>
      <c r="G779" t="s">
        <v>22</v>
      </c>
      <c r="H779">
        <v>21</v>
      </c>
      <c r="I779" s="2">
        <v>135</v>
      </c>
      <c r="J779" s="2">
        <v>72.56</v>
      </c>
      <c r="K779" s="2">
        <v>2835</v>
      </c>
      <c r="L779" s="2">
        <v>1523.76</v>
      </c>
      <c r="M779" s="2">
        <v>1311.24</v>
      </c>
      <c r="N779">
        <v>4</v>
      </c>
    </row>
    <row r="780" spans="1:14" x14ac:dyDescent="0.3">
      <c r="A780" s="1">
        <v>37937</v>
      </c>
      <c r="B780">
        <v>10182</v>
      </c>
      <c r="C780">
        <v>124</v>
      </c>
      <c r="D780" t="s">
        <v>206</v>
      </c>
      <c r="E780" t="s">
        <v>14</v>
      </c>
      <c r="F780" t="s">
        <v>15</v>
      </c>
      <c r="G780" t="s">
        <v>39</v>
      </c>
      <c r="H780">
        <v>33</v>
      </c>
      <c r="I780" s="2">
        <v>86.31</v>
      </c>
      <c r="J780" s="2">
        <v>57.54</v>
      </c>
      <c r="K780" s="2">
        <v>2848.23</v>
      </c>
      <c r="L780" s="2">
        <v>1898.82</v>
      </c>
      <c r="M780" s="2">
        <v>949.41</v>
      </c>
      <c r="N780">
        <v>4</v>
      </c>
    </row>
    <row r="781" spans="1:14" x14ac:dyDescent="0.3">
      <c r="A781" s="1">
        <v>37937</v>
      </c>
      <c r="B781">
        <v>10182</v>
      </c>
      <c r="C781">
        <v>124</v>
      </c>
      <c r="D781" t="s">
        <v>206</v>
      </c>
      <c r="E781" t="s">
        <v>14</v>
      </c>
      <c r="F781" t="s">
        <v>15</v>
      </c>
      <c r="G781" t="s">
        <v>18</v>
      </c>
      <c r="H781">
        <v>36</v>
      </c>
      <c r="I781" s="2">
        <v>88.35</v>
      </c>
      <c r="J781" s="2">
        <v>43.26</v>
      </c>
      <c r="K781" s="2">
        <v>3180.6</v>
      </c>
      <c r="L781" s="2">
        <v>1557.36</v>
      </c>
      <c r="M781" s="2">
        <v>1623.24</v>
      </c>
      <c r="N781">
        <v>4</v>
      </c>
    </row>
    <row r="782" spans="1:14" x14ac:dyDescent="0.3">
      <c r="A782" s="1">
        <v>37937</v>
      </c>
      <c r="B782">
        <v>10182</v>
      </c>
      <c r="C782">
        <v>124</v>
      </c>
      <c r="D782" t="s">
        <v>206</v>
      </c>
      <c r="E782" t="s">
        <v>14</v>
      </c>
      <c r="F782" t="s">
        <v>29</v>
      </c>
      <c r="G782" t="s">
        <v>135</v>
      </c>
      <c r="H782">
        <v>44</v>
      </c>
      <c r="I782" s="2">
        <v>61.29</v>
      </c>
      <c r="J782" s="2">
        <v>34.21</v>
      </c>
      <c r="K782" s="2">
        <v>2696.76</v>
      </c>
      <c r="L782" s="2">
        <v>1505.24</v>
      </c>
      <c r="M782" s="2">
        <v>1191.52</v>
      </c>
      <c r="N782">
        <v>4</v>
      </c>
    </row>
    <row r="783" spans="1:14" x14ac:dyDescent="0.3">
      <c r="A783" s="1">
        <v>37937</v>
      </c>
      <c r="B783">
        <v>10182</v>
      </c>
      <c r="C783">
        <v>124</v>
      </c>
      <c r="D783" t="s">
        <v>206</v>
      </c>
      <c r="E783" t="s">
        <v>14</v>
      </c>
      <c r="F783" t="s">
        <v>29</v>
      </c>
      <c r="G783" t="s">
        <v>136</v>
      </c>
      <c r="H783">
        <v>47</v>
      </c>
      <c r="I783" s="2">
        <v>63.2</v>
      </c>
      <c r="J783" s="2">
        <v>49.24</v>
      </c>
      <c r="K783" s="2">
        <v>2970.4</v>
      </c>
      <c r="L783" s="2">
        <v>2314.2800000000002</v>
      </c>
      <c r="M783" s="2">
        <v>656.12</v>
      </c>
      <c r="N783">
        <v>4</v>
      </c>
    </row>
    <row r="784" spans="1:14" x14ac:dyDescent="0.3">
      <c r="A784" s="1">
        <v>37937</v>
      </c>
      <c r="B784">
        <v>10182</v>
      </c>
      <c r="C784">
        <v>124</v>
      </c>
      <c r="D784" t="s">
        <v>206</v>
      </c>
      <c r="E784" t="s">
        <v>14</v>
      </c>
      <c r="F784" t="s">
        <v>15</v>
      </c>
      <c r="G784" t="s">
        <v>23</v>
      </c>
      <c r="H784">
        <v>39</v>
      </c>
      <c r="I784" s="2">
        <v>31.86</v>
      </c>
      <c r="J784" s="2">
        <v>22.57</v>
      </c>
      <c r="K784" s="2">
        <v>1242.54</v>
      </c>
      <c r="L784" s="2">
        <v>880.23</v>
      </c>
      <c r="M784" s="2">
        <v>362.31</v>
      </c>
      <c r="N784">
        <v>4</v>
      </c>
    </row>
    <row r="785" spans="1:14" x14ac:dyDescent="0.3">
      <c r="A785" s="1">
        <v>37937</v>
      </c>
      <c r="B785">
        <v>10182</v>
      </c>
      <c r="C785">
        <v>124</v>
      </c>
      <c r="D785" t="s">
        <v>206</v>
      </c>
      <c r="E785" t="s">
        <v>14</v>
      </c>
      <c r="F785" t="s">
        <v>15</v>
      </c>
      <c r="G785" t="s">
        <v>24</v>
      </c>
      <c r="H785">
        <v>31</v>
      </c>
      <c r="I785" s="2">
        <v>39.869999999999997</v>
      </c>
      <c r="J785" s="2">
        <v>20.61</v>
      </c>
      <c r="K785" s="2">
        <v>1235.97</v>
      </c>
      <c r="L785" s="2">
        <v>638.91</v>
      </c>
      <c r="M785" s="2">
        <v>597.05999999999995</v>
      </c>
      <c r="N785">
        <v>4</v>
      </c>
    </row>
    <row r="786" spans="1:14" x14ac:dyDescent="0.3">
      <c r="A786" s="1">
        <v>37937</v>
      </c>
      <c r="B786">
        <v>10182</v>
      </c>
      <c r="C786">
        <v>124</v>
      </c>
      <c r="D786" t="s">
        <v>206</v>
      </c>
      <c r="E786" t="s">
        <v>14</v>
      </c>
      <c r="F786" t="s">
        <v>29</v>
      </c>
      <c r="G786" t="s">
        <v>138</v>
      </c>
      <c r="H786">
        <v>36</v>
      </c>
      <c r="I786" s="2">
        <v>87.24</v>
      </c>
      <c r="J786" s="2">
        <v>47.25</v>
      </c>
      <c r="K786" s="2">
        <v>3140.64</v>
      </c>
      <c r="L786" s="2">
        <v>1701</v>
      </c>
      <c r="M786" s="2">
        <v>1439.64</v>
      </c>
      <c r="N786">
        <v>4</v>
      </c>
    </row>
    <row r="787" spans="1:14" x14ac:dyDescent="0.3">
      <c r="A787" s="1">
        <v>37937</v>
      </c>
      <c r="B787">
        <v>10182</v>
      </c>
      <c r="C787">
        <v>124</v>
      </c>
      <c r="D787" t="s">
        <v>206</v>
      </c>
      <c r="E787" t="s">
        <v>14</v>
      </c>
      <c r="F787" t="s">
        <v>29</v>
      </c>
      <c r="G787" t="s">
        <v>139</v>
      </c>
      <c r="H787">
        <v>20</v>
      </c>
      <c r="I787" s="2">
        <v>116.27</v>
      </c>
      <c r="J787" s="2">
        <v>72.819999999999993</v>
      </c>
      <c r="K787" s="2">
        <v>2325.4</v>
      </c>
      <c r="L787" s="2">
        <v>1456.4</v>
      </c>
      <c r="M787" s="2">
        <v>869</v>
      </c>
      <c r="N787">
        <v>4</v>
      </c>
    </row>
    <row r="788" spans="1:14" x14ac:dyDescent="0.3">
      <c r="A788" s="1">
        <v>37937</v>
      </c>
      <c r="B788">
        <v>10182</v>
      </c>
      <c r="C788">
        <v>124</v>
      </c>
      <c r="D788" t="s">
        <v>206</v>
      </c>
      <c r="E788" t="s">
        <v>14</v>
      </c>
      <c r="F788" t="s">
        <v>29</v>
      </c>
      <c r="G788" t="s">
        <v>140</v>
      </c>
      <c r="H788">
        <v>33</v>
      </c>
      <c r="I788" s="2">
        <v>73.62</v>
      </c>
      <c r="J788" s="2">
        <v>50.51</v>
      </c>
      <c r="K788" s="2">
        <v>2429.46</v>
      </c>
      <c r="L788" s="2">
        <v>1666.83</v>
      </c>
      <c r="M788" s="2">
        <v>762.63</v>
      </c>
      <c r="N788">
        <v>4</v>
      </c>
    </row>
    <row r="789" spans="1:14" x14ac:dyDescent="0.3">
      <c r="A789" s="1">
        <v>37937</v>
      </c>
      <c r="B789">
        <v>10182</v>
      </c>
      <c r="C789">
        <v>124</v>
      </c>
      <c r="D789" t="s">
        <v>206</v>
      </c>
      <c r="E789" t="s">
        <v>14</v>
      </c>
      <c r="F789" t="s">
        <v>29</v>
      </c>
      <c r="G789" t="s">
        <v>141</v>
      </c>
      <c r="H789">
        <v>49</v>
      </c>
      <c r="I789" s="2">
        <v>95.3</v>
      </c>
      <c r="J789" s="2">
        <v>62.11</v>
      </c>
      <c r="K789" s="2">
        <v>4669.7</v>
      </c>
      <c r="L789" s="2">
        <v>3043.39</v>
      </c>
      <c r="M789" s="2">
        <v>1626.31</v>
      </c>
      <c r="N789">
        <v>4</v>
      </c>
    </row>
    <row r="790" spans="1:14" x14ac:dyDescent="0.3">
      <c r="A790" s="1">
        <v>37937</v>
      </c>
      <c r="B790">
        <v>10182</v>
      </c>
      <c r="C790">
        <v>124</v>
      </c>
      <c r="D790" t="s">
        <v>206</v>
      </c>
      <c r="E790" t="s">
        <v>14</v>
      </c>
      <c r="F790" t="s">
        <v>15</v>
      </c>
      <c r="G790" t="s">
        <v>19</v>
      </c>
      <c r="H790">
        <v>23</v>
      </c>
      <c r="I790" s="2">
        <v>34.880000000000003</v>
      </c>
      <c r="J790" s="2">
        <v>21.75</v>
      </c>
      <c r="K790" s="2">
        <v>802.24</v>
      </c>
      <c r="L790" s="2">
        <v>500.25</v>
      </c>
      <c r="M790" s="2">
        <v>301.99</v>
      </c>
      <c r="N790">
        <v>4</v>
      </c>
    </row>
    <row r="791" spans="1:14" x14ac:dyDescent="0.3">
      <c r="A791" s="1">
        <v>37937</v>
      </c>
      <c r="B791">
        <v>10181</v>
      </c>
      <c r="C791">
        <v>167</v>
      </c>
      <c r="D791" t="s">
        <v>176</v>
      </c>
      <c r="E791" t="s">
        <v>28</v>
      </c>
      <c r="F791" t="s">
        <v>29</v>
      </c>
      <c r="G791" t="s">
        <v>112</v>
      </c>
      <c r="H791">
        <v>27</v>
      </c>
      <c r="I791" s="2">
        <v>155.66</v>
      </c>
      <c r="J791" s="2">
        <v>95.34</v>
      </c>
      <c r="K791" s="2">
        <v>4202.82</v>
      </c>
      <c r="L791" s="2">
        <v>2574.1799999999998</v>
      </c>
      <c r="M791" s="2">
        <v>1628.64</v>
      </c>
      <c r="N791">
        <v>1</v>
      </c>
    </row>
    <row r="792" spans="1:14" x14ac:dyDescent="0.3">
      <c r="A792" s="1">
        <v>37937</v>
      </c>
      <c r="B792">
        <v>10181</v>
      </c>
      <c r="C792">
        <v>167</v>
      </c>
      <c r="D792" t="s">
        <v>176</v>
      </c>
      <c r="E792" t="s">
        <v>28</v>
      </c>
      <c r="F792" t="s">
        <v>29</v>
      </c>
      <c r="G792" t="s">
        <v>113</v>
      </c>
      <c r="H792">
        <v>28</v>
      </c>
      <c r="I792" s="2">
        <v>113.92</v>
      </c>
      <c r="J792" s="2">
        <v>75.16</v>
      </c>
      <c r="K792" s="2">
        <v>3189.76</v>
      </c>
      <c r="L792" s="2">
        <v>2104.48</v>
      </c>
      <c r="M792" s="2">
        <v>1085.28</v>
      </c>
      <c r="N792">
        <v>1</v>
      </c>
    </row>
    <row r="793" spans="1:14" x14ac:dyDescent="0.3">
      <c r="A793" s="1">
        <v>37937</v>
      </c>
      <c r="B793">
        <v>10181</v>
      </c>
      <c r="C793">
        <v>167</v>
      </c>
      <c r="D793" t="s">
        <v>176</v>
      </c>
      <c r="E793" t="s">
        <v>28</v>
      </c>
      <c r="F793" t="s">
        <v>29</v>
      </c>
      <c r="G793" t="s">
        <v>114</v>
      </c>
      <c r="H793">
        <v>20</v>
      </c>
      <c r="I793" s="2">
        <v>67.03</v>
      </c>
      <c r="J793" s="2">
        <v>31.92</v>
      </c>
      <c r="K793" s="2">
        <v>1340.6</v>
      </c>
      <c r="L793" s="2">
        <v>638.4</v>
      </c>
      <c r="M793" s="2">
        <v>702.2</v>
      </c>
      <c r="N793">
        <v>1</v>
      </c>
    </row>
    <row r="794" spans="1:14" x14ac:dyDescent="0.3">
      <c r="A794" s="1">
        <v>37937</v>
      </c>
      <c r="B794">
        <v>10181</v>
      </c>
      <c r="C794">
        <v>167</v>
      </c>
      <c r="D794" t="s">
        <v>176</v>
      </c>
      <c r="E794" t="s">
        <v>28</v>
      </c>
      <c r="F794" t="s">
        <v>29</v>
      </c>
      <c r="G794" t="s">
        <v>115</v>
      </c>
      <c r="H794">
        <v>36</v>
      </c>
      <c r="I794" s="2">
        <v>107.1</v>
      </c>
      <c r="J794" s="2">
        <v>58.73</v>
      </c>
      <c r="K794" s="2">
        <v>3855.6</v>
      </c>
      <c r="L794" s="2">
        <v>2114.2800000000002</v>
      </c>
      <c r="M794" s="2">
        <v>1741.32</v>
      </c>
      <c r="N794">
        <v>1</v>
      </c>
    </row>
    <row r="795" spans="1:14" x14ac:dyDescent="0.3">
      <c r="A795" s="1">
        <v>37937</v>
      </c>
      <c r="B795">
        <v>10181</v>
      </c>
      <c r="C795">
        <v>167</v>
      </c>
      <c r="D795" t="s">
        <v>176</v>
      </c>
      <c r="E795" t="s">
        <v>28</v>
      </c>
      <c r="F795" t="s">
        <v>29</v>
      </c>
      <c r="G795" t="s">
        <v>128</v>
      </c>
      <c r="H795">
        <v>44</v>
      </c>
      <c r="I795" s="2">
        <v>124.56</v>
      </c>
      <c r="J795" s="2">
        <v>83.51</v>
      </c>
      <c r="K795" s="2">
        <v>5480.64</v>
      </c>
      <c r="L795" s="2">
        <v>3674.44</v>
      </c>
      <c r="M795" s="2">
        <v>1806.2</v>
      </c>
      <c r="N795">
        <v>1</v>
      </c>
    </row>
    <row r="796" spans="1:14" x14ac:dyDescent="0.3">
      <c r="A796" s="1">
        <v>37937</v>
      </c>
      <c r="B796">
        <v>10181</v>
      </c>
      <c r="C796">
        <v>167</v>
      </c>
      <c r="D796" t="s">
        <v>176</v>
      </c>
      <c r="E796" t="s">
        <v>28</v>
      </c>
      <c r="F796" t="s">
        <v>29</v>
      </c>
      <c r="G796" t="s">
        <v>134</v>
      </c>
      <c r="H796">
        <v>42</v>
      </c>
      <c r="I796" s="2">
        <v>124.44</v>
      </c>
      <c r="J796" s="2">
        <v>65.959999999999994</v>
      </c>
      <c r="K796" s="2">
        <v>5226.4799999999996</v>
      </c>
      <c r="L796" s="2">
        <v>2770.32</v>
      </c>
      <c r="M796" s="2">
        <v>2456.16</v>
      </c>
      <c r="N796">
        <v>1</v>
      </c>
    </row>
    <row r="797" spans="1:14" x14ac:dyDescent="0.3">
      <c r="A797" s="1">
        <v>37937</v>
      </c>
      <c r="B797">
        <v>10181</v>
      </c>
      <c r="C797">
        <v>167</v>
      </c>
      <c r="D797" t="s">
        <v>176</v>
      </c>
      <c r="E797" t="s">
        <v>28</v>
      </c>
      <c r="F797" t="s">
        <v>29</v>
      </c>
      <c r="G797" t="s">
        <v>116</v>
      </c>
      <c r="H797">
        <v>22</v>
      </c>
      <c r="I797" s="2">
        <v>74.69</v>
      </c>
      <c r="J797" s="2">
        <v>53.9</v>
      </c>
      <c r="K797" s="2">
        <v>1643.18</v>
      </c>
      <c r="L797" s="2">
        <v>1185.8</v>
      </c>
      <c r="M797" s="2">
        <v>457.38</v>
      </c>
      <c r="N797">
        <v>1</v>
      </c>
    </row>
    <row r="798" spans="1:14" x14ac:dyDescent="0.3">
      <c r="A798" s="1">
        <v>37937</v>
      </c>
      <c r="B798">
        <v>10181</v>
      </c>
      <c r="C798">
        <v>167</v>
      </c>
      <c r="D798" t="s">
        <v>176</v>
      </c>
      <c r="E798" t="s">
        <v>28</v>
      </c>
      <c r="F798" t="s">
        <v>29</v>
      </c>
      <c r="G798" t="s">
        <v>129</v>
      </c>
      <c r="H798">
        <v>21</v>
      </c>
      <c r="I798" s="2">
        <v>129.44999999999999</v>
      </c>
      <c r="J798" s="2">
        <v>93.89</v>
      </c>
      <c r="K798" s="2">
        <v>2718.45</v>
      </c>
      <c r="L798" s="2">
        <v>1971.69</v>
      </c>
      <c r="M798" s="2">
        <v>746.76</v>
      </c>
      <c r="N798">
        <v>1</v>
      </c>
    </row>
    <row r="799" spans="1:14" x14ac:dyDescent="0.3">
      <c r="A799" s="1">
        <v>37937</v>
      </c>
      <c r="B799">
        <v>10181</v>
      </c>
      <c r="C799">
        <v>167</v>
      </c>
      <c r="D799" t="s">
        <v>176</v>
      </c>
      <c r="E799" t="s">
        <v>28</v>
      </c>
      <c r="F799" t="s">
        <v>29</v>
      </c>
      <c r="G799" t="s">
        <v>130</v>
      </c>
      <c r="H799">
        <v>27</v>
      </c>
      <c r="I799" s="2">
        <v>130.68</v>
      </c>
      <c r="J799" s="2">
        <v>56.76</v>
      </c>
      <c r="K799" s="2">
        <v>3528.36</v>
      </c>
      <c r="L799" s="2">
        <v>1532.52</v>
      </c>
      <c r="M799" s="2">
        <v>1995.84</v>
      </c>
      <c r="N799">
        <v>1</v>
      </c>
    </row>
    <row r="800" spans="1:14" x14ac:dyDescent="0.3">
      <c r="A800" s="1">
        <v>37937</v>
      </c>
      <c r="B800">
        <v>10181</v>
      </c>
      <c r="C800">
        <v>167</v>
      </c>
      <c r="D800" t="s">
        <v>176</v>
      </c>
      <c r="E800" t="s">
        <v>28</v>
      </c>
      <c r="F800" t="s">
        <v>29</v>
      </c>
      <c r="G800" t="s">
        <v>53</v>
      </c>
      <c r="H800">
        <v>45</v>
      </c>
      <c r="I800" s="2">
        <v>147.33000000000001</v>
      </c>
      <c r="J800" s="2">
        <v>77.900000000000006</v>
      </c>
      <c r="K800" s="2">
        <v>6629.85</v>
      </c>
      <c r="L800" s="2">
        <v>3505.5</v>
      </c>
      <c r="M800" s="2">
        <v>3124.35</v>
      </c>
      <c r="N800">
        <v>1</v>
      </c>
    </row>
    <row r="801" spans="1:14" x14ac:dyDescent="0.3">
      <c r="A801" s="1">
        <v>37937</v>
      </c>
      <c r="B801">
        <v>10181</v>
      </c>
      <c r="C801">
        <v>167</v>
      </c>
      <c r="D801" t="s">
        <v>176</v>
      </c>
      <c r="E801" t="s">
        <v>28</v>
      </c>
      <c r="F801" t="s">
        <v>29</v>
      </c>
      <c r="G801" t="s">
        <v>117</v>
      </c>
      <c r="H801">
        <v>30</v>
      </c>
      <c r="I801" s="2">
        <v>73.17</v>
      </c>
      <c r="J801" s="2">
        <v>49.05</v>
      </c>
      <c r="K801" s="2">
        <v>2195.1</v>
      </c>
      <c r="L801" s="2">
        <v>1471.5</v>
      </c>
      <c r="M801" s="2">
        <v>723.6</v>
      </c>
      <c r="N801">
        <v>1</v>
      </c>
    </row>
    <row r="802" spans="1:14" x14ac:dyDescent="0.3">
      <c r="A802" s="1">
        <v>37937</v>
      </c>
      <c r="B802">
        <v>10181</v>
      </c>
      <c r="C802">
        <v>167</v>
      </c>
      <c r="D802" t="s">
        <v>176</v>
      </c>
      <c r="E802" t="s">
        <v>28</v>
      </c>
      <c r="F802" t="s">
        <v>29</v>
      </c>
      <c r="G802" t="s">
        <v>118</v>
      </c>
      <c r="H802">
        <v>22</v>
      </c>
      <c r="I802" s="2">
        <v>120.53</v>
      </c>
      <c r="J802" s="2">
        <v>73.489999999999995</v>
      </c>
      <c r="K802" s="2">
        <v>2651.66</v>
      </c>
      <c r="L802" s="2">
        <v>1616.78</v>
      </c>
      <c r="M802" s="2">
        <v>1034.8800000000001</v>
      </c>
      <c r="N802">
        <v>1</v>
      </c>
    </row>
    <row r="803" spans="1:14" x14ac:dyDescent="0.3">
      <c r="A803" s="1">
        <v>37937</v>
      </c>
      <c r="B803">
        <v>10181</v>
      </c>
      <c r="C803">
        <v>167</v>
      </c>
      <c r="D803" t="s">
        <v>176</v>
      </c>
      <c r="E803" t="s">
        <v>28</v>
      </c>
      <c r="F803" t="s">
        <v>29</v>
      </c>
      <c r="G803" t="s">
        <v>131</v>
      </c>
      <c r="H803">
        <v>39</v>
      </c>
      <c r="I803" s="2">
        <v>137.04</v>
      </c>
      <c r="J803" s="2">
        <v>62.16</v>
      </c>
      <c r="K803" s="2">
        <v>5344.56</v>
      </c>
      <c r="L803" s="2">
        <v>2424.2399999999998</v>
      </c>
      <c r="M803" s="2">
        <v>2920.32</v>
      </c>
      <c r="N803">
        <v>1</v>
      </c>
    </row>
    <row r="804" spans="1:14" x14ac:dyDescent="0.3">
      <c r="A804" s="1">
        <v>37937</v>
      </c>
      <c r="B804">
        <v>10181</v>
      </c>
      <c r="C804">
        <v>167</v>
      </c>
      <c r="D804" t="s">
        <v>176</v>
      </c>
      <c r="E804" t="s">
        <v>28</v>
      </c>
      <c r="F804" t="s">
        <v>29</v>
      </c>
      <c r="G804" t="s">
        <v>137</v>
      </c>
      <c r="H804">
        <v>34</v>
      </c>
      <c r="I804" s="2">
        <v>45.28</v>
      </c>
      <c r="J804" s="2">
        <v>29.18</v>
      </c>
      <c r="K804" s="2">
        <v>1539.52</v>
      </c>
      <c r="L804" s="2">
        <v>992.12</v>
      </c>
      <c r="M804" s="2">
        <v>547.4</v>
      </c>
      <c r="N804">
        <v>1</v>
      </c>
    </row>
    <row r="805" spans="1:14" x14ac:dyDescent="0.3">
      <c r="A805" s="1">
        <v>37937</v>
      </c>
      <c r="B805">
        <v>10181</v>
      </c>
      <c r="C805">
        <v>167</v>
      </c>
      <c r="D805" t="s">
        <v>176</v>
      </c>
      <c r="E805" t="s">
        <v>28</v>
      </c>
      <c r="F805" t="s">
        <v>29</v>
      </c>
      <c r="G805" t="s">
        <v>132</v>
      </c>
      <c r="H805">
        <v>37</v>
      </c>
      <c r="I805" s="2">
        <v>32.85</v>
      </c>
      <c r="J805" s="2">
        <v>16.239999999999998</v>
      </c>
      <c r="K805" s="2">
        <v>1215.45</v>
      </c>
      <c r="L805" s="2">
        <v>600.88</v>
      </c>
      <c r="M805" s="2">
        <v>614.57000000000005</v>
      </c>
      <c r="N805">
        <v>1</v>
      </c>
    </row>
    <row r="806" spans="1:14" x14ac:dyDescent="0.3">
      <c r="A806" s="1">
        <v>37937</v>
      </c>
      <c r="B806">
        <v>10181</v>
      </c>
      <c r="C806">
        <v>167</v>
      </c>
      <c r="D806" t="s">
        <v>176</v>
      </c>
      <c r="E806" t="s">
        <v>28</v>
      </c>
      <c r="F806" t="s">
        <v>29</v>
      </c>
      <c r="G806" t="s">
        <v>122</v>
      </c>
      <c r="H806">
        <v>23</v>
      </c>
      <c r="I806" s="2">
        <v>54.49</v>
      </c>
      <c r="J806" s="2">
        <v>38.58</v>
      </c>
      <c r="K806" s="2">
        <v>1253.27</v>
      </c>
      <c r="L806" s="2">
        <v>887.34</v>
      </c>
      <c r="M806" s="2">
        <v>365.93</v>
      </c>
      <c r="N806">
        <v>1</v>
      </c>
    </row>
    <row r="807" spans="1:14" x14ac:dyDescent="0.3">
      <c r="A807" s="1">
        <v>37937</v>
      </c>
      <c r="B807">
        <v>10181</v>
      </c>
      <c r="C807">
        <v>167</v>
      </c>
      <c r="D807" t="s">
        <v>176</v>
      </c>
      <c r="E807" t="s">
        <v>28</v>
      </c>
      <c r="F807" t="s">
        <v>29</v>
      </c>
      <c r="G807" t="s">
        <v>123</v>
      </c>
      <c r="H807">
        <v>25</v>
      </c>
      <c r="I807" s="2">
        <v>122.17</v>
      </c>
      <c r="J807" s="2">
        <v>98.3</v>
      </c>
      <c r="K807" s="2">
        <v>3054.25</v>
      </c>
      <c r="L807" s="2">
        <v>2457.5</v>
      </c>
      <c r="M807" s="2">
        <v>596.75</v>
      </c>
      <c r="N807">
        <v>1</v>
      </c>
    </row>
    <row r="808" spans="1:14" x14ac:dyDescent="0.3">
      <c r="A808" s="1">
        <v>37938</v>
      </c>
      <c r="B808">
        <v>10183</v>
      </c>
      <c r="C808">
        <v>339</v>
      </c>
      <c r="D808" t="s">
        <v>177</v>
      </c>
      <c r="E808" t="s">
        <v>14</v>
      </c>
      <c r="F808" t="s">
        <v>29</v>
      </c>
      <c r="G808" t="s">
        <v>30</v>
      </c>
      <c r="H808">
        <v>23</v>
      </c>
      <c r="I808" s="2">
        <v>180.01</v>
      </c>
      <c r="J808" s="2">
        <v>98.58</v>
      </c>
      <c r="K808" s="2">
        <v>4140.2299999999996</v>
      </c>
      <c r="L808" s="2">
        <v>2267.34</v>
      </c>
      <c r="M808" s="2">
        <v>1872.89</v>
      </c>
      <c r="N808">
        <v>1</v>
      </c>
    </row>
    <row r="809" spans="1:14" x14ac:dyDescent="0.3">
      <c r="A809" s="1">
        <v>37938</v>
      </c>
      <c r="B809">
        <v>10183</v>
      </c>
      <c r="C809">
        <v>339</v>
      </c>
      <c r="D809" t="s">
        <v>177</v>
      </c>
      <c r="E809" t="s">
        <v>14</v>
      </c>
      <c r="F809" t="s">
        <v>29</v>
      </c>
      <c r="G809" t="s">
        <v>31</v>
      </c>
      <c r="H809">
        <v>28</v>
      </c>
      <c r="I809" s="2">
        <v>127.06</v>
      </c>
      <c r="J809" s="2">
        <v>103.42</v>
      </c>
      <c r="K809" s="2">
        <v>3557.68</v>
      </c>
      <c r="L809" s="2">
        <v>2895.76</v>
      </c>
      <c r="M809" s="2">
        <v>661.92</v>
      </c>
      <c r="N809">
        <v>1</v>
      </c>
    </row>
    <row r="810" spans="1:14" x14ac:dyDescent="0.3">
      <c r="A810" s="1">
        <v>37938</v>
      </c>
      <c r="B810">
        <v>10183</v>
      </c>
      <c r="C810">
        <v>339</v>
      </c>
      <c r="D810" t="s">
        <v>177</v>
      </c>
      <c r="E810" t="s">
        <v>14</v>
      </c>
      <c r="F810" t="s">
        <v>32</v>
      </c>
      <c r="G810" t="s">
        <v>33</v>
      </c>
      <c r="H810">
        <v>41</v>
      </c>
      <c r="I810" s="2">
        <v>114.8</v>
      </c>
      <c r="J810" s="2">
        <v>77.900000000000006</v>
      </c>
      <c r="K810" s="2">
        <v>4706.8</v>
      </c>
      <c r="L810" s="2">
        <v>3193.9</v>
      </c>
      <c r="M810" s="2">
        <v>1512.9</v>
      </c>
      <c r="N810">
        <v>1</v>
      </c>
    </row>
    <row r="811" spans="1:14" x14ac:dyDescent="0.3">
      <c r="A811" s="1">
        <v>37938</v>
      </c>
      <c r="B811">
        <v>10183</v>
      </c>
      <c r="C811">
        <v>339</v>
      </c>
      <c r="D811" t="s">
        <v>177</v>
      </c>
      <c r="E811" t="s">
        <v>14</v>
      </c>
      <c r="F811" t="s">
        <v>32</v>
      </c>
      <c r="G811" t="s">
        <v>34</v>
      </c>
      <c r="H811">
        <v>21</v>
      </c>
      <c r="I811" s="2">
        <v>108.5</v>
      </c>
      <c r="J811" s="2">
        <v>58.33</v>
      </c>
      <c r="K811" s="2">
        <v>2278.5</v>
      </c>
      <c r="L811" s="2">
        <v>1224.93</v>
      </c>
      <c r="M811" s="2">
        <v>1053.57</v>
      </c>
      <c r="N811">
        <v>1</v>
      </c>
    </row>
    <row r="812" spans="1:14" x14ac:dyDescent="0.3">
      <c r="A812" s="1">
        <v>37938</v>
      </c>
      <c r="B812">
        <v>10183</v>
      </c>
      <c r="C812">
        <v>339</v>
      </c>
      <c r="D812" t="s">
        <v>177</v>
      </c>
      <c r="E812" t="s">
        <v>14</v>
      </c>
      <c r="F812" t="s">
        <v>15</v>
      </c>
      <c r="G812" t="s">
        <v>36</v>
      </c>
      <c r="H812">
        <v>37</v>
      </c>
      <c r="I812" s="2">
        <v>91.18</v>
      </c>
      <c r="J812" s="2">
        <v>60.78</v>
      </c>
      <c r="K812" s="2">
        <v>3373.66</v>
      </c>
      <c r="L812" s="2">
        <v>2248.86</v>
      </c>
      <c r="M812" s="2">
        <v>1124.8</v>
      </c>
      <c r="N812">
        <v>1</v>
      </c>
    </row>
    <row r="813" spans="1:14" x14ac:dyDescent="0.3">
      <c r="A813" s="1">
        <v>37938</v>
      </c>
      <c r="B813">
        <v>10183</v>
      </c>
      <c r="C813">
        <v>339</v>
      </c>
      <c r="D813" t="s">
        <v>177</v>
      </c>
      <c r="E813" t="s">
        <v>14</v>
      </c>
      <c r="F813" t="s">
        <v>15</v>
      </c>
      <c r="G813" t="s">
        <v>37</v>
      </c>
      <c r="H813">
        <v>39</v>
      </c>
      <c r="I813" s="2">
        <v>51.22</v>
      </c>
      <c r="J813" s="2">
        <v>34.35</v>
      </c>
      <c r="K813" s="2">
        <v>1997.58</v>
      </c>
      <c r="L813" s="2">
        <v>1339.65</v>
      </c>
      <c r="M813" s="2">
        <v>657.93</v>
      </c>
      <c r="N813">
        <v>1</v>
      </c>
    </row>
    <row r="814" spans="1:14" x14ac:dyDescent="0.3">
      <c r="A814" s="1">
        <v>37938</v>
      </c>
      <c r="B814">
        <v>10183</v>
      </c>
      <c r="C814">
        <v>339</v>
      </c>
      <c r="D814" t="s">
        <v>177</v>
      </c>
      <c r="E814" t="s">
        <v>14</v>
      </c>
      <c r="F814" t="s">
        <v>15</v>
      </c>
      <c r="G814" t="s">
        <v>38</v>
      </c>
      <c r="H814">
        <v>22</v>
      </c>
      <c r="I814" s="2">
        <v>90.06</v>
      </c>
      <c r="J814" s="2">
        <v>60.74</v>
      </c>
      <c r="K814" s="2">
        <v>1981.32</v>
      </c>
      <c r="L814" s="2">
        <v>1336.28</v>
      </c>
      <c r="M814" s="2">
        <v>645.04</v>
      </c>
      <c r="N814">
        <v>1</v>
      </c>
    </row>
    <row r="815" spans="1:14" x14ac:dyDescent="0.3">
      <c r="A815" s="1">
        <v>37938</v>
      </c>
      <c r="B815">
        <v>10183</v>
      </c>
      <c r="C815">
        <v>339</v>
      </c>
      <c r="D815" t="s">
        <v>177</v>
      </c>
      <c r="E815" t="s">
        <v>14</v>
      </c>
      <c r="F815" t="s">
        <v>32</v>
      </c>
      <c r="G815" t="s">
        <v>40</v>
      </c>
      <c r="H815">
        <v>21</v>
      </c>
      <c r="I815" s="2">
        <v>118.66</v>
      </c>
      <c r="J815" s="2">
        <v>84.76</v>
      </c>
      <c r="K815" s="2">
        <v>2491.86</v>
      </c>
      <c r="L815" s="2">
        <v>1779.96</v>
      </c>
      <c r="M815" s="2">
        <v>711.9</v>
      </c>
      <c r="N815">
        <v>1</v>
      </c>
    </row>
    <row r="816" spans="1:14" x14ac:dyDescent="0.3">
      <c r="A816" s="1">
        <v>37938</v>
      </c>
      <c r="B816">
        <v>10183</v>
      </c>
      <c r="C816">
        <v>339</v>
      </c>
      <c r="D816" t="s">
        <v>177</v>
      </c>
      <c r="E816" t="s">
        <v>14</v>
      </c>
      <c r="F816" t="s">
        <v>15</v>
      </c>
      <c r="G816" t="s">
        <v>41</v>
      </c>
      <c r="H816">
        <v>40</v>
      </c>
      <c r="I816" s="2">
        <v>42.26</v>
      </c>
      <c r="J816" s="2">
        <v>23.14</v>
      </c>
      <c r="K816" s="2">
        <v>1690.4</v>
      </c>
      <c r="L816" s="2">
        <v>925.6</v>
      </c>
      <c r="M816" s="2">
        <v>764.8</v>
      </c>
      <c r="N816">
        <v>1</v>
      </c>
    </row>
    <row r="817" spans="1:14" x14ac:dyDescent="0.3">
      <c r="A817" s="1">
        <v>37938</v>
      </c>
      <c r="B817">
        <v>10183</v>
      </c>
      <c r="C817">
        <v>339</v>
      </c>
      <c r="D817" t="s">
        <v>177</v>
      </c>
      <c r="E817" t="s">
        <v>14</v>
      </c>
      <c r="F817" t="s">
        <v>15</v>
      </c>
      <c r="G817" t="s">
        <v>43</v>
      </c>
      <c r="H817">
        <v>47</v>
      </c>
      <c r="I817" s="2">
        <v>81.81</v>
      </c>
      <c r="J817" s="2">
        <v>57.46</v>
      </c>
      <c r="K817" s="2">
        <v>3845.07</v>
      </c>
      <c r="L817" s="2">
        <v>2700.62</v>
      </c>
      <c r="M817" s="2">
        <v>1144.45</v>
      </c>
      <c r="N817">
        <v>1</v>
      </c>
    </row>
    <row r="818" spans="1:14" x14ac:dyDescent="0.3">
      <c r="A818" s="1">
        <v>37938</v>
      </c>
      <c r="B818">
        <v>10183</v>
      </c>
      <c r="C818">
        <v>339</v>
      </c>
      <c r="D818" t="s">
        <v>177</v>
      </c>
      <c r="E818" t="s">
        <v>14</v>
      </c>
      <c r="F818" t="s">
        <v>32</v>
      </c>
      <c r="G818" t="s">
        <v>45</v>
      </c>
      <c r="H818">
        <v>49</v>
      </c>
      <c r="I818" s="2">
        <v>52.36</v>
      </c>
      <c r="J818" s="2">
        <v>33.61</v>
      </c>
      <c r="K818" s="2">
        <v>2565.64</v>
      </c>
      <c r="L818" s="2">
        <v>1646.89</v>
      </c>
      <c r="M818" s="2">
        <v>918.75</v>
      </c>
      <c r="N818">
        <v>1</v>
      </c>
    </row>
    <row r="819" spans="1:14" x14ac:dyDescent="0.3">
      <c r="A819" s="1">
        <v>37938</v>
      </c>
      <c r="B819">
        <v>10183</v>
      </c>
      <c r="C819">
        <v>339</v>
      </c>
      <c r="D819" t="s">
        <v>177</v>
      </c>
      <c r="E819" t="s">
        <v>14</v>
      </c>
      <c r="F819" t="s">
        <v>29</v>
      </c>
      <c r="G819" t="s">
        <v>46</v>
      </c>
      <c r="H819">
        <v>23</v>
      </c>
      <c r="I819" s="2">
        <v>85.98</v>
      </c>
      <c r="J819" s="2">
        <v>46.53</v>
      </c>
      <c r="K819" s="2">
        <v>1977.54</v>
      </c>
      <c r="L819" s="2">
        <v>1070.19</v>
      </c>
      <c r="M819" s="2">
        <v>907.35</v>
      </c>
      <c r="N819">
        <v>1</v>
      </c>
    </row>
    <row r="820" spans="1:14" x14ac:dyDescent="0.3">
      <c r="A820" s="1">
        <v>37939</v>
      </c>
      <c r="B820">
        <v>10185</v>
      </c>
      <c r="C820">
        <v>320</v>
      </c>
      <c r="D820" t="s">
        <v>216</v>
      </c>
      <c r="E820" t="s">
        <v>14</v>
      </c>
      <c r="F820" t="s">
        <v>29</v>
      </c>
      <c r="G820" t="s">
        <v>66</v>
      </c>
      <c r="H820">
        <v>21</v>
      </c>
      <c r="I820" s="2">
        <v>195.33</v>
      </c>
      <c r="J820" s="2">
        <v>95.59</v>
      </c>
      <c r="K820" s="2">
        <v>4101.93</v>
      </c>
      <c r="L820" s="2">
        <v>2007.39</v>
      </c>
      <c r="M820" s="2">
        <v>2094.54</v>
      </c>
      <c r="N820">
        <v>2</v>
      </c>
    </row>
    <row r="821" spans="1:14" x14ac:dyDescent="0.3">
      <c r="A821" s="1">
        <v>37939</v>
      </c>
      <c r="B821">
        <v>10185</v>
      </c>
      <c r="C821">
        <v>320</v>
      </c>
      <c r="D821" t="s">
        <v>216</v>
      </c>
      <c r="E821" t="s">
        <v>14</v>
      </c>
      <c r="F821" t="s">
        <v>29</v>
      </c>
      <c r="G821" t="s">
        <v>49</v>
      </c>
      <c r="H821">
        <v>33</v>
      </c>
      <c r="I821" s="2">
        <v>146.55000000000001</v>
      </c>
      <c r="J821" s="2">
        <v>89.14</v>
      </c>
      <c r="K821" s="2">
        <v>4836.1499999999996</v>
      </c>
      <c r="L821" s="2">
        <v>2941.62</v>
      </c>
      <c r="M821" s="2">
        <v>1894.53</v>
      </c>
      <c r="N821">
        <v>2</v>
      </c>
    </row>
    <row r="822" spans="1:14" x14ac:dyDescent="0.3">
      <c r="A822" s="1">
        <v>37939</v>
      </c>
      <c r="B822">
        <v>10185</v>
      </c>
      <c r="C822">
        <v>320</v>
      </c>
      <c r="D822" t="s">
        <v>216</v>
      </c>
      <c r="E822" t="s">
        <v>14</v>
      </c>
      <c r="F822" t="s">
        <v>29</v>
      </c>
      <c r="G822" t="s">
        <v>67</v>
      </c>
      <c r="H822">
        <v>43</v>
      </c>
      <c r="I822" s="2">
        <v>147.07</v>
      </c>
      <c r="J822" s="2">
        <v>83.05</v>
      </c>
      <c r="K822" s="2">
        <v>6324.01</v>
      </c>
      <c r="L822" s="2">
        <v>3571.15</v>
      </c>
      <c r="M822" s="2">
        <v>2752.86</v>
      </c>
      <c r="N822">
        <v>2</v>
      </c>
    </row>
    <row r="823" spans="1:14" x14ac:dyDescent="0.3">
      <c r="A823" s="1">
        <v>37939</v>
      </c>
      <c r="B823">
        <v>10185</v>
      </c>
      <c r="C823">
        <v>320</v>
      </c>
      <c r="D823" t="s">
        <v>216</v>
      </c>
      <c r="E823" t="s">
        <v>14</v>
      </c>
      <c r="F823" t="s">
        <v>15</v>
      </c>
      <c r="G823" t="s">
        <v>68</v>
      </c>
      <c r="H823">
        <v>28</v>
      </c>
      <c r="I823" s="2">
        <v>124.3</v>
      </c>
      <c r="J823" s="2">
        <v>68.3</v>
      </c>
      <c r="K823" s="2">
        <v>3480.4</v>
      </c>
      <c r="L823" s="2">
        <v>1912.4</v>
      </c>
      <c r="M823" s="2">
        <v>1568</v>
      </c>
      <c r="N823">
        <v>2</v>
      </c>
    </row>
    <row r="824" spans="1:14" x14ac:dyDescent="0.3">
      <c r="A824" s="1">
        <v>37939</v>
      </c>
      <c r="B824">
        <v>10185</v>
      </c>
      <c r="C824">
        <v>320</v>
      </c>
      <c r="D824" t="s">
        <v>216</v>
      </c>
      <c r="E824" t="s">
        <v>14</v>
      </c>
      <c r="F824" t="s">
        <v>59</v>
      </c>
      <c r="G824" t="s">
        <v>69</v>
      </c>
      <c r="H824">
        <v>49</v>
      </c>
      <c r="I824" s="2">
        <v>94.79</v>
      </c>
      <c r="J824" s="2">
        <v>67.56</v>
      </c>
      <c r="K824" s="2">
        <v>4644.71</v>
      </c>
      <c r="L824" s="2">
        <v>3310.44</v>
      </c>
      <c r="M824" s="2">
        <v>1334.27</v>
      </c>
      <c r="N824">
        <v>2</v>
      </c>
    </row>
    <row r="825" spans="1:14" x14ac:dyDescent="0.3">
      <c r="A825" s="1">
        <v>37939</v>
      </c>
      <c r="B825">
        <v>10185</v>
      </c>
      <c r="C825">
        <v>320</v>
      </c>
      <c r="D825" t="s">
        <v>216</v>
      </c>
      <c r="E825" t="s">
        <v>14</v>
      </c>
      <c r="F825" t="s">
        <v>29</v>
      </c>
      <c r="G825" t="s">
        <v>54</v>
      </c>
      <c r="H825">
        <v>39</v>
      </c>
      <c r="I825" s="2">
        <v>127.82</v>
      </c>
      <c r="J825" s="2">
        <v>91.92</v>
      </c>
      <c r="K825" s="2">
        <v>4984.9799999999996</v>
      </c>
      <c r="L825" s="2">
        <v>3584.88</v>
      </c>
      <c r="M825" s="2">
        <v>1400.1</v>
      </c>
      <c r="N825">
        <v>2</v>
      </c>
    </row>
    <row r="826" spans="1:14" x14ac:dyDescent="0.3">
      <c r="A826" s="1">
        <v>37939</v>
      </c>
      <c r="B826">
        <v>10185</v>
      </c>
      <c r="C826">
        <v>320</v>
      </c>
      <c r="D826" t="s">
        <v>216</v>
      </c>
      <c r="E826" t="s">
        <v>14</v>
      </c>
      <c r="F826" t="s">
        <v>15</v>
      </c>
      <c r="G826" t="s">
        <v>70</v>
      </c>
      <c r="H826">
        <v>47</v>
      </c>
      <c r="I826" s="2">
        <v>87.77</v>
      </c>
      <c r="J826" s="2">
        <v>52.66</v>
      </c>
      <c r="K826" s="2">
        <v>4125.1899999999996</v>
      </c>
      <c r="L826" s="2">
        <v>2475.02</v>
      </c>
      <c r="M826" s="2">
        <v>1650.17</v>
      </c>
      <c r="N826">
        <v>2</v>
      </c>
    </row>
    <row r="827" spans="1:14" x14ac:dyDescent="0.3">
      <c r="A827" s="1">
        <v>37939</v>
      </c>
      <c r="B827">
        <v>10185</v>
      </c>
      <c r="C827">
        <v>320</v>
      </c>
      <c r="D827" t="s">
        <v>216</v>
      </c>
      <c r="E827" t="s">
        <v>14</v>
      </c>
      <c r="F827" t="s">
        <v>71</v>
      </c>
      <c r="G827" t="s">
        <v>72</v>
      </c>
      <c r="H827">
        <v>30</v>
      </c>
      <c r="I827" s="2">
        <v>105.69</v>
      </c>
      <c r="J827" s="2">
        <v>82.34</v>
      </c>
      <c r="K827" s="2">
        <v>3170.7</v>
      </c>
      <c r="L827" s="2">
        <v>2470.1999999999998</v>
      </c>
      <c r="M827" s="2">
        <v>700.5</v>
      </c>
      <c r="N827">
        <v>2</v>
      </c>
    </row>
    <row r="828" spans="1:14" x14ac:dyDescent="0.3">
      <c r="A828" s="1">
        <v>37939</v>
      </c>
      <c r="B828">
        <v>10185</v>
      </c>
      <c r="C828">
        <v>320</v>
      </c>
      <c r="D828" t="s">
        <v>216</v>
      </c>
      <c r="E828" t="s">
        <v>14</v>
      </c>
      <c r="F828" t="s">
        <v>15</v>
      </c>
      <c r="G828" t="s">
        <v>73</v>
      </c>
      <c r="H828">
        <v>33</v>
      </c>
      <c r="I828" s="2">
        <v>83.2</v>
      </c>
      <c r="J828" s="2">
        <v>46.91</v>
      </c>
      <c r="K828" s="2">
        <v>2745.6</v>
      </c>
      <c r="L828" s="2">
        <v>1548.03</v>
      </c>
      <c r="M828" s="2">
        <v>1197.57</v>
      </c>
      <c r="N828">
        <v>2</v>
      </c>
    </row>
    <row r="829" spans="1:14" x14ac:dyDescent="0.3">
      <c r="A829" s="1">
        <v>37939</v>
      </c>
      <c r="B829">
        <v>10185</v>
      </c>
      <c r="C829">
        <v>320</v>
      </c>
      <c r="D829" t="s">
        <v>216</v>
      </c>
      <c r="E829" t="s">
        <v>14</v>
      </c>
      <c r="F829" t="s">
        <v>59</v>
      </c>
      <c r="G829" t="s">
        <v>62</v>
      </c>
      <c r="H829">
        <v>20</v>
      </c>
      <c r="I829" s="2">
        <v>46.86</v>
      </c>
      <c r="J829" s="2">
        <v>37.49</v>
      </c>
      <c r="K829" s="2">
        <v>937.2</v>
      </c>
      <c r="L829" s="2">
        <v>749.8</v>
      </c>
      <c r="M829" s="2">
        <v>187.4</v>
      </c>
      <c r="N829">
        <v>2</v>
      </c>
    </row>
    <row r="830" spans="1:14" x14ac:dyDescent="0.3">
      <c r="A830" s="1">
        <v>37939</v>
      </c>
      <c r="B830">
        <v>10185</v>
      </c>
      <c r="C830">
        <v>320</v>
      </c>
      <c r="D830" t="s">
        <v>216</v>
      </c>
      <c r="E830" t="s">
        <v>14</v>
      </c>
      <c r="F830" t="s">
        <v>71</v>
      </c>
      <c r="G830" t="s">
        <v>75</v>
      </c>
      <c r="H830">
        <v>21</v>
      </c>
      <c r="I830" s="2">
        <v>64.67</v>
      </c>
      <c r="J830" s="2">
        <v>34</v>
      </c>
      <c r="K830" s="2">
        <v>1358.07</v>
      </c>
      <c r="L830" s="2">
        <v>714</v>
      </c>
      <c r="M830" s="2">
        <v>644.07000000000005</v>
      </c>
      <c r="N830">
        <v>2</v>
      </c>
    </row>
    <row r="831" spans="1:14" x14ac:dyDescent="0.3">
      <c r="A831" s="1">
        <v>37939</v>
      </c>
      <c r="B831">
        <v>10185</v>
      </c>
      <c r="C831">
        <v>320</v>
      </c>
      <c r="D831" t="s">
        <v>216</v>
      </c>
      <c r="E831" t="s">
        <v>14</v>
      </c>
      <c r="F831" t="s">
        <v>71</v>
      </c>
      <c r="G831" t="s">
        <v>76</v>
      </c>
      <c r="H831">
        <v>30</v>
      </c>
      <c r="I831" s="2">
        <v>79.680000000000007</v>
      </c>
      <c r="J831" s="2">
        <v>43.3</v>
      </c>
      <c r="K831" s="2">
        <v>2390.4</v>
      </c>
      <c r="L831" s="2">
        <v>1299</v>
      </c>
      <c r="M831" s="2">
        <v>1091.4000000000001</v>
      </c>
      <c r="N831">
        <v>2</v>
      </c>
    </row>
    <row r="832" spans="1:14" x14ac:dyDescent="0.3">
      <c r="A832" s="1">
        <v>37939</v>
      </c>
      <c r="B832">
        <v>10185</v>
      </c>
      <c r="C832">
        <v>320</v>
      </c>
      <c r="D832" t="s">
        <v>216</v>
      </c>
      <c r="E832" t="s">
        <v>14</v>
      </c>
      <c r="F832" t="s">
        <v>71</v>
      </c>
      <c r="G832" t="s">
        <v>77</v>
      </c>
      <c r="H832">
        <v>39</v>
      </c>
      <c r="I832" s="2">
        <v>61.44</v>
      </c>
      <c r="J832" s="2">
        <v>33.97</v>
      </c>
      <c r="K832" s="2">
        <v>2396.16</v>
      </c>
      <c r="L832" s="2">
        <v>1324.83</v>
      </c>
      <c r="M832" s="2">
        <v>1071.33</v>
      </c>
      <c r="N832">
        <v>2</v>
      </c>
    </row>
    <row r="833" spans="1:14" x14ac:dyDescent="0.3">
      <c r="A833" s="1">
        <v>37939</v>
      </c>
      <c r="B833">
        <v>10185</v>
      </c>
      <c r="C833">
        <v>320</v>
      </c>
      <c r="D833" t="s">
        <v>216</v>
      </c>
      <c r="E833" t="s">
        <v>14</v>
      </c>
      <c r="F833" t="s">
        <v>71</v>
      </c>
      <c r="G833" t="s">
        <v>78</v>
      </c>
      <c r="H833">
        <v>37</v>
      </c>
      <c r="I833" s="2">
        <v>99.17</v>
      </c>
      <c r="J833" s="2">
        <v>51.09</v>
      </c>
      <c r="K833" s="2">
        <v>3669.29</v>
      </c>
      <c r="L833" s="2">
        <v>1890.33</v>
      </c>
      <c r="M833" s="2">
        <v>1778.96</v>
      </c>
      <c r="N833">
        <v>2</v>
      </c>
    </row>
    <row r="834" spans="1:14" x14ac:dyDescent="0.3">
      <c r="A834" s="1">
        <v>37939</v>
      </c>
      <c r="B834">
        <v>10185</v>
      </c>
      <c r="C834">
        <v>320</v>
      </c>
      <c r="D834" t="s">
        <v>216</v>
      </c>
      <c r="E834" t="s">
        <v>14</v>
      </c>
      <c r="F834" t="s">
        <v>71</v>
      </c>
      <c r="G834" t="s">
        <v>79</v>
      </c>
      <c r="H834">
        <v>22</v>
      </c>
      <c r="I834" s="2">
        <v>93.35</v>
      </c>
      <c r="J834" s="2">
        <v>53.63</v>
      </c>
      <c r="K834" s="2">
        <v>2053.6999999999998</v>
      </c>
      <c r="L834" s="2">
        <v>1179.8599999999999</v>
      </c>
      <c r="M834" s="2">
        <v>873.84</v>
      </c>
      <c r="N834">
        <v>2</v>
      </c>
    </row>
    <row r="835" spans="1:14" x14ac:dyDescent="0.3">
      <c r="A835" s="1">
        <v>37939</v>
      </c>
      <c r="B835">
        <v>10185</v>
      </c>
      <c r="C835">
        <v>320</v>
      </c>
      <c r="D835" t="s">
        <v>216</v>
      </c>
      <c r="E835" t="s">
        <v>14</v>
      </c>
      <c r="F835" t="s">
        <v>71</v>
      </c>
      <c r="G835" t="s">
        <v>80</v>
      </c>
      <c r="H835">
        <v>28</v>
      </c>
      <c r="I835" s="2">
        <v>47.5</v>
      </c>
      <c r="J835" s="2">
        <v>33.299999999999997</v>
      </c>
      <c r="K835" s="2">
        <v>1330</v>
      </c>
      <c r="L835" s="2">
        <v>932.4</v>
      </c>
      <c r="M835" s="2">
        <v>397.6</v>
      </c>
      <c r="N835">
        <v>2</v>
      </c>
    </row>
    <row r="836" spans="1:14" x14ac:dyDescent="0.3">
      <c r="A836" s="1">
        <v>37939</v>
      </c>
      <c r="B836">
        <v>10184</v>
      </c>
      <c r="C836">
        <v>484</v>
      </c>
      <c r="D836" t="s">
        <v>229</v>
      </c>
      <c r="E836" t="s">
        <v>48</v>
      </c>
      <c r="F836" t="s">
        <v>32</v>
      </c>
      <c r="G836" t="s">
        <v>50</v>
      </c>
      <c r="H836">
        <v>37</v>
      </c>
      <c r="I836" s="2">
        <v>105.47</v>
      </c>
      <c r="J836" s="2">
        <v>55.7</v>
      </c>
      <c r="K836" s="2">
        <v>3902.39</v>
      </c>
      <c r="L836" s="2">
        <v>2060.9</v>
      </c>
      <c r="M836" s="2">
        <v>1841.49</v>
      </c>
      <c r="N836">
        <v>1</v>
      </c>
    </row>
    <row r="837" spans="1:14" x14ac:dyDescent="0.3">
      <c r="A837" s="1">
        <v>37939</v>
      </c>
      <c r="B837">
        <v>10184</v>
      </c>
      <c r="C837">
        <v>484</v>
      </c>
      <c r="D837" t="s">
        <v>229</v>
      </c>
      <c r="E837" t="s">
        <v>48</v>
      </c>
      <c r="F837" t="s">
        <v>29</v>
      </c>
      <c r="G837" t="s">
        <v>51</v>
      </c>
      <c r="H837">
        <v>46</v>
      </c>
      <c r="I837" s="2">
        <v>145.72</v>
      </c>
      <c r="J837" s="2">
        <v>101.51</v>
      </c>
      <c r="K837" s="2">
        <v>6703.12</v>
      </c>
      <c r="L837" s="2">
        <v>4669.46</v>
      </c>
      <c r="M837" s="2">
        <v>2033.66</v>
      </c>
      <c r="N837">
        <v>1</v>
      </c>
    </row>
    <row r="838" spans="1:14" x14ac:dyDescent="0.3">
      <c r="A838" s="1">
        <v>37939</v>
      </c>
      <c r="B838">
        <v>10184</v>
      </c>
      <c r="C838">
        <v>484</v>
      </c>
      <c r="D838" t="s">
        <v>229</v>
      </c>
      <c r="E838" t="s">
        <v>48</v>
      </c>
      <c r="F838" t="s">
        <v>32</v>
      </c>
      <c r="G838" t="s">
        <v>52</v>
      </c>
      <c r="H838">
        <v>46</v>
      </c>
      <c r="I838" s="2">
        <v>119.05</v>
      </c>
      <c r="J838" s="2">
        <v>74.86</v>
      </c>
      <c r="K838" s="2">
        <v>5476.3</v>
      </c>
      <c r="L838" s="2">
        <v>3443.56</v>
      </c>
      <c r="M838" s="2">
        <v>2032.74</v>
      </c>
      <c r="N838">
        <v>1</v>
      </c>
    </row>
    <row r="839" spans="1:14" x14ac:dyDescent="0.3">
      <c r="A839" s="1">
        <v>37939</v>
      </c>
      <c r="B839">
        <v>10184</v>
      </c>
      <c r="C839">
        <v>484</v>
      </c>
      <c r="D839" t="s">
        <v>229</v>
      </c>
      <c r="E839" t="s">
        <v>48</v>
      </c>
      <c r="F839" t="s">
        <v>32</v>
      </c>
      <c r="G839" t="s">
        <v>35</v>
      </c>
      <c r="H839">
        <v>44</v>
      </c>
      <c r="I839" s="2">
        <v>60.77</v>
      </c>
      <c r="J839" s="2">
        <v>24.92</v>
      </c>
      <c r="K839" s="2">
        <v>2673.88</v>
      </c>
      <c r="L839" s="2">
        <v>1096.48</v>
      </c>
      <c r="M839" s="2">
        <v>1577.4</v>
      </c>
      <c r="N839">
        <v>1</v>
      </c>
    </row>
    <row r="840" spans="1:14" x14ac:dyDescent="0.3">
      <c r="A840" s="1">
        <v>37939</v>
      </c>
      <c r="B840">
        <v>10184</v>
      </c>
      <c r="C840">
        <v>484</v>
      </c>
      <c r="D840" t="s">
        <v>229</v>
      </c>
      <c r="E840" t="s">
        <v>48</v>
      </c>
      <c r="F840" t="s">
        <v>29</v>
      </c>
      <c r="G840" t="s">
        <v>53</v>
      </c>
      <c r="H840">
        <v>28</v>
      </c>
      <c r="I840" s="2">
        <v>165.95</v>
      </c>
      <c r="J840" s="2">
        <v>77.900000000000006</v>
      </c>
      <c r="K840" s="2">
        <v>4646.6000000000004</v>
      </c>
      <c r="L840" s="2">
        <v>2181.1999999999998</v>
      </c>
      <c r="M840" s="2">
        <v>2465.4</v>
      </c>
      <c r="N840">
        <v>1</v>
      </c>
    </row>
    <row r="841" spans="1:14" x14ac:dyDescent="0.3">
      <c r="A841" s="1">
        <v>37939</v>
      </c>
      <c r="B841">
        <v>10184</v>
      </c>
      <c r="C841">
        <v>484</v>
      </c>
      <c r="D841" t="s">
        <v>229</v>
      </c>
      <c r="E841" t="s">
        <v>48</v>
      </c>
      <c r="F841" t="s">
        <v>29</v>
      </c>
      <c r="G841" t="s">
        <v>55</v>
      </c>
      <c r="H841">
        <v>31</v>
      </c>
      <c r="I841" s="2">
        <v>57.22</v>
      </c>
      <c r="J841" s="2">
        <v>32.369999999999997</v>
      </c>
      <c r="K841" s="2">
        <v>1773.82</v>
      </c>
      <c r="L841" s="2">
        <v>1003.47</v>
      </c>
      <c r="M841" s="2">
        <v>770.35</v>
      </c>
      <c r="N841">
        <v>1</v>
      </c>
    </row>
    <row r="842" spans="1:14" x14ac:dyDescent="0.3">
      <c r="A842" s="1">
        <v>37939</v>
      </c>
      <c r="B842">
        <v>10184</v>
      </c>
      <c r="C842">
        <v>484</v>
      </c>
      <c r="D842" t="s">
        <v>229</v>
      </c>
      <c r="E842" t="s">
        <v>48</v>
      </c>
      <c r="F842" t="s">
        <v>32</v>
      </c>
      <c r="G842" t="s">
        <v>42</v>
      </c>
      <c r="H842">
        <v>24</v>
      </c>
      <c r="I842" s="2">
        <v>117.57</v>
      </c>
      <c r="J842" s="2">
        <v>61.34</v>
      </c>
      <c r="K842" s="2">
        <v>2821.68</v>
      </c>
      <c r="L842" s="2">
        <v>1472.16</v>
      </c>
      <c r="M842" s="2">
        <v>1349.52</v>
      </c>
      <c r="N842">
        <v>1</v>
      </c>
    </row>
    <row r="843" spans="1:14" x14ac:dyDescent="0.3">
      <c r="A843" s="1">
        <v>37939</v>
      </c>
      <c r="B843">
        <v>10184</v>
      </c>
      <c r="C843">
        <v>484</v>
      </c>
      <c r="D843" t="s">
        <v>229</v>
      </c>
      <c r="E843" t="s">
        <v>48</v>
      </c>
      <c r="F843" t="s">
        <v>29</v>
      </c>
      <c r="G843" t="s">
        <v>56</v>
      </c>
      <c r="H843">
        <v>42</v>
      </c>
      <c r="I843" s="2">
        <v>30.06</v>
      </c>
      <c r="J843" s="2">
        <v>15.91</v>
      </c>
      <c r="K843" s="2">
        <v>1262.52</v>
      </c>
      <c r="L843" s="2">
        <v>668.22</v>
      </c>
      <c r="M843" s="2">
        <v>594.29999999999995</v>
      </c>
      <c r="N843">
        <v>1</v>
      </c>
    </row>
    <row r="844" spans="1:14" x14ac:dyDescent="0.3">
      <c r="A844" s="1">
        <v>37939</v>
      </c>
      <c r="B844">
        <v>10184</v>
      </c>
      <c r="C844">
        <v>484</v>
      </c>
      <c r="D844" t="s">
        <v>229</v>
      </c>
      <c r="E844" t="s">
        <v>48</v>
      </c>
      <c r="F844" t="s">
        <v>29</v>
      </c>
      <c r="G844" t="s">
        <v>57</v>
      </c>
      <c r="H844">
        <v>49</v>
      </c>
      <c r="I844" s="2">
        <v>114.73</v>
      </c>
      <c r="J844" s="2">
        <v>69.78</v>
      </c>
      <c r="K844" s="2">
        <v>5621.77</v>
      </c>
      <c r="L844" s="2">
        <v>3419.22</v>
      </c>
      <c r="M844" s="2">
        <v>2202.5500000000002</v>
      </c>
      <c r="N844">
        <v>1</v>
      </c>
    </row>
    <row r="845" spans="1:14" x14ac:dyDescent="0.3">
      <c r="A845" s="1">
        <v>37939</v>
      </c>
      <c r="B845">
        <v>10184</v>
      </c>
      <c r="C845">
        <v>484</v>
      </c>
      <c r="D845" t="s">
        <v>229</v>
      </c>
      <c r="E845" t="s">
        <v>48</v>
      </c>
      <c r="F845" t="s">
        <v>32</v>
      </c>
      <c r="G845" t="s">
        <v>44</v>
      </c>
      <c r="H845">
        <v>46</v>
      </c>
      <c r="I845" s="2">
        <v>84.75</v>
      </c>
      <c r="J845" s="2">
        <v>53.93</v>
      </c>
      <c r="K845" s="2">
        <v>3898.5</v>
      </c>
      <c r="L845" s="2">
        <v>2480.7800000000002</v>
      </c>
      <c r="M845" s="2">
        <v>1417.72</v>
      </c>
      <c r="N845">
        <v>1</v>
      </c>
    </row>
    <row r="846" spans="1:14" x14ac:dyDescent="0.3">
      <c r="A846" s="1">
        <v>37939</v>
      </c>
      <c r="B846">
        <v>10184</v>
      </c>
      <c r="C846">
        <v>484</v>
      </c>
      <c r="D846" t="s">
        <v>229</v>
      </c>
      <c r="E846" t="s">
        <v>48</v>
      </c>
      <c r="F846" t="s">
        <v>32</v>
      </c>
      <c r="G846" t="s">
        <v>58</v>
      </c>
      <c r="H846">
        <v>33</v>
      </c>
      <c r="I846" s="2">
        <v>52.49</v>
      </c>
      <c r="J846" s="2">
        <v>25.98</v>
      </c>
      <c r="K846" s="2">
        <v>1732.17</v>
      </c>
      <c r="L846" s="2">
        <v>857.34</v>
      </c>
      <c r="M846" s="2">
        <v>874.83</v>
      </c>
      <c r="N846">
        <v>1</v>
      </c>
    </row>
    <row r="847" spans="1:14" x14ac:dyDescent="0.3">
      <c r="A847" s="1">
        <v>37939</v>
      </c>
      <c r="B847">
        <v>10184</v>
      </c>
      <c r="C847">
        <v>484</v>
      </c>
      <c r="D847" t="s">
        <v>229</v>
      </c>
      <c r="E847" t="s">
        <v>48</v>
      </c>
      <c r="F847" t="s">
        <v>59</v>
      </c>
      <c r="G847" t="s">
        <v>60</v>
      </c>
      <c r="H847">
        <v>48</v>
      </c>
      <c r="I847" s="2">
        <v>59.03</v>
      </c>
      <c r="J847" s="2">
        <v>26.72</v>
      </c>
      <c r="K847" s="2">
        <v>2833.44</v>
      </c>
      <c r="L847" s="2">
        <v>1282.56</v>
      </c>
      <c r="M847" s="2">
        <v>1550.88</v>
      </c>
      <c r="N847">
        <v>1</v>
      </c>
    </row>
    <row r="848" spans="1:14" x14ac:dyDescent="0.3">
      <c r="A848" s="1">
        <v>37939</v>
      </c>
      <c r="B848">
        <v>10184</v>
      </c>
      <c r="C848">
        <v>484</v>
      </c>
      <c r="D848" t="s">
        <v>229</v>
      </c>
      <c r="E848" t="s">
        <v>48</v>
      </c>
      <c r="F848" t="s">
        <v>32</v>
      </c>
      <c r="G848" t="s">
        <v>61</v>
      </c>
      <c r="H848">
        <v>45</v>
      </c>
      <c r="I848" s="2">
        <v>92.6</v>
      </c>
      <c r="J848" s="2">
        <v>68.290000000000006</v>
      </c>
      <c r="K848" s="2">
        <v>4167</v>
      </c>
      <c r="L848" s="2">
        <v>3073.05</v>
      </c>
      <c r="M848" s="2">
        <v>1093.95</v>
      </c>
      <c r="N848">
        <v>1</v>
      </c>
    </row>
    <row r="849" spans="1:14" x14ac:dyDescent="0.3">
      <c r="A849" s="1">
        <v>37939</v>
      </c>
      <c r="B849">
        <v>10186</v>
      </c>
      <c r="C849">
        <v>489</v>
      </c>
      <c r="D849" t="s">
        <v>178</v>
      </c>
      <c r="E849" t="s">
        <v>133</v>
      </c>
      <c r="F849" t="s">
        <v>29</v>
      </c>
      <c r="G849" t="s">
        <v>65</v>
      </c>
      <c r="H849">
        <v>26</v>
      </c>
      <c r="I849" s="2">
        <v>108.8</v>
      </c>
      <c r="J849" s="2">
        <v>85.68</v>
      </c>
      <c r="K849" s="2">
        <v>2828.8</v>
      </c>
      <c r="L849" s="2">
        <v>2227.6799999999998</v>
      </c>
      <c r="M849" s="2">
        <v>601.12</v>
      </c>
      <c r="N849">
        <v>1</v>
      </c>
    </row>
    <row r="850" spans="1:14" x14ac:dyDescent="0.3">
      <c r="A850" s="1">
        <v>37939</v>
      </c>
      <c r="B850">
        <v>10186</v>
      </c>
      <c r="C850">
        <v>489</v>
      </c>
      <c r="D850" t="s">
        <v>178</v>
      </c>
      <c r="E850" t="s">
        <v>133</v>
      </c>
      <c r="F850" t="s">
        <v>83</v>
      </c>
      <c r="G850" t="s">
        <v>84</v>
      </c>
      <c r="H850">
        <v>32</v>
      </c>
      <c r="I850" s="2">
        <v>137.19</v>
      </c>
      <c r="J850" s="2">
        <v>77.27</v>
      </c>
      <c r="K850" s="2">
        <v>4390.08</v>
      </c>
      <c r="L850" s="2">
        <v>2472.64</v>
      </c>
      <c r="M850" s="2">
        <v>1917.44</v>
      </c>
      <c r="N850">
        <v>1</v>
      </c>
    </row>
    <row r="851" spans="1:14" x14ac:dyDescent="0.3">
      <c r="A851" s="1">
        <v>37939</v>
      </c>
      <c r="B851">
        <v>10186</v>
      </c>
      <c r="C851">
        <v>489</v>
      </c>
      <c r="D851" t="s">
        <v>178</v>
      </c>
      <c r="E851" t="s">
        <v>133</v>
      </c>
      <c r="F851" t="s">
        <v>71</v>
      </c>
      <c r="G851" t="s">
        <v>86</v>
      </c>
      <c r="H851">
        <v>32</v>
      </c>
      <c r="I851" s="2">
        <v>73.12</v>
      </c>
      <c r="J851" s="2">
        <v>51.61</v>
      </c>
      <c r="K851" s="2">
        <v>2339.84</v>
      </c>
      <c r="L851" s="2">
        <v>1651.52</v>
      </c>
      <c r="M851" s="2">
        <v>688.32</v>
      </c>
      <c r="N851">
        <v>1</v>
      </c>
    </row>
    <row r="852" spans="1:14" x14ac:dyDescent="0.3">
      <c r="A852" s="1">
        <v>37939</v>
      </c>
      <c r="B852">
        <v>10186</v>
      </c>
      <c r="C852">
        <v>489</v>
      </c>
      <c r="D852" t="s">
        <v>178</v>
      </c>
      <c r="E852" t="s">
        <v>133</v>
      </c>
      <c r="F852" t="s">
        <v>15</v>
      </c>
      <c r="G852" t="s">
        <v>87</v>
      </c>
      <c r="H852">
        <v>46</v>
      </c>
      <c r="I852" s="2">
        <v>98.46</v>
      </c>
      <c r="J852" s="2">
        <v>64.58</v>
      </c>
      <c r="K852" s="2">
        <v>4529.16</v>
      </c>
      <c r="L852" s="2">
        <v>2970.68</v>
      </c>
      <c r="M852" s="2">
        <v>1558.48</v>
      </c>
      <c r="N852">
        <v>1</v>
      </c>
    </row>
    <row r="853" spans="1:14" x14ac:dyDescent="0.3">
      <c r="A853" s="1">
        <v>37939</v>
      </c>
      <c r="B853">
        <v>10186</v>
      </c>
      <c r="C853">
        <v>489</v>
      </c>
      <c r="D853" t="s">
        <v>178</v>
      </c>
      <c r="E853" t="s">
        <v>133</v>
      </c>
      <c r="F853" t="s">
        <v>83</v>
      </c>
      <c r="G853" t="s">
        <v>89</v>
      </c>
      <c r="H853">
        <v>22</v>
      </c>
      <c r="I853" s="2">
        <v>60.29</v>
      </c>
      <c r="J853" s="2">
        <v>34.25</v>
      </c>
      <c r="K853" s="2">
        <v>1326.38</v>
      </c>
      <c r="L853" s="2">
        <v>753.5</v>
      </c>
      <c r="M853" s="2">
        <v>572.88</v>
      </c>
      <c r="N853">
        <v>1</v>
      </c>
    </row>
    <row r="854" spans="1:14" x14ac:dyDescent="0.3">
      <c r="A854" s="1">
        <v>37939</v>
      </c>
      <c r="B854">
        <v>10186</v>
      </c>
      <c r="C854">
        <v>489</v>
      </c>
      <c r="D854" t="s">
        <v>178</v>
      </c>
      <c r="E854" t="s">
        <v>133</v>
      </c>
      <c r="F854" t="s">
        <v>15</v>
      </c>
      <c r="G854" t="s">
        <v>90</v>
      </c>
      <c r="H854">
        <v>21</v>
      </c>
      <c r="I854" s="2">
        <v>59.83</v>
      </c>
      <c r="J854" s="2">
        <v>26.3</v>
      </c>
      <c r="K854" s="2">
        <v>1256.43</v>
      </c>
      <c r="L854" s="2">
        <v>552.29999999999995</v>
      </c>
      <c r="M854" s="2">
        <v>704.13</v>
      </c>
      <c r="N854">
        <v>1</v>
      </c>
    </row>
    <row r="855" spans="1:14" x14ac:dyDescent="0.3">
      <c r="A855" s="1">
        <v>37939</v>
      </c>
      <c r="B855">
        <v>10186</v>
      </c>
      <c r="C855">
        <v>489</v>
      </c>
      <c r="D855" t="s">
        <v>178</v>
      </c>
      <c r="E855" t="s">
        <v>133</v>
      </c>
      <c r="F855" t="s">
        <v>15</v>
      </c>
      <c r="G855" t="s">
        <v>74</v>
      </c>
      <c r="H855">
        <v>36</v>
      </c>
      <c r="I855" s="2">
        <v>68.77</v>
      </c>
      <c r="J855" s="2">
        <v>48.64</v>
      </c>
      <c r="K855" s="2">
        <v>2475.7199999999998</v>
      </c>
      <c r="L855" s="2">
        <v>1751.04</v>
      </c>
      <c r="M855" s="2">
        <v>724.68</v>
      </c>
      <c r="N855">
        <v>1</v>
      </c>
    </row>
    <row r="856" spans="1:14" x14ac:dyDescent="0.3">
      <c r="A856" s="1">
        <v>37939</v>
      </c>
      <c r="B856">
        <v>10186</v>
      </c>
      <c r="C856">
        <v>489</v>
      </c>
      <c r="D856" t="s">
        <v>178</v>
      </c>
      <c r="E856" t="s">
        <v>133</v>
      </c>
      <c r="F856" t="s">
        <v>71</v>
      </c>
      <c r="G856" t="s">
        <v>96</v>
      </c>
      <c r="H856">
        <v>24</v>
      </c>
      <c r="I856" s="2">
        <v>80.56</v>
      </c>
      <c r="J856" s="2">
        <v>39.83</v>
      </c>
      <c r="K856" s="2">
        <v>1933.44</v>
      </c>
      <c r="L856" s="2">
        <v>955.92</v>
      </c>
      <c r="M856" s="2">
        <v>977.52</v>
      </c>
      <c r="N856">
        <v>1</v>
      </c>
    </row>
    <row r="857" spans="1:14" x14ac:dyDescent="0.3">
      <c r="A857" s="1">
        <v>37939</v>
      </c>
      <c r="B857">
        <v>10186</v>
      </c>
      <c r="C857">
        <v>489</v>
      </c>
      <c r="D857" t="s">
        <v>178</v>
      </c>
      <c r="E857" t="s">
        <v>133</v>
      </c>
      <c r="F857" t="s">
        <v>83</v>
      </c>
      <c r="G857" t="s">
        <v>101</v>
      </c>
      <c r="H857">
        <v>28</v>
      </c>
      <c r="I857" s="2">
        <v>42.71</v>
      </c>
      <c r="J857" s="2">
        <v>32.770000000000003</v>
      </c>
      <c r="K857" s="2">
        <v>1195.8800000000001</v>
      </c>
      <c r="L857" s="2">
        <v>917.56</v>
      </c>
      <c r="M857" s="2">
        <v>278.32</v>
      </c>
      <c r="N857">
        <v>1</v>
      </c>
    </row>
    <row r="858" spans="1:14" x14ac:dyDescent="0.3">
      <c r="A858" s="1">
        <v>37940</v>
      </c>
      <c r="B858">
        <v>10187</v>
      </c>
      <c r="C858">
        <v>211</v>
      </c>
      <c r="D858" t="s">
        <v>230</v>
      </c>
      <c r="E858" t="s">
        <v>179</v>
      </c>
      <c r="F858" t="s">
        <v>83</v>
      </c>
      <c r="G858" t="s">
        <v>85</v>
      </c>
      <c r="H858">
        <v>45</v>
      </c>
      <c r="I858" s="2">
        <v>70.12</v>
      </c>
      <c r="J858" s="2">
        <v>49</v>
      </c>
      <c r="K858" s="2">
        <v>3155.4</v>
      </c>
      <c r="L858" s="2">
        <v>2205</v>
      </c>
      <c r="M858" s="2">
        <v>950.4</v>
      </c>
      <c r="N858">
        <v>1</v>
      </c>
    </row>
    <row r="859" spans="1:14" x14ac:dyDescent="0.3">
      <c r="A859" s="1">
        <v>37940</v>
      </c>
      <c r="B859">
        <v>10187</v>
      </c>
      <c r="C859">
        <v>211</v>
      </c>
      <c r="D859" t="s">
        <v>230</v>
      </c>
      <c r="E859" t="s">
        <v>179</v>
      </c>
      <c r="F859" t="s">
        <v>83</v>
      </c>
      <c r="G859" t="s">
        <v>88</v>
      </c>
      <c r="H859">
        <v>46</v>
      </c>
      <c r="I859" s="2">
        <v>96.29</v>
      </c>
      <c r="J859" s="2">
        <v>66.739999999999995</v>
      </c>
      <c r="K859" s="2">
        <v>4429.34</v>
      </c>
      <c r="L859" s="2">
        <v>3070.04</v>
      </c>
      <c r="M859" s="2">
        <v>1359.3</v>
      </c>
      <c r="N859">
        <v>1</v>
      </c>
    </row>
    <row r="860" spans="1:14" x14ac:dyDescent="0.3">
      <c r="A860" s="1">
        <v>37940</v>
      </c>
      <c r="B860">
        <v>10187</v>
      </c>
      <c r="C860">
        <v>211</v>
      </c>
      <c r="D860" t="s">
        <v>230</v>
      </c>
      <c r="E860" t="s">
        <v>179</v>
      </c>
      <c r="F860" t="s">
        <v>83</v>
      </c>
      <c r="G860" t="s">
        <v>91</v>
      </c>
      <c r="H860">
        <v>43</v>
      </c>
      <c r="I860" s="2">
        <v>55.96</v>
      </c>
      <c r="J860" s="2">
        <v>29.34</v>
      </c>
      <c r="K860" s="2">
        <v>2406.2800000000002</v>
      </c>
      <c r="L860" s="2">
        <v>1261.6199999999999</v>
      </c>
      <c r="M860" s="2">
        <v>1144.6600000000001</v>
      </c>
      <c r="N860">
        <v>1</v>
      </c>
    </row>
    <row r="861" spans="1:14" x14ac:dyDescent="0.3">
      <c r="A861" s="1">
        <v>37940</v>
      </c>
      <c r="B861">
        <v>10187</v>
      </c>
      <c r="C861">
        <v>211</v>
      </c>
      <c r="D861" t="s">
        <v>230</v>
      </c>
      <c r="E861" t="s">
        <v>179</v>
      </c>
      <c r="F861" t="s">
        <v>83</v>
      </c>
      <c r="G861" t="s">
        <v>92</v>
      </c>
      <c r="H861">
        <v>33</v>
      </c>
      <c r="I861" s="2">
        <v>64.48</v>
      </c>
      <c r="J861" s="2">
        <v>36.229999999999997</v>
      </c>
      <c r="K861" s="2">
        <v>2127.84</v>
      </c>
      <c r="L861" s="2">
        <v>1195.5899999999999</v>
      </c>
      <c r="M861" s="2">
        <v>932.25</v>
      </c>
      <c r="N861">
        <v>1</v>
      </c>
    </row>
    <row r="862" spans="1:14" x14ac:dyDescent="0.3">
      <c r="A862" s="1">
        <v>37940</v>
      </c>
      <c r="B862">
        <v>10187</v>
      </c>
      <c r="C862">
        <v>211</v>
      </c>
      <c r="D862" t="s">
        <v>230</v>
      </c>
      <c r="E862" t="s">
        <v>179</v>
      </c>
      <c r="F862" t="s">
        <v>15</v>
      </c>
      <c r="G862" t="s">
        <v>93</v>
      </c>
      <c r="H862">
        <v>31</v>
      </c>
      <c r="I862" s="2">
        <v>61.22</v>
      </c>
      <c r="J862" s="2">
        <v>33.020000000000003</v>
      </c>
      <c r="K862" s="2">
        <v>1897.82</v>
      </c>
      <c r="L862" s="2">
        <v>1023.62</v>
      </c>
      <c r="M862" s="2">
        <v>874.2</v>
      </c>
      <c r="N862">
        <v>1</v>
      </c>
    </row>
    <row r="863" spans="1:14" x14ac:dyDescent="0.3">
      <c r="A863" s="1">
        <v>37940</v>
      </c>
      <c r="B863">
        <v>10187</v>
      </c>
      <c r="C863">
        <v>211</v>
      </c>
      <c r="D863" t="s">
        <v>230</v>
      </c>
      <c r="E863" t="s">
        <v>179</v>
      </c>
      <c r="F863" t="s">
        <v>15</v>
      </c>
      <c r="G863" t="s">
        <v>94</v>
      </c>
      <c r="H863">
        <v>41</v>
      </c>
      <c r="I863" s="2">
        <v>39.71</v>
      </c>
      <c r="J863" s="2">
        <v>27.06</v>
      </c>
      <c r="K863" s="2">
        <v>1628.11</v>
      </c>
      <c r="L863" s="2">
        <v>1109.46</v>
      </c>
      <c r="M863" s="2">
        <v>518.65</v>
      </c>
      <c r="N863">
        <v>1</v>
      </c>
    </row>
    <row r="864" spans="1:14" x14ac:dyDescent="0.3">
      <c r="A864" s="1">
        <v>37940</v>
      </c>
      <c r="B864">
        <v>10187</v>
      </c>
      <c r="C864">
        <v>211</v>
      </c>
      <c r="D864" t="s">
        <v>230</v>
      </c>
      <c r="E864" t="s">
        <v>179</v>
      </c>
      <c r="F864" t="s">
        <v>83</v>
      </c>
      <c r="G864" t="s">
        <v>95</v>
      </c>
      <c r="H864">
        <v>34</v>
      </c>
      <c r="I864" s="2">
        <v>84.95</v>
      </c>
      <c r="J864" s="2">
        <v>51.15</v>
      </c>
      <c r="K864" s="2">
        <v>2888.3</v>
      </c>
      <c r="L864" s="2">
        <v>1739.1</v>
      </c>
      <c r="M864" s="2">
        <v>1149.2</v>
      </c>
      <c r="N864">
        <v>1</v>
      </c>
    </row>
    <row r="865" spans="1:14" x14ac:dyDescent="0.3">
      <c r="A865" s="1">
        <v>37940</v>
      </c>
      <c r="B865">
        <v>10187</v>
      </c>
      <c r="C865">
        <v>211</v>
      </c>
      <c r="D865" t="s">
        <v>230</v>
      </c>
      <c r="E865" t="s">
        <v>179</v>
      </c>
      <c r="F865" t="s">
        <v>83</v>
      </c>
      <c r="G865" t="s">
        <v>97</v>
      </c>
      <c r="H865">
        <v>44</v>
      </c>
      <c r="I865" s="2">
        <v>95.73</v>
      </c>
      <c r="J865" s="2">
        <v>68.8</v>
      </c>
      <c r="K865" s="2">
        <v>4212.12</v>
      </c>
      <c r="L865" s="2">
        <v>3027.2</v>
      </c>
      <c r="M865" s="2">
        <v>1184.92</v>
      </c>
      <c r="N865">
        <v>1</v>
      </c>
    </row>
    <row r="866" spans="1:14" x14ac:dyDescent="0.3">
      <c r="A866" s="1">
        <v>37940</v>
      </c>
      <c r="B866">
        <v>10187</v>
      </c>
      <c r="C866">
        <v>211</v>
      </c>
      <c r="D866" t="s">
        <v>230</v>
      </c>
      <c r="E866" t="s">
        <v>179</v>
      </c>
      <c r="F866" t="s">
        <v>83</v>
      </c>
      <c r="G866" t="s">
        <v>99</v>
      </c>
      <c r="H866">
        <v>34</v>
      </c>
      <c r="I866" s="2">
        <v>72</v>
      </c>
      <c r="J866" s="2">
        <v>54.4</v>
      </c>
      <c r="K866" s="2">
        <v>2448</v>
      </c>
      <c r="L866" s="2">
        <v>1849.6</v>
      </c>
      <c r="M866" s="2">
        <v>598.4</v>
      </c>
      <c r="N866">
        <v>1</v>
      </c>
    </row>
    <row r="867" spans="1:14" x14ac:dyDescent="0.3">
      <c r="A867" s="1">
        <v>37940</v>
      </c>
      <c r="B867">
        <v>10187</v>
      </c>
      <c r="C867">
        <v>211</v>
      </c>
      <c r="D867" t="s">
        <v>230</v>
      </c>
      <c r="E867" t="s">
        <v>179</v>
      </c>
      <c r="F867" t="s">
        <v>83</v>
      </c>
      <c r="G867" t="s">
        <v>100</v>
      </c>
      <c r="H867">
        <v>44</v>
      </c>
      <c r="I867" s="2">
        <v>70.33</v>
      </c>
      <c r="J867" s="2">
        <v>36.270000000000003</v>
      </c>
      <c r="K867" s="2">
        <v>3094.52</v>
      </c>
      <c r="L867" s="2">
        <v>1595.88</v>
      </c>
      <c r="M867" s="2">
        <v>1498.64</v>
      </c>
      <c r="N867">
        <v>1</v>
      </c>
    </row>
    <row r="868" spans="1:14" x14ac:dyDescent="0.3">
      <c r="A868" s="1">
        <v>37943</v>
      </c>
      <c r="B868">
        <v>10188</v>
      </c>
      <c r="C868">
        <v>167</v>
      </c>
      <c r="D868" t="s">
        <v>176</v>
      </c>
      <c r="E868" t="s">
        <v>28</v>
      </c>
      <c r="F868" t="s">
        <v>102</v>
      </c>
      <c r="G868" t="s">
        <v>103</v>
      </c>
      <c r="H868">
        <v>48</v>
      </c>
      <c r="I868" s="2">
        <v>95.7</v>
      </c>
      <c r="J868" s="2">
        <v>48.81</v>
      </c>
      <c r="K868" s="2">
        <v>4593.6000000000004</v>
      </c>
      <c r="L868" s="2">
        <v>2342.88</v>
      </c>
      <c r="M868" s="2">
        <v>2250.7199999999998</v>
      </c>
      <c r="N868">
        <v>2</v>
      </c>
    </row>
    <row r="869" spans="1:14" x14ac:dyDescent="0.3">
      <c r="A869" s="1">
        <v>37943</v>
      </c>
      <c r="B869">
        <v>10188</v>
      </c>
      <c r="C869">
        <v>167</v>
      </c>
      <c r="D869" t="s">
        <v>176</v>
      </c>
      <c r="E869" t="s">
        <v>28</v>
      </c>
      <c r="F869" t="s">
        <v>102</v>
      </c>
      <c r="G869" t="s">
        <v>104</v>
      </c>
      <c r="H869">
        <v>38</v>
      </c>
      <c r="I869" s="2">
        <v>111.8</v>
      </c>
      <c r="J869" s="2">
        <v>68.989999999999995</v>
      </c>
      <c r="K869" s="2">
        <v>4248.3999999999996</v>
      </c>
      <c r="L869" s="2">
        <v>2621.62</v>
      </c>
      <c r="M869" s="2">
        <v>1626.78</v>
      </c>
      <c r="N869">
        <v>2</v>
      </c>
    </row>
    <row r="870" spans="1:14" x14ac:dyDescent="0.3">
      <c r="A870" s="1">
        <v>37943</v>
      </c>
      <c r="B870">
        <v>10188</v>
      </c>
      <c r="C870">
        <v>167</v>
      </c>
      <c r="D870" t="s">
        <v>176</v>
      </c>
      <c r="E870" t="s">
        <v>28</v>
      </c>
      <c r="F870" t="s">
        <v>102</v>
      </c>
      <c r="G870" t="s">
        <v>105</v>
      </c>
      <c r="H870">
        <v>45</v>
      </c>
      <c r="I870" s="2">
        <v>182.04</v>
      </c>
      <c r="J870" s="2">
        <v>91.02</v>
      </c>
      <c r="K870" s="2">
        <v>8191.8</v>
      </c>
      <c r="L870" s="2">
        <v>4095.9</v>
      </c>
      <c r="M870" s="2">
        <v>4095.9</v>
      </c>
      <c r="N870">
        <v>2</v>
      </c>
    </row>
    <row r="871" spans="1:14" x14ac:dyDescent="0.3">
      <c r="A871" s="1">
        <v>37943</v>
      </c>
      <c r="B871">
        <v>10188</v>
      </c>
      <c r="C871">
        <v>167</v>
      </c>
      <c r="D871" t="s">
        <v>176</v>
      </c>
      <c r="E871" t="s">
        <v>28</v>
      </c>
      <c r="F871" t="s">
        <v>102</v>
      </c>
      <c r="G871" t="s">
        <v>107</v>
      </c>
      <c r="H871">
        <v>32</v>
      </c>
      <c r="I871" s="2">
        <v>52.09</v>
      </c>
      <c r="J871" s="2">
        <v>24.23</v>
      </c>
      <c r="K871" s="2">
        <v>1666.88</v>
      </c>
      <c r="L871" s="2">
        <v>775.36</v>
      </c>
      <c r="M871" s="2">
        <v>891.52</v>
      </c>
      <c r="N871">
        <v>2</v>
      </c>
    </row>
    <row r="872" spans="1:14" x14ac:dyDescent="0.3">
      <c r="A872" s="1">
        <v>37943</v>
      </c>
      <c r="B872">
        <v>10188</v>
      </c>
      <c r="C872">
        <v>167</v>
      </c>
      <c r="D872" t="s">
        <v>176</v>
      </c>
      <c r="E872" t="s">
        <v>28</v>
      </c>
      <c r="F872" t="s">
        <v>102</v>
      </c>
      <c r="G872" t="s">
        <v>108</v>
      </c>
      <c r="H872">
        <v>25</v>
      </c>
      <c r="I872" s="2">
        <v>95.8</v>
      </c>
      <c r="J872" s="2">
        <v>60.86</v>
      </c>
      <c r="K872" s="2">
        <v>2395</v>
      </c>
      <c r="L872" s="2">
        <v>1521.5</v>
      </c>
      <c r="M872" s="2">
        <v>873.5</v>
      </c>
      <c r="N872">
        <v>2</v>
      </c>
    </row>
    <row r="873" spans="1:14" x14ac:dyDescent="0.3">
      <c r="A873" s="1">
        <v>37943</v>
      </c>
      <c r="B873">
        <v>10188</v>
      </c>
      <c r="C873">
        <v>167</v>
      </c>
      <c r="D873" t="s">
        <v>176</v>
      </c>
      <c r="E873" t="s">
        <v>28</v>
      </c>
      <c r="F873" t="s">
        <v>102</v>
      </c>
      <c r="G873" t="s">
        <v>109</v>
      </c>
      <c r="H873">
        <v>40</v>
      </c>
      <c r="I873" s="2">
        <v>61.7</v>
      </c>
      <c r="J873" s="2">
        <v>37.32</v>
      </c>
      <c r="K873" s="2">
        <v>2468</v>
      </c>
      <c r="L873" s="2">
        <v>1492.8</v>
      </c>
      <c r="M873" s="2">
        <v>975.2</v>
      </c>
      <c r="N873">
        <v>2</v>
      </c>
    </row>
    <row r="874" spans="1:14" x14ac:dyDescent="0.3">
      <c r="A874" s="1">
        <v>37943</v>
      </c>
      <c r="B874">
        <v>10188</v>
      </c>
      <c r="C874">
        <v>167</v>
      </c>
      <c r="D874" t="s">
        <v>176</v>
      </c>
      <c r="E874" t="s">
        <v>28</v>
      </c>
      <c r="F874" t="s">
        <v>102</v>
      </c>
      <c r="G874" t="s">
        <v>110</v>
      </c>
      <c r="H874">
        <v>44</v>
      </c>
      <c r="I874" s="2">
        <v>81.91</v>
      </c>
      <c r="J874" s="2">
        <v>66.92</v>
      </c>
      <c r="K874" s="2">
        <v>3604.04</v>
      </c>
      <c r="L874" s="2">
        <v>2944.48</v>
      </c>
      <c r="M874" s="2">
        <v>659.56</v>
      </c>
      <c r="N874">
        <v>2</v>
      </c>
    </row>
    <row r="875" spans="1:14" x14ac:dyDescent="0.3">
      <c r="A875" s="1">
        <v>37943</v>
      </c>
      <c r="B875">
        <v>10188</v>
      </c>
      <c r="C875">
        <v>167</v>
      </c>
      <c r="D875" t="s">
        <v>176</v>
      </c>
      <c r="E875" t="s">
        <v>28</v>
      </c>
      <c r="F875" t="s">
        <v>83</v>
      </c>
      <c r="G875" t="s">
        <v>98</v>
      </c>
      <c r="H875">
        <v>29</v>
      </c>
      <c r="I875" s="2">
        <v>96.11</v>
      </c>
      <c r="J875" s="2">
        <v>59.33</v>
      </c>
      <c r="K875" s="2">
        <v>2787.19</v>
      </c>
      <c r="L875" s="2">
        <v>1720.57</v>
      </c>
      <c r="M875" s="2">
        <v>1066.6199999999999</v>
      </c>
      <c r="N875">
        <v>2</v>
      </c>
    </row>
    <row r="876" spans="1:14" x14ac:dyDescent="0.3">
      <c r="A876" s="1">
        <v>37943</v>
      </c>
      <c r="B876">
        <v>10189</v>
      </c>
      <c r="C876">
        <v>205</v>
      </c>
      <c r="D876" t="s">
        <v>217</v>
      </c>
      <c r="E876" t="s">
        <v>14</v>
      </c>
      <c r="F876" t="s">
        <v>102</v>
      </c>
      <c r="G876" t="s">
        <v>106</v>
      </c>
      <c r="H876">
        <v>28</v>
      </c>
      <c r="I876" s="2">
        <v>138.57</v>
      </c>
      <c r="J876" s="2">
        <v>66.27</v>
      </c>
      <c r="K876" s="2">
        <v>3879.96</v>
      </c>
      <c r="L876" s="2">
        <v>1855.56</v>
      </c>
      <c r="M876" s="2">
        <v>2024.4</v>
      </c>
      <c r="N876">
        <v>2</v>
      </c>
    </row>
    <row r="877" spans="1:14" x14ac:dyDescent="0.3">
      <c r="A877" s="1">
        <v>37944</v>
      </c>
      <c r="B877">
        <v>10190</v>
      </c>
      <c r="C877">
        <v>141</v>
      </c>
      <c r="D877" t="s">
        <v>47</v>
      </c>
      <c r="E877" t="s">
        <v>48</v>
      </c>
      <c r="F877" t="s">
        <v>102</v>
      </c>
      <c r="G877" t="s">
        <v>121</v>
      </c>
      <c r="H877">
        <v>42</v>
      </c>
      <c r="I877" s="2">
        <v>58.87</v>
      </c>
      <c r="J877" s="2">
        <v>47.1</v>
      </c>
      <c r="K877" s="2">
        <v>2472.54</v>
      </c>
      <c r="L877" s="2">
        <v>1978.2</v>
      </c>
      <c r="M877" s="2">
        <v>494.34</v>
      </c>
      <c r="N877">
        <v>6</v>
      </c>
    </row>
    <row r="878" spans="1:14" x14ac:dyDescent="0.3">
      <c r="A878" s="1">
        <v>37944</v>
      </c>
      <c r="B878">
        <v>10190</v>
      </c>
      <c r="C878">
        <v>141</v>
      </c>
      <c r="D878" t="s">
        <v>47</v>
      </c>
      <c r="E878" t="s">
        <v>48</v>
      </c>
      <c r="F878" t="s">
        <v>102</v>
      </c>
      <c r="G878" t="s">
        <v>125</v>
      </c>
      <c r="H878">
        <v>46</v>
      </c>
      <c r="I878" s="2">
        <v>38.619999999999997</v>
      </c>
      <c r="J878" s="2">
        <v>24.14</v>
      </c>
      <c r="K878" s="2">
        <v>1776.52</v>
      </c>
      <c r="L878" s="2">
        <v>1110.44</v>
      </c>
      <c r="M878" s="2">
        <v>666.08</v>
      </c>
      <c r="N878">
        <v>6</v>
      </c>
    </row>
    <row r="879" spans="1:14" x14ac:dyDescent="0.3">
      <c r="A879" s="1">
        <v>37944</v>
      </c>
      <c r="B879">
        <v>10190</v>
      </c>
      <c r="C879">
        <v>141</v>
      </c>
      <c r="D879" t="s">
        <v>47</v>
      </c>
      <c r="E879" t="s">
        <v>48</v>
      </c>
      <c r="F879" t="s">
        <v>102</v>
      </c>
      <c r="G879" t="s">
        <v>126</v>
      </c>
      <c r="H879">
        <v>42</v>
      </c>
      <c r="I879" s="2">
        <v>89.8</v>
      </c>
      <c r="J879" s="2">
        <v>56.13</v>
      </c>
      <c r="K879" s="2">
        <v>3771.6</v>
      </c>
      <c r="L879" s="2">
        <v>2357.46</v>
      </c>
      <c r="M879" s="2">
        <v>1414.14</v>
      </c>
      <c r="N879">
        <v>6</v>
      </c>
    </row>
    <row r="880" spans="1:14" x14ac:dyDescent="0.3">
      <c r="A880" s="1">
        <v>37944</v>
      </c>
      <c r="B880">
        <v>10190</v>
      </c>
      <c r="C880">
        <v>141</v>
      </c>
      <c r="D880" t="s">
        <v>47</v>
      </c>
      <c r="E880" t="s">
        <v>48</v>
      </c>
      <c r="F880" t="s">
        <v>102</v>
      </c>
      <c r="G880" t="s">
        <v>127</v>
      </c>
      <c r="H880">
        <v>40</v>
      </c>
      <c r="I880" s="2">
        <v>67.53</v>
      </c>
      <c r="J880" s="2">
        <v>34.17</v>
      </c>
      <c r="K880" s="2">
        <v>2701.2</v>
      </c>
      <c r="L880" s="2">
        <v>1366.8</v>
      </c>
      <c r="M880" s="2">
        <v>1334.4</v>
      </c>
      <c r="N880">
        <v>6</v>
      </c>
    </row>
    <row r="881" spans="1:14" x14ac:dyDescent="0.3">
      <c r="A881" s="1">
        <v>37945</v>
      </c>
      <c r="B881">
        <v>10191</v>
      </c>
      <c r="C881">
        <v>259</v>
      </c>
      <c r="D881" t="s">
        <v>180</v>
      </c>
      <c r="E881" t="s">
        <v>20</v>
      </c>
      <c r="F881" t="s">
        <v>29</v>
      </c>
      <c r="G881" t="s">
        <v>112</v>
      </c>
      <c r="H881">
        <v>21</v>
      </c>
      <c r="I881" s="2">
        <v>155.66</v>
      </c>
      <c r="J881" s="2">
        <v>95.34</v>
      </c>
      <c r="K881" s="2">
        <v>3268.86</v>
      </c>
      <c r="L881" s="2">
        <v>2002.14</v>
      </c>
      <c r="M881" s="2">
        <v>1266.72</v>
      </c>
      <c r="N881">
        <v>1</v>
      </c>
    </row>
    <row r="882" spans="1:14" x14ac:dyDescent="0.3">
      <c r="A882" s="1">
        <v>37945</v>
      </c>
      <c r="B882">
        <v>10191</v>
      </c>
      <c r="C882">
        <v>259</v>
      </c>
      <c r="D882" t="s">
        <v>180</v>
      </c>
      <c r="E882" t="s">
        <v>20</v>
      </c>
      <c r="F882" t="s">
        <v>29</v>
      </c>
      <c r="G882" t="s">
        <v>113</v>
      </c>
      <c r="H882">
        <v>40</v>
      </c>
      <c r="I882" s="2">
        <v>104.52</v>
      </c>
      <c r="J882" s="2">
        <v>75.16</v>
      </c>
      <c r="K882" s="2">
        <v>4180.8</v>
      </c>
      <c r="L882" s="2">
        <v>3006.4</v>
      </c>
      <c r="M882" s="2">
        <v>1174.4000000000001</v>
      </c>
      <c r="N882">
        <v>1</v>
      </c>
    </row>
    <row r="883" spans="1:14" x14ac:dyDescent="0.3">
      <c r="A883" s="1">
        <v>37945</v>
      </c>
      <c r="B883">
        <v>10191</v>
      </c>
      <c r="C883">
        <v>259</v>
      </c>
      <c r="D883" t="s">
        <v>180</v>
      </c>
      <c r="E883" t="s">
        <v>20</v>
      </c>
      <c r="F883" t="s">
        <v>29</v>
      </c>
      <c r="G883" t="s">
        <v>114</v>
      </c>
      <c r="H883">
        <v>30</v>
      </c>
      <c r="I883" s="2">
        <v>70.22</v>
      </c>
      <c r="J883" s="2">
        <v>31.92</v>
      </c>
      <c r="K883" s="2">
        <v>2106.6</v>
      </c>
      <c r="L883" s="2">
        <v>957.6</v>
      </c>
      <c r="M883" s="2">
        <v>1149</v>
      </c>
      <c r="N883">
        <v>1</v>
      </c>
    </row>
    <row r="884" spans="1:14" x14ac:dyDescent="0.3">
      <c r="A884" s="1">
        <v>37945</v>
      </c>
      <c r="B884">
        <v>10191</v>
      </c>
      <c r="C884">
        <v>259</v>
      </c>
      <c r="D884" t="s">
        <v>180</v>
      </c>
      <c r="E884" t="s">
        <v>20</v>
      </c>
      <c r="F884" t="s">
        <v>29</v>
      </c>
      <c r="G884" t="s">
        <v>117</v>
      </c>
      <c r="H884">
        <v>36</v>
      </c>
      <c r="I884" s="2">
        <v>75.59</v>
      </c>
      <c r="J884" s="2">
        <v>49.05</v>
      </c>
      <c r="K884" s="2">
        <v>2721.24</v>
      </c>
      <c r="L884" s="2">
        <v>1765.8</v>
      </c>
      <c r="M884" s="2">
        <v>955.44</v>
      </c>
      <c r="N884">
        <v>1</v>
      </c>
    </row>
    <row r="885" spans="1:14" x14ac:dyDescent="0.3">
      <c r="A885" s="1">
        <v>37945</v>
      </c>
      <c r="B885">
        <v>10191</v>
      </c>
      <c r="C885">
        <v>259</v>
      </c>
      <c r="D885" t="s">
        <v>180</v>
      </c>
      <c r="E885" t="s">
        <v>20</v>
      </c>
      <c r="F885" t="s">
        <v>29</v>
      </c>
      <c r="G885" t="s">
        <v>118</v>
      </c>
      <c r="H885">
        <v>23</v>
      </c>
      <c r="I885" s="2">
        <v>119.06</v>
      </c>
      <c r="J885" s="2">
        <v>73.489999999999995</v>
      </c>
      <c r="K885" s="2">
        <v>2738.38</v>
      </c>
      <c r="L885" s="2">
        <v>1690.27</v>
      </c>
      <c r="M885" s="2">
        <v>1048.1099999999999</v>
      </c>
      <c r="N885">
        <v>1</v>
      </c>
    </row>
    <row r="886" spans="1:14" x14ac:dyDescent="0.3">
      <c r="A886" s="1">
        <v>37945</v>
      </c>
      <c r="B886">
        <v>10191</v>
      </c>
      <c r="C886">
        <v>259</v>
      </c>
      <c r="D886" t="s">
        <v>180</v>
      </c>
      <c r="E886" t="s">
        <v>20</v>
      </c>
      <c r="F886" t="s">
        <v>102</v>
      </c>
      <c r="G886" t="s">
        <v>119</v>
      </c>
      <c r="H886">
        <v>43</v>
      </c>
      <c r="I886" s="2">
        <v>60.93</v>
      </c>
      <c r="J886" s="2">
        <v>32.950000000000003</v>
      </c>
      <c r="K886" s="2">
        <v>2619.9899999999998</v>
      </c>
      <c r="L886" s="2">
        <v>1416.85</v>
      </c>
      <c r="M886" s="2">
        <v>1203.1400000000001</v>
      </c>
      <c r="N886">
        <v>1</v>
      </c>
    </row>
    <row r="887" spans="1:14" x14ac:dyDescent="0.3">
      <c r="A887" s="1">
        <v>37945</v>
      </c>
      <c r="B887">
        <v>10191</v>
      </c>
      <c r="C887">
        <v>259</v>
      </c>
      <c r="D887" t="s">
        <v>180</v>
      </c>
      <c r="E887" t="s">
        <v>20</v>
      </c>
      <c r="F887" t="s">
        <v>29</v>
      </c>
      <c r="G887" t="s">
        <v>120</v>
      </c>
      <c r="H887">
        <v>32</v>
      </c>
      <c r="I887" s="2">
        <v>136.9</v>
      </c>
      <c r="J887" s="2">
        <v>69.930000000000007</v>
      </c>
      <c r="K887" s="2">
        <v>4380.8</v>
      </c>
      <c r="L887" s="2">
        <v>2237.7600000000002</v>
      </c>
      <c r="M887" s="2">
        <v>2143.04</v>
      </c>
      <c r="N887">
        <v>1</v>
      </c>
    </row>
    <row r="888" spans="1:14" x14ac:dyDescent="0.3">
      <c r="A888" s="1">
        <v>37945</v>
      </c>
      <c r="B888">
        <v>10191</v>
      </c>
      <c r="C888">
        <v>259</v>
      </c>
      <c r="D888" t="s">
        <v>180</v>
      </c>
      <c r="E888" t="s">
        <v>20</v>
      </c>
      <c r="F888" t="s">
        <v>29</v>
      </c>
      <c r="G888" t="s">
        <v>122</v>
      </c>
      <c r="H888">
        <v>48</v>
      </c>
      <c r="I888" s="2">
        <v>53.27</v>
      </c>
      <c r="J888" s="2">
        <v>38.58</v>
      </c>
      <c r="K888" s="2">
        <v>2556.96</v>
      </c>
      <c r="L888" s="2">
        <v>1851.84</v>
      </c>
      <c r="M888" s="2">
        <v>705.12</v>
      </c>
      <c r="N888">
        <v>1</v>
      </c>
    </row>
    <row r="889" spans="1:14" x14ac:dyDescent="0.3">
      <c r="A889" s="1">
        <v>37945</v>
      </c>
      <c r="B889">
        <v>10191</v>
      </c>
      <c r="C889">
        <v>259</v>
      </c>
      <c r="D889" t="s">
        <v>180</v>
      </c>
      <c r="E889" t="s">
        <v>20</v>
      </c>
      <c r="F889" t="s">
        <v>29</v>
      </c>
      <c r="G889" t="s">
        <v>124</v>
      </c>
      <c r="H889">
        <v>44</v>
      </c>
      <c r="I889" s="2">
        <v>77.61</v>
      </c>
      <c r="J889" s="2">
        <v>32.33</v>
      </c>
      <c r="K889" s="2">
        <v>3414.84</v>
      </c>
      <c r="L889" s="2">
        <v>1422.52</v>
      </c>
      <c r="M889" s="2">
        <v>1992.32</v>
      </c>
      <c r="N889">
        <v>1</v>
      </c>
    </row>
    <row r="890" spans="1:14" x14ac:dyDescent="0.3">
      <c r="A890" s="1">
        <v>37945</v>
      </c>
      <c r="B890">
        <v>10192</v>
      </c>
      <c r="C890">
        <v>363</v>
      </c>
      <c r="D890" t="s">
        <v>198</v>
      </c>
      <c r="E890" t="s">
        <v>14</v>
      </c>
      <c r="F890" t="s">
        <v>29</v>
      </c>
      <c r="G890" t="s">
        <v>115</v>
      </c>
      <c r="H890">
        <v>27</v>
      </c>
      <c r="I890" s="2">
        <v>99.04</v>
      </c>
      <c r="J890" s="2">
        <v>58.73</v>
      </c>
      <c r="K890" s="2">
        <v>2674.08</v>
      </c>
      <c r="L890" s="2">
        <v>1585.71</v>
      </c>
      <c r="M890" s="2">
        <v>1088.3699999999999</v>
      </c>
      <c r="N890">
        <v>2</v>
      </c>
    </row>
    <row r="891" spans="1:14" x14ac:dyDescent="0.3">
      <c r="A891" s="1">
        <v>37945</v>
      </c>
      <c r="B891">
        <v>10192</v>
      </c>
      <c r="C891">
        <v>363</v>
      </c>
      <c r="D891" t="s">
        <v>198</v>
      </c>
      <c r="E891" t="s">
        <v>14</v>
      </c>
      <c r="F891" t="s">
        <v>29</v>
      </c>
      <c r="G891" t="s">
        <v>128</v>
      </c>
      <c r="H891">
        <v>22</v>
      </c>
      <c r="I891" s="2">
        <v>140.12</v>
      </c>
      <c r="J891" s="2">
        <v>83.51</v>
      </c>
      <c r="K891" s="2">
        <v>3082.64</v>
      </c>
      <c r="L891" s="2">
        <v>1837.22</v>
      </c>
      <c r="M891" s="2">
        <v>1245.42</v>
      </c>
      <c r="N891">
        <v>2</v>
      </c>
    </row>
    <row r="892" spans="1:14" x14ac:dyDescent="0.3">
      <c r="A892" s="1">
        <v>37945</v>
      </c>
      <c r="B892">
        <v>10192</v>
      </c>
      <c r="C892">
        <v>363</v>
      </c>
      <c r="D892" t="s">
        <v>198</v>
      </c>
      <c r="E892" t="s">
        <v>14</v>
      </c>
      <c r="F892" t="s">
        <v>29</v>
      </c>
      <c r="G892" t="s">
        <v>134</v>
      </c>
      <c r="H892">
        <v>29</v>
      </c>
      <c r="I892" s="2">
        <v>100.8</v>
      </c>
      <c r="J892" s="2">
        <v>65.959999999999994</v>
      </c>
      <c r="K892" s="2">
        <v>2923.2</v>
      </c>
      <c r="L892" s="2">
        <v>1912.84</v>
      </c>
      <c r="M892" s="2">
        <v>1010.36</v>
      </c>
      <c r="N892">
        <v>2</v>
      </c>
    </row>
    <row r="893" spans="1:14" x14ac:dyDescent="0.3">
      <c r="A893" s="1">
        <v>37945</v>
      </c>
      <c r="B893">
        <v>10192</v>
      </c>
      <c r="C893">
        <v>363</v>
      </c>
      <c r="D893" t="s">
        <v>198</v>
      </c>
      <c r="E893" t="s">
        <v>14</v>
      </c>
      <c r="F893" t="s">
        <v>29</v>
      </c>
      <c r="G893" t="s">
        <v>116</v>
      </c>
      <c r="H893">
        <v>45</v>
      </c>
      <c r="I893" s="2">
        <v>70.84</v>
      </c>
      <c r="J893" s="2">
        <v>53.9</v>
      </c>
      <c r="K893" s="2">
        <v>3187.8</v>
      </c>
      <c r="L893" s="2">
        <v>2425.5</v>
      </c>
      <c r="M893" s="2">
        <v>762.3</v>
      </c>
      <c r="N893">
        <v>2</v>
      </c>
    </row>
    <row r="894" spans="1:14" x14ac:dyDescent="0.3">
      <c r="A894" s="1">
        <v>37945</v>
      </c>
      <c r="B894">
        <v>10192</v>
      </c>
      <c r="C894">
        <v>363</v>
      </c>
      <c r="D894" t="s">
        <v>198</v>
      </c>
      <c r="E894" t="s">
        <v>14</v>
      </c>
      <c r="F894" t="s">
        <v>29</v>
      </c>
      <c r="G894" t="s">
        <v>129</v>
      </c>
      <c r="H894">
        <v>47</v>
      </c>
      <c r="I894" s="2">
        <v>128.03</v>
      </c>
      <c r="J894" s="2">
        <v>93.89</v>
      </c>
      <c r="K894" s="2">
        <v>6017.41</v>
      </c>
      <c r="L894" s="2">
        <v>4412.83</v>
      </c>
      <c r="M894" s="2">
        <v>1604.58</v>
      </c>
      <c r="N894">
        <v>2</v>
      </c>
    </row>
    <row r="895" spans="1:14" x14ac:dyDescent="0.3">
      <c r="A895" s="1">
        <v>37945</v>
      </c>
      <c r="B895">
        <v>10192</v>
      </c>
      <c r="C895">
        <v>363</v>
      </c>
      <c r="D895" t="s">
        <v>198</v>
      </c>
      <c r="E895" t="s">
        <v>14</v>
      </c>
      <c r="F895" t="s">
        <v>29</v>
      </c>
      <c r="G895" t="s">
        <v>130</v>
      </c>
      <c r="H895">
        <v>38</v>
      </c>
      <c r="I895" s="2">
        <v>110.88</v>
      </c>
      <c r="J895" s="2">
        <v>56.76</v>
      </c>
      <c r="K895" s="2">
        <v>4213.4399999999996</v>
      </c>
      <c r="L895" s="2">
        <v>2156.88</v>
      </c>
      <c r="M895" s="2">
        <v>2056.56</v>
      </c>
      <c r="N895">
        <v>2</v>
      </c>
    </row>
    <row r="896" spans="1:14" x14ac:dyDescent="0.3">
      <c r="A896" s="1">
        <v>37945</v>
      </c>
      <c r="B896">
        <v>10192</v>
      </c>
      <c r="C896">
        <v>363</v>
      </c>
      <c r="D896" t="s">
        <v>198</v>
      </c>
      <c r="E896" t="s">
        <v>14</v>
      </c>
      <c r="F896" t="s">
        <v>29</v>
      </c>
      <c r="G896" t="s">
        <v>53</v>
      </c>
      <c r="H896">
        <v>26</v>
      </c>
      <c r="I896" s="2">
        <v>137.16999999999999</v>
      </c>
      <c r="J896" s="2">
        <v>77.900000000000006</v>
      </c>
      <c r="K896" s="2">
        <v>3566.42</v>
      </c>
      <c r="L896" s="2">
        <v>2025.4</v>
      </c>
      <c r="M896" s="2">
        <v>1541.02</v>
      </c>
      <c r="N896">
        <v>2</v>
      </c>
    </row>
    <row r="897" spans="1:14" x14ac:dyDescent="0.3">
      <c r="A897" s="1">
        <v>37945</v>
      </c>
      <c r="B897">
        <v>10192</v>
      </c>
      <c r="C897">
        <v>363</v>
      </c>
      <c r="D897" t="s">
        <v>198</v>
      </c>
      <c r="E897" t="s">
        <v>14</v>
      </c>
      <c r="F897" t="s">
        <v>29</v>
      </c>
      <c r="G897" t="s">
        <v>131</v>
      </c>
      <c r="H897">
        <v>45</v>
      </c>
      <c r="I897" s="2">
        <v>125.74</v>
      </c>
      <c r="J897" s="2">
        <v>62.16</v>
      </c>
      <c r="K897" s="2">
        <v>5658.3</v>
      </c>
      <c r="L897" s="2">
        <v>2797.2</v>
      </c>
      <c r="M897" s="2">
        <v>2861.1</v>
      </c>
      <c r="N897">
        <v>2</v>
      </c>
    </row>
    <row r="898" spans="1:14" x14ac:dyDescent="0.3">
      <c r="A898" s="1">
        <v>37945</v>
      </c>
      <c r="B898">
        <v>10192</v>
      </c>
      <c r="C898">
        <v>363</v>
      </c>
      <c r="D898" t="s">
        <v>198</v>
      </c>
      <c r="E898" t="s">
        <v>14</v>
      </c>
      <c r="F898" t="s">
        <v>29</v>
      </c>
      <c r="G898" t="s">
        <v>136</v>
      </c>
      <c r="H898">
        <v>37</v>
      </c>
      <c r="I898" s="2">
        <v>72.02</v>
      </c>
      <c r="J898" s="2">
        <v>49.24</v>
      </c>
      <c r="K898" s="2">
        <v>2664.74</v>
      </c>
      <c r="L898" s="2">
        <v>1821.88</v>
      </c>
      <c r="M898" s="2">
        <v>842.86</v>
      </c>
      <c r="N898">
        <v>2</v>
      </c>
    </row>
    <row r="899" spans="1:14" x14ac:dyDescent="0.3">
      <c r="A899" s="1">
        <v>37945</v>
      </c>
      <c r="B899">
        <v>10192</v>
      </c>
      <c r="C899">
        <v>363</v>
      </c>
      <c r="D899" t="s">
        <v>198</v>
      </c>
      <c r="E899" t="s">
        <v>14</v>
      </c>
      <c r="F899" t="s">
        <v>29</v>
      </c>
      <c r="G899" t="s">
        <v>137</v>
      </c>
      <c r="H899">
        <v>47</v>
      </c>
      <c r="I899" s="2">
        <v>49.3</v>
      </c>
      <c r="J899" s="2">
        <v>29.18</v>
      </c>
      <c r="K899" s="2">
        <v>2317.1</v>
      </c>
      <c r="L899" s="2">
        <v>1371.46</v>
      </c>
      <c r="M899" s="2">
        <v>945.64</v>
      </c>
      <c r="N899">
        <v>2</v>
      </c>
    </row>
    <row r="900" spans="1:14" x14ac:dyDescent="0.3">
      <c r="A900" s="1">
        <v>37945</v>
      </c>
      <c r="B900">
        <v>10192</v>
      </c>
      <c r="C900">
        <v>363</v>
      </c>
      <c r="D900" t="s">
        <v>198</v>
      </c>
      <c r="E900" t="s">
        <v>14</v>
      </c>
      <c r="F900" t="s">
        <v>29</v>
      </c>
      <c r="G900" t="s">
        <v>138</v>
      </c>
      <c r="H900">
        <v>46</v>
      </c>
      <c r="I900" s="2">
        <v>86.33</v>
      </c>
      <c r="J900" s="2">
        <v>47.25</v>
      </c>
      <c r="K900" s="2">
        <v>3971.18</v>
      </c>
      <c r="L900" s="2">
        <v>2173.5</v>
      </c>
      <c r="M900" s="2">
        <v>1797.68</v>
      </c>
      <c r="N900">
        <v>2</v>
      </c>
    </row>
    <row r="901" spans="1:14" x14ac:dyDescent="0.3">
      <c r="A901" s="1">
        <v>37945</v>
      </c>
      <c r="B901">
        <v>10192</v>
      </c>
      <c r="C901">
        <v>363</v>
      </c>
      <c r="D901" t="s">
        <v>198</v>
      </c>
      <c r="E901" t="s">
        <v>14</v>
      </c>
      <c r="F901" t="s">
        <v>29</v>
      </c>
      <c r="G901" t="s">
        <v>139</v>
      </c>
      <c r="H901">
        <v>23</v>
      </c>
      <c r="I901" s="2">
        <v>112.74</v>
      </c>
      <c r="J901" s="2">
        <v>72.819999999999993</v>
      </c>
      <c r="K901" s="2">
        <v>2593.02</v>
      </c>
      <c r="L901" s="2">
        <v>1674.86</v>
      </c>
      <c r="M901" s="2">
        <v>918.16</v>
      </c>
      <c r="N901">
        <v>2</v>
      </c>
    </row>
    <row r="902" spans="1:14" x14ac:dyDescent="0.3">
      <c r="A902" s="1">
        <v>37945</v>
      </c>
      <c r="B902">
        <v>10192</v>
      </c>
      <c r="C902">
        <v>363</v>
      </c>
      <c r="D902" t="s">
        <v>198</v>
      </c>
      <c r="E902" t="s">
        <v>14</v>
      </c>
      <c r="F902" t="s">
        <v>29</v>
      </c>
      <c r="G902" t="s">
        <v>132</v>
      </c>
      <c r="H902">
        <v>30</v>
      </c>
      <c r="I902" s="2">
        <v>33.229999999999997</v>
      </c>
      <c r="J902" s="2">
        <v>16.239999999999998</v>
      </c>
      <c r="K902" s="2">
        <v>996.9</v>
      </c>
      <c r="L902" s="2">
        <v>487.2</v>
      </c>
      <c r="M902" s="2">
        <v>509.7</v>
      </c>
      <c r="N902">
        <v>2</v>
      </c>
    </row>
    <row r="903" spans="1:14" x14ac:dyDescent="0.3">
      <c r="A903" s="1">
        <v>37945</v>
      </c>
      <c r="B903">
        <v>10192</v>
      </c>
      <c r="C903">
        <v>363</v>
      </c>
      <c r="D903" t="s">
        <v>198</v>
      </c>
      <c r="E903" t="s">
        <v>14</v>
      </c>
      <c r="F903" t="s">
        <v>29</v>
      </c>
      <c r="G903" t="s">
        <v>140</v>
      </c>
      <c r="H903">
        <v>32</v>
      </c>
      <c r="I903" s="2">
        <v>69.34</v>
      </c>
      <c r="J903" s="2">
        <v>50.51</v>
      </c>
      <c r="K903" s="2">
        <v>2218.88</v>
      </c>
      <c r="L903" s="2">
        <v>1616.32</v>
      </c>
      <c r="M903" s="2">
        <v>602.55999999999995</v>
      </c>
      <c r="N903">
        <v>2</v>
      </c>
    </row>
    <row r="904" spans="1:14" x14ac:dyDescent="0.3">
      <c r="A904" s="1">
        <v>37945</v>
      </c>
      <c r="B904">
        <v>10192</v>
      </c>
      <c r="C904">
        <v>363</v>
      </c>
      <c r="D904" t="s">
        <v>198</v>
      </c>
      <c r="E904" t="s">
        <v>14</v>
      </c>
      <c r="F904" t="s">
        <v>29</v>
      </c>
      <c r="G904" t="s">
        <v>141</v>
      </c>
      <c r="H904">
        <v>46</v>
      </c>
      <c r="I904" s="2">
        <v>93.16</v>
      </c>
      <c r="J904" s="2">
        <v>62.11</v>
      </c>
      <c r="K904" s="2">
        <v>4285.3599999999997</v>
      </c>
      <c r="L904" s="2">
        <v>2857.06</v>
      </c>
      <c r="M904" s="2">
        <v>1428.3</v>
      </c>
      <c r="N904">
        <v>2</v>
      </c>
    </row>
    <row r="905" spans="1:14" x14ac:dyDescent="0.3">
      <c r="A905" s="1">
        <v>37945</v>
      </c>
      <c r="B905">
        <v>10192</v>
      </c>
      <c r="C905">
        <v>363</v>
      </c>
      <c r="D905" t="s">
        <v>198</v>
      </c>
      <c r="E905" t="s">
        <v>14</v>
      </c>
      <c r="F905" t="s">
        <v>29</v>
      </c>
      <c r="G905" t="s">
        <v>123</v>
      </c>
      <c r="H905">
        <v>45</v>
      </c>
      <c r="I905" s="2">
        <v>112.34</v>
      </c>
      <c r="J905" s="2">
        <v>98.3</v>
      </c>
      <c r="K905" s="2">
        <v>5055.3</v>
      </c>
      <c r="L905" s="2">
        <v>4423.5</v>
      </c>
      <c r="M905" s="2">
        <v>631.79999999999995</v>
      </c>
      <c r="N905">
        <v>2</v>
      </c>
    </row>
    <row r="906" spans="1:14" x14ac:dyDescent="0.3">
      <c r="A906" s="1">
        <v>37946</v>
      </c>
      <c r="B906">
        <v>10193</v>
      </c>
      <c r="C906">
        <v>471</v>
      </c>
      <c r="D906" t="s">
        <v>181</v>
      </c>
      <c r="E906" t="s">
        <v>151</v>
      </c>
      <c r="F906" t="s">
        <v>15</v>
      </c>
      <c r="G906" t="s">
        <v>25</v>
      </c>
      <c r="H906">
        <v>28</v>
      </c>
      <c r="I906" s="2">
        <v>92.47</v>
      </c>
      <c r="J906" s="2">
        <v>60.62</v>
      </c>
      <c r="K906" s="2">
        <v>2589.16</v>
      </c>
      <c r="L906" s="2">
        <v>1697.36</v>
      </c>
      <c r="M906" s="2">
        <v>891.8</v>
      </c>
      <c r="N906">
        <v>1</v>
      </c>
    </row>
    <row r="907" spans="1:14" x14ac:dyDescent="0.3">
      <c r="A907" s="1">
        <v>37946</v>
      </c>
      <c r="B907">
        <v>10193</v>
      </c>
      <c r="C907">
        <v>471</v>
      </c>
      <c r="D907" t="s">
        <v>181</v>
      </c>
      <c r="E907" t="s">
        <v>151</v>
      </c>
      <c r="F907" t="s">
        <v>15</v>
      </c>
      <c r="G907" t="s">
        <v>26</v>
      </c>
      <c r="H907">
        <v>46</v>
      </c>
      <c r="I907" s="2">
        <v>46.36</v>
      </c>
      <c r="J907" s="2">
        <v>24.26</v>
      </c>
      <c r="K907" s="2">
        <v>2132.56</v>
      </c>
      <c r="L907" s="2">
        <v>1115.96</v>
      </c>
      <c r="M907" s="2">
        <v>1016.6</v>
      </c>
      <c r="N907">
        <v>1</v>
      </c>
    </row>
    <row r="908" spans="1:14" x14ac:dyDescent="0.3">
      <c r="A908" s="1">
        <v>37946</v>
      </c>
      <c r="B908">
        <v>10193</v>
      </c>
      <c r="C908">
        <v>471</v>
      </c>
      <c r="D908" t="s">
        <v>181</v>
      </c>
      <c r="E908" t="s">
        <v>151</v>
      </c>
      <c r="F908" t="s">
        <v>15</v>
      </c>
      <c r="G908" t="s">
        <v>16</v>
      </c>
      <c r="H908">
        <v>21</v>
      </c>
      <c r="I908" s="2">
        <v>153</v>
      </c>
      <c r="J908" s="2">
        <v>86.7</v>
      </c>
      <c r="K908" s="2">
        <v>3213</v>
      </c>
      <c r="L908" s="2">
        <v>1820.7</v>
      </c>
      <c r="M908" s="2">
        <v>1392.3</v>
      </c>
      <c r="N908">
        <v>1</v>
      </c>
    </row>
    <row r="909" spans="1:14" x14ac:dyDescent="0.3">
      <c r="A909" s="1">
        <v>37946</v>
      </c>
      <c r="B909">
        <v>10193</v>
      </c>
      <c r="C909">
        <v>471</v>
      </c>
      <c r="D909" t="s">
        <v>181</v>
      </c>
      <c r="E909" t="s">
        <v>151</v>
      </c>
      <c r="F909" t="s">
        <v>15</v>
      </c>
      <c r="G909" t="s">
        <v>17</v>
      </c>
      <c r="H909">
        <v>42</v>
      </c>
      <c r="I909" s="2">
        <v>60.54</v>
      </c>
      <c r="J909" s="2">
        <v>33.299999999999997</v>
      </c>
      <c r="K909" s="2">
        <v>2542.6799999999998</v>
      </c>
      <c r="L909" s="2">
        <v>1398.6</v>
      </c>
      <c r="M909" s="2">
        <v>1144.08</v>
      </c>
      <c r="N909">
        <v>1</v>
      </c>
    </row>
    <row r="910" spans="1:14" x14ac:dyDescent="0.3">
      <c r="A910" s="1">
        <v>37946</v>
      </c>
      <c r="B910">
        <v>10193</v>
      </c>
      <c r="C910">
        <v>471</v>
      </c>
      <c r="D910" t="s">
        <v>181</v>
      </c>
      <c r="E910" t="s">
        <v>151</v>
      </c>
      <c r="F910" t="s">
        <v>15</v>
      </c>
      <c r="G910" t="s">
        <v>21</v>
      </c>
      <c r="H910">
        <v>44</v>
      </c>
      <c r="I910" s="2">
        <v>115.69</v>
      </c>
      <c r="J910" s="2">
        <v>58.48</v>
      </c>
      <c r="K910" s="2">
        <v>5090.3599999999997</v>
      </c>
      <c r="L910" s="2">
        <v>2573.12</v>
      </c>
      <c r="M910" s="2">
        <v>2517.2399999999998</v>
      </c>
      <c r="N910">
        <v>1</v>
      </c>
    </row>
    <row r="911" spans="1:14" x14ac:dyDescent="0.3">
      <c r="A911" s="1">
        <v>37946</v>
      </c>
      <c r="B911">
        <v>10193</v>
      </c>
      <c r="C911">
        <v>471</v>
      </c>
      <c r="D911" t="s">
        <v>181</v>
      </c>
      <c r="E911" t="s">
        <v>151</v>
      </c>
      <c r="F911" t="s">
        <v>15</v>
      </c>
      <c r="G911" t="s">
        <v>22</v>
      </c>
      <c r="H911">
        <v>22</v>
      </c>
      <c r="I911" s="2">
        <v>143.44</v>
      </c>
      <c r="J911" s="2">
        <v>72.56</v>
      </c>
      <c r="K911" s="2">
        <v>3155.68</v>
      </c>
      <c r="L911" s="2">
        <v>1596.32</v>
      </c>
      <c r="M911" s="2">
        <v>1559.36</v>
      </c>
      <c r="N911">
        <v>1</v>
      </c>
    </row>
    <row r="912" spans="1:14" x14ac:dyDescent="0.3">
      <c r="A912" s="1">
        <v>37946</v>
      </c>
      <c r="B912">
        <v>10193</v>
      </c>
      <c r="C912">
        <v>471</v>
      </c>
      <c r="D912" t="s">
        <v>181</v>
      </c>
      <c r="E912" t="s">
        <v>151</v>
      </c>
      <c r="F912" t="s">
        <v>15</v>
      </c>
      <c r="G912" t="s">
        <v>36</v>
      </c>
      <c r="H912">
        <v>28</v>
      </c>
      <c r="I912" s="2">
        <v>87.13</v>
      </c>
      <c r="J912" s="2">
        <v>60.78</v>
      </c>
      <c r="K912" s="2">
        <v>2439.64</v>
      </c>
      <c r="L912" s="2">
        <v>1701.84</v>
      </c>
      <c r="M912" s="2">
        <v>737.8</v>
      </c>
      <c r="N912">
        <v>1</v>
      </c>
    </row>
    <row r="913" spans="1:14" x14ac:dyDescent="0.3">
      <c r="A913" s="1">
        <v>37946</v>
      </c>
      <c r="B913">
        <v>10193</v>
      </c>
      <c r="C913">
        <v>471</v>
      </c>
      <c r="D913" t="s">
        <v>181</v>
      </c>
      <c r="E913" t="s">
        <v>151</v>
      </c>
      <c r="F913" t="s">
        <v>15</v>
      </c>
      <c r="G913" t="s">
        <v>37</v>
      </c>
      <c r="H913">
        <v>24</v>
      </c>
      <c r="I913" s="2">
        <v>53.09</v>
      </c>
      <c r="J913" s="2">
        <v>34.35</v>
      </c>
      <c r="K913" s="2">
        <v>1274.1600000000001</v>
      </c>
      <c r="L913" s="2">
        <v>824.4</v>
      </c>
      <c r="M913" s="2">
        <v>449.76</v>
      </c>
      <c r="N913">
        <v>1</v>
      </c>
    </row>
    <row r="914" spans="1:14" x14ac:dyDescent="0.3">
      <c r="A914" s="1">
        <v>37946</v>
      </c>
      <c r="B914">
        <v>10193</v>
      </c>
      <c r="C914">
        <v>471</v>
      </c>
      <c r="D914" t="s">
        <v>181</v>
      </c>
      <c r="E914" t="s">
        <v>151</v>
      </c>
      <c r="F914" t="s">
        <v>15</v>
      </c>
      <c r="G914" t="s">
        <v>38</v>
      </c>
      <c r="H914">
        <v>23</v>
      </c>
      <c r="I914" s="2">
        <v>97.39</v>
      </c>
      <c r="J914" s="2">
        <v>60.74</v>
      </c>
      <c r="K914" s="2">
        <v>2239.9699999999998</v>
      </c>
      <c r="L914" s="2">
        <v>1397.02</v>
      </c>
      <c r="M914" s="2">
        <v>842.95</v>
      </c>
      <c r="N914">
        <v>1</v>
      </c>
    </row>
    <row r="915" spans="1:14" x14ac:dyDescent="0.3">
      <c r="A915" s="1">
        <v>37946</v>
      </c>
      <c r="B915">
        <v>10193</v>
      </c>
      <c r="C915">
        <v>471</v>
      </c>
      <c r="D915" t="s">
        <v>181</v>
      </c>
      <c r="E915" t="s">
        <v>151</v>
      </c>
      <c r="F915" t="s">
        <v>15</v>
      </c>
      <c r="G915" t="s">
        <v>39</v>
      </c>
      <c r="H915">
        <v>32</v>
      </c>
      <c r="I915" s="2">
        <v>79.37</v>
      </c>
      <c r="J915" s="2">
        <v>57.54</v>
      </c>
      <c r="K915" s="2">
        <v>2539.84</v>
      </c>
      <c r="L915" s="2">
        <v>1841.28</v>
      </c>
      <c r="M915" s="2">
        <v>698.56</v>
      </c>
      <c r="N915">
        <v>1</v>
      </c>
    </row>
    <row r="916" spans="1:14" x14ac:dyDescent="0.3">
      <c r="A916" s="1">
        <v>37946</v>
      </c>
      <c r="B916">
        <v>10193</v>
      </c>
      <c r="C916">
        <v>471</v>
      </c>
      <c r="D916" t="s">
        <v>181</v>
      </c>
      <c r="E916" t="s">
        <v>151</v>
      </c>
      <c r="F916" t="s">
        <v>15</v>
      </c>
      <c r="G916" t="s">
        <v>18</v>
      </c>
      <c r="H916">
        <v>24</v>
      </c>
      <c r="I916" s="2">
        <v>92.03</v>
      </c>
      <c r="J916" s="2">
        <v>43.26</v>
      </c>
      <c r="K916" s="2">
        <v>2208.7199999999998</v>
      </c>
      <c r="L916" s="2">
        <v>1038.24</v>
      </c>
      <c r="M916" s="2">
        <v>1170.48</v>
      </c>
      <c r="N916">
        <v>1</v>
      </c>
    </row>
    <row r="917" spans="1:14" x14ac:dyDescent="0.3">
      <c r="A917" s="1">
        <v>37946</v>
      </c>
      <c r="B917">
        <v>10193</v>
      </c>
      <c r="C917">
        <v>471</v>
      </c>
      <c r="D917" t="s">
        <v>181</v>
      </c>
      <c r="E917" t="s">
        <v>151</v>
      </c>
      <c r="F917" t="s">
        <v>29</v>
      </c>
      <c r="G917" t="s">
        <v>135</v>
      </c>
      <c r="H917">
        <v>25</v>
      </c>
      <c r="I917" s="2">
        <v>66.28</v>
      </c>
      <c r="J917" s="2">
        <v>34.21</v>
      </c>
      <c r="K917" s="2">
        <v>1657</v>
      </c>
      <c r="L917" s="2">
        <v>855.25</v>
      </c>
      <c r="M917" s="2">
        <v>801.75</v>
      </c>
      <c r="N917">
        <v>1</v>
      </c>
    </row>
    <row r="918" spans="1:14" x14ac:dyDescent="0.3">
      <c r="A918" s="1">
        <v>37946</v>
      </c>
      <c r="B918">
        <v>10193</v>
      </c>
      <c r="C918">
        <v>471</v>
      </c>
      <c r="D918" t="s">
        <v>181</v>
      </c>
      <c r="E918" t="s">
        <v>151</v>
      </c>
      <c r="F918" t="s">
        <v>15</v>
      </c>
      <c r="G918" t="s">
        <v>23</v>
      </c>
      <c r="H918">
        <v>26</v>
      </c>
      <c r="I918" s="2">
        <v>32.19</v>
      </c>
      <c r="J918" s="2">
        <v>22.57</v>
      </c>
      <c r="K918" s="2">
        <v>836.94</v>
      </c>
      <c r="L918" s="2">
        <v>586.82000000000005</v>
      </c>
      <c r="M918" s="2">
        <v>250.12</v>
      </c>
      <c r="N918">
        <v>1</v>
      </c>
    </row>
    <row r="919" spans="1:14" x14ac:dyDescent="0.3">
      <c r="A919" s="1">
        <v>37946</v>
      </c>
      <c r="B919">
        <v>10193</v>
      </c>
      <c r="C919">
        <v>471</v>
      </c>
      <c r="D919" t="s">
        <v>181</v>
      </c>
      <c r="E919" t="s">
        <v>151</v>
      </c>
      <c r="F919" t="s">
        <v>15</v>
      </c>
      <c r="G919" t="s">
        <v>24</v>
      </c>
      <c r="H919">
        <v>20</v>
      </c>
      <c r="I919" s="2">
        <v>44.8</v>
      </c>
      <c r="J919" s="2">
        <v>20.61</v>
      </c>
      <c r="K919" s="2">
        <v>896</v>
      </c>
      <c r="L919" s="2">
        <v>412.2</v>
      </c>
      <c r="M919" s="2">
        <v>483.8</v>
      </c>
      <c r="N919">
        <v>1</v>
      </c>
    </row>
    <row r="920" spans="1:14" x14ac:dyDescent="0.3">
      <c r="A920" s="1">
        <v>37946</v>
      </c>
      <c r="B920">
        <v>10193</v>
      </c>
      <c r="C920">
        <v>471</v>
      </c>
      <c r="D920" t="s">
        <v>181</v>
      </c>
      <c r="E920" t="s">
        <v>151</v>
      </c>
      <c r="F920" t="s">
        <v>15</v>
      </c>
      <c r="G920" t="s">
        <v>19</v>
      </c>
      <c r="H920">
        <v>22</v>
      </c>
      <c r="I920" s="2">
        <v>38.159999999999997</v>
      </c>
      <c r="J920" s="2">
        <v>21.75</v>
      </c>
      <c r="K920" s="2">
        <v>839.52</v>
      </c>
      <c r="L920" s="2">
        <v>478.5</v>
      </c>
      <c r="M920" s="2">
        <v>361.02</v>
      </c>
      <c r="N920">
        <v>1</v>
      </c>
    </row>
    <row r="921" spans="1:14" x14ac:dyDescent="0.3">
      <c r="A921" s="1">
        <v>37946</v>
      </c>
      <c r="B921">
        <v>10193</v>
      </c>
      <c r="C921">
        <v>471</v>
      </c>
      <c r="D921" t="s">
        <v>181</v>
      </c>
      <c r="E921" t="s">
        <v>151</v>
      </c>
      <c r="F921" t="s">
        <v>15</v>
      </c>
      <c r="G921" t="s">
        <v>43</v>
      </c>
      <c r="H921">
        <v>20</v>
      </c>
      <c r="I921" s="2">
        <v>92.52</v>
      </c>
      <c r="J921" s="2">
        <v>57.46</v>
      </c>
      <c r="K921" s="2">
        <v>1850.4</v>
      </c>
      <c r="L921" s="2">
        <v>1149.2</v>
      </c>
      <c r="M921" s="2">
        <v>701.2</v>
      </c>
      <c r="N921">
        <v>1</v>
      </c>
    </row>
    <row r="922" spans="1:14" x14ac:dyDescent="0.3">
      <c r="A922" s="1">
        <v>37950</v>
      </c>
      <c r="B922">
        <v>10195</v>
      </c>
      <c r="C922">
        <v>319</v>
      </c>
      <c r="D922" t="s">
        <v>182</v>
      </c>
      <c r="E922" t="s">
        <v>14</v>
      </c>
      <c r="F922" t="s">
        <v>32</v>
      </c>
      <c r="G922" t="s">
        <v>50</v>
      </c>
      <c r="H922">
        <v>49</v>
      </c>
      <c r="I922" s="2">
        <v>118.5</v>
      </c>
      <c r="J922" s="2">
        <v>55.7</v>
      </c>
      <c r="K922" s="2">
        <v>5806.5</v>
      </c>
      <c r="L922" s="2">
        <v>2729.3</v>
      </c>
      <c r="M922" s="2">
        <v>3077.2</v>
      </c>
      <c r="N922">
        <v>1</v>
      </c>
    </row>
    <row r="923" spans="1:14" x14ac:dyDescent="0.3">
      <c r="A923" s="1">
        <v>37950</v>
      </c>
      <c r="B923">
        <v>10195</v>
      </c>
      <c r="C923">
        <v>319</v>
      </c>
      <c r="D923" t="s">
        <v>182</v>
      </c>
      <c r="E923" t="s">
        <v>14</v>
      </c>
      <c r="F923" t="s">
        <v>29</v>
      </c>
      <c r="G923" t="s">
        <v>51</v>
      </c>
      <c r="H923">
        <v>27</v>
      </c>
      <c r="I923" s="2">
        <v>139.16999999999999</v>
      </c>
      <c r="J923" s="2">
        <v>101.51</v>
      </c>
      <c r="K923" s="2">
        <v>3757.59</v>
      </c>
      <c r="L923" s="2">
        <v>2740.77</v>
      </c>
      <c r="M923" s="2">
        <v>1016.82</v>
      </c>
      <c r="N923">
        <v>1</v>
      </c>
    </row>
    <row r="924" spans="1:14" x14ac:dyDescent="0.3">
      <c r="A924" s="1">
        <v>37950</v>
      </c>
      <c r="B924">
        <v>10195</v>
      </c>
      <c r="C924">
        <v>319</v>
      </c>
      <c r="D924" t="s">
        <v>182</v>
      </c>
      <c r="E924" t="s">
        <v>14</v>
      </c>
      <c r="F924" t="s">
        <v>32</v>
      </c>
      <c r="G924" t="s">
        <v>52</v>
      </c>
      <c r="H924">
        <v>35</v>
      </c>
      <c r="I924" s="2">
        <v>112.91</v>
      </c>
      <c r="J924" s="2">
        <v>74.86</v>
      </c>
      <c r="K924" s="2">
        <v>3951.85</v>
      </c>
      <c r="L924" s="2">
        <v>2620.1</v>
      </c>
      <c r="M924" s="2">
        <v>1331.75</v>
      </c>
      <c r="N924">
        <v>1</v>
      </c>
    </row>
    <row r="925" spans="1:14" x14ac:dyDescent="0.3">
      <c r="A925" s="1">
        <v>37950</v>
      </c>
      <c r="B925">
        <v>10195</v>
      </c>
      <c r="C925">
        <v>319</v>
      </c>
      <c r="D925" t="s">
        <v>182</v>
      </c>
      <c r="E925" t="s">
        <v>14</v>
      </c>
      <c r="F925" t="s">
        <v>29</v>
      </c>
      <c r="G925" t="s">
        <v>53</v>
      </c>
      <c r="H925">
        <v>50</v>
      </c>
      <c r="I925" s="2">
        <v>150.71</v>
      </c>
      <c r="J925" s="2">
        <v>77.900000000000006</v>
      </c>
      <c r="K925" s="2">
        <v>7535.5</v>
      </c>
      <c r="L925" s="2">
        <v>3895</v>
      </c>
      <c r="M925" s="2">
        <v>3640.5</v>
      </c>
      <c r="N925">
        <v>1</v>
      </c>
    </row>
    <row r="926" spans="1:14" x14ac:dyDescent="0.3">
      <c r="A926" s="1">
        <v>37950</v>
      </c>
      <c r="B926">
        <v>10195</v>
      </c>
      <c r="C926">
        <v>319</v>
      </c>
      <c r="D926" t="s">
        <v>182</v>
      </c>
      <c r="E926" t="s">
        <v>14</v>
      </c>
      <c r="F926" t="s">
        <v>29</v>
      </c>
      <c r="G926" t="s">
        <v>55</v>
      </c>
      <c r="H926">
        <v>44</v>
      </c>
      <c r="I926" s="2">
        <v>54.33</v>
      </c>
      <c r="J926" s="2">
        <v>32.369999999999997</v>
      </c>
      <c r="K926" s="2">
        <v>2390.52</v>
      </c>
      <c r="L926" s="2">
        <v>1424.28</v>
      </c>
      <c r="M926" s="2">
        <v>966.24</v>
      </c>
      <c r="N926">
        <v>1</v>
      </c>
    </row>
    <row r="927" spans="1:14" x14ac:dyDescent="0.3">
      <c r="A927" s="1">
        <v>37950</v>
      </c>
      <c r="B927">
        <v>10195</v>
      </c>
      <c r="C927">
        <v>319</v>
      </c>
      <c r="D927" t="s">
        <v>182</v>
      </c>
      <c r="E927" t="s">
        <v>14</v>
      </c>
      <c r="F927" t="s">
        <v>29</v>
      </c>
      <c r="G927" t="s">
        <v>56</v>
      </c>
      <c r="H927">
        <v>32</v>
      </c>
      <c r="I927" s="2">
        <v>31.82</v>
      </c>
      <c r="J927" s="2">
        <v>15.91</v>
      </c>
      <c r="K927" s="2">
        <v>1018.24</v>
      </c>
      <c r="L927" s="2">
        <v>509.12</v>
      </c>
      <c r="M927" s="2">
        <v>509.12</v>
      </c>
      <c r="N927">
        <v>1</v>
      </c>
    </row>
    <row r="928" spans="1:14" x14ac:dyDescent="0.3">
      <c r="A928" s="1">
        <v>37950</v>
      </c>
      <c r="B928">
        <v>10195</v>
      </c>
      <c r="C928">
        <v>319</v>
      </c>
      <c r="D928" t="s">
        <v>182</v>
      </c>
      <c r="E928" t="s">
        <v>14</v>
      </c>
      <c r="F928" t="s">
        <v>29</v>
      </c>
      <c r="G928" t="s">
        <v>57</v>
      </c>
      <c r="H928">
        <v>34</v>
      </c>
      <c r="I928" s="2">
        <v>95.81</v>
      </c>
      <c r="J928" s="2">
        <v>69.78</v>
      </c>
      <c r="K928" s="2">
        <v>3257.54</v>
      </c>
      <c r="L928" s="2">
        <v>2372.52</v>
      </c>
      <c r="M928" s="2">
        <v>885.02</v>
      </c>
      <c r="N928">
        <v>1</v>
      </c>
    </row>
    <row r="929" spans="1:14" x14ac:dyDescent="0.3">
      <c r="A929" s="1">
        <v>37950</v>
      </c>
      <c r="B929">
        <v>10195</v>
      </c>
      <c r="C929">
        <v>319</v>
      </c>
      <c r="D929" t="s">
        <v>182</v>
      </c>
      <c r="E929" t="s">
        <v>14</v>
      </c>
      <c r="F929" t="s">
        <v>32</v>
      </c>
      <c r="G929" t="s">
        <v>58</v>
      </c>
      <c r="H929">
        <v>32</v>
      </c>
      <c r="I929" s="2">
        <v>51.95</v>
      </c>
      <c r="J929" s="2">
        <v>25.98</v>
      </c>
      <c r="K929" s="2">
        <v>1662.4</v>
      </c>
      <c r="L929" s="2">
        <v>831.36</v>
      </c>
      <c r="M929" s="2">
        <v>831.04</v>
      </c>
      <c r="N929">
        <v>1</v>
      </c>
    </row>
    <row r="930" spans="1:14" x14ac:dyDescent="0.3">
      <c r="A930" s="1">
        <v>37950</v>
      </c>
      <c r="B930">
        <v>10195</v>
      </c>
      <c r="C930">
        <v>319</v>
      </c>
      <c r="D930" t="s">
        <v>182</v>
      </c>
      <c r="E930" t="s">
        <v>14</v>
      </c>
      <c r="F930" t="s">
        <v>59</v>
      </c>
      <c r="G930" t="s">
        <v>60</v>
      </c>
      <c r="H930">
        <v>33</v>
      </c>
      <c r="I930" s="2">
        <v>59.03</v>
      </c>
      <c r="J930" s="2">
        <v>26.72</v>
      </c>
      <c r="K930" s="2">
        <v>1947.99</v>
      </c>
      <c r="L930" s="2">
        <v>881.76</v>
      </c>
      <c r="M930" s="2">
        <v>1066.23</v>
      </c>
      <c r="N930">
        <v>1</v>
      </c>
    </row>
    <row r="931" spans="1:14" x14ac:dyDescent="0.3">
      <c r="A931" s="1">
        <v>37950</v>
      </c>
      <c r="B931">
        <v>10195</v>
      </c>
      <c r="C931">
        <v>319</v>
      </c>
      <c r="D931" t="s">
        <v>182</v>
      </c>
      <c r="E931" t="s">
        <v>14</v>
      </c>
      <c r="F931" t="s">
        <v>32</v>
      </c>
      <c r="G931" t="s">
        <v>61</v>
      </c>
      <c r="H931">
        <v>49</v>
      </c>
      <c r="I931" s="2">
        <v>97.23</v>
      </c>
      <c r="J931" s="2">
        <v>68.290000000000006</v>
      </c>
      <c r="K931" s="2">
        <v>4764.2700000000004</v>
      </c>
      <c r="L931" s="2">
        <v>3346.21</v>
      </c>
      <c r="M931" s="2">
        <v>1418.06</v>
      </c>
      <c r="N931">
        <v>1</v>
      </c>
    </row>
    <row r="932" spans="1:14" x14ac:dyDescent="0.3">
      <c r="A932" s="1">
        <v>37950</v>
      </c>
      <c r="B932">
        <v>10194</v>
      </c>
      <c r="C932">
        <v>146</v>
      </c>
      <c r="D932" t="s">
        <v>231</v>
      </c>
      <c r="E932" t="s">
        <v>144</v>
      </c>
      <c r="F932" t="s">
        <v>29</v>
      </c>
      <c r="G932" t="s">
        <v>30</v>
      </c>
      <c r="H932">
        <v>42</v>
      </c>
      <c r="I932" s="2">
        <v>203.59</v>
      </c>
      <c r="J932" s="2">
        <v>98.58</v>
      </c>
      <c r="K932" s="2">
        <v>8550.7800000000007</v>
      </c>
      <c r="L932" s="2">
        <v>4140.3599999999997</v>
      </c>
      <c r="M932" s="2">
        <v>4410.42</v>
      </c>
      <c r="N932">
        <v>1</v>
      </c>
    </row>
    <row r="933" spans="1:14" x14ac:dyDescent="0.3">
      <c r="A933" s="1">
        <v>37950</v>
      </c>
      <c r="B933">
        <v>10194</v>
      </c>
      <c r="C933">
        <v>146</v>
      </c>
      <c r="D933" t="s">
        <v>231</v>
      </c>
      <c r="E933" t="s">
        <v>144</v>
      </c>
      <c r="F933" t="s">
        <v>29</v>
      </c>
      <c r="G933" t="s">
        <v>31</v>
      </c>
      <c r="H933">
        <v>26</v>
      </c>
      <c r="I933" s="2">
        <v>134.44</v>
      </c>
      <c r="J933" s="2">
        <v>103.42</v>
      </c>
      <c r="K933" s="2">
        <v>3495.44</v>
      </c>
      <c r="L933" s="2">
        <v>2688.92</v>
      </c>
      <c r="M933" s="2">
        <v>806.52</v>
      </c>
      <c r="N933">
        <v>1</v>
      </c>
    </row>
    <row r="934" spans="1:14" x14ac:dyDescent="0.3">
      <c r="A934" s="1">
        <v>37950</v>
      </c>
      <c r="B934">
        <v>10194</v>
      </c>
      <c r="C934">
        <v>146</v>
      </c>
      <c r="D934" t="s">
        <v>231</v>
      </c>
      <c r="E934" t="s">
        <v>144</v>
      </c>
      <c r="F934" t="s">
        <v>32</v>
      </c>
      <c r="G934" t="s">
        <v>33</v>
      </c>
      <c r="H934">
        <v>38</v>
      </c>
      <c r="I934" s="2">
        <v>124.37</v>
      </c>
      <c r="J934" s="2">
        <v>77.900000000000006</v>
      </c>
      <c r="K934" s="2">
        <v>4726.0600000000004</v>
      </c>
      <c r="L934" s="2">
        <v>2960.2</v>
      </c>
      <c r="M934" s="2">
        <v>1765.86</v>
      </c>
      <c r="N934">
        <v>1</v>
      </c>
    </row>
    <row r="935" spans="1:14" x14ac:dyDescent="0.3">
      <c r="A935" s="1">
        <v>37950</v>
      </c>
      <c r="B935">
        <v>10194</v>
      </c>
      <c r="C935">
        <v>146</v>
      </c>
      <c r="D935" t="s">
        <v>231</v>
      </c>
      <c r="E935" t="s">
        <v>144</v>
      </c>
      <c r="F935" t="s">
        <v>32</v>
      </c>
      <c r="G935" t="s">
        <v>34</v>
      </c>
      <c r="H935">
        <v>21</v>
      </c>
      <c r="I935" s="2">
        <v>103.84</v>
      </c>
      <c r="J935" s="2">
        <v>58.33</v>
      </c>
      <c r="K935" s="2">
        <v>2180.64</v>
      </c>
      <c r="L935" s="2">
        <v>1224.93</v>
      </c>
      <c r="M935" s="2">
        <v>955.71</v>
      </c>
      <c r="N935">
        <v>1</v>
      </c>
    </row>
    <row r="936" spans="1:14" x14ac:dyDescent="0.3">
      <c r="A936" s="1">
        <v>37950</v>
      </c>
      <c r="B936">
        <v>10194</v>
      </c>
      <c r="C936">
        <v>146</v>
      </c>
      <c r="D936" t="s">
        <v>231</v>
      </c>
      <c r="E936" t="s">
        <v>144</v>
      </c>
      <c r="F936" t="s">
        <v>32</v>
      </c>
      <c r="G936" t="s">
        <v>35</v>
      </c>
      <c r="H936">
        <v>45</v>
      </c>
      <c r="I936" s="2">
        <v>51.05</v>
      </c>
      <c r="J936" s="2">
        <v>24.92</v>
      </c>
      <c r="K936" s="2">
        <v>2297.25</v>
      </c>
      <c r="L936" s="2">
        <v>1121.4000000000001</v>
      </c>
      <c r="M936" s="2">
        <v>1175.8499999999999</v>
      </c>
      <c r="N936">
        <v>1</v>
      </c>
    </row>
    <row r="937" spans="1:14" x14ac:dyDescent="0.3">
      <c r="A937" s="1">
        <v>37950</v>
      </c>
      <c r="B937">
        <v>10194</v>
      </c>
      <c r="C937">
        <v>146</v>
      </c>
      <c r="D937" t="s">
        <v>231</v>
      </c>
      <c r="E937" t="s">
        <v>144</v>
      </c>
      <c r="F937" t="s">
        <v>32</v>
      </c>
      <c r="G937" t="s">
        <v>40</v>
      </c>
      <c r="H937">
        <v>32</v>
      </c>
      <c r="I937" s="2">
        <v>113.82</v>
      </c>
      <c r="J937" s="2">
        <v>84.76</v>
      </c>
      <c r="K937" s="2">
        <v>3642.24</v>
      </c>
      <c r="L937" s="2">
        <v>2712.32</v>
      </c>
      <c r="M937" s="2">
        <v>929.92</v>
      </c>
      <c r="N937">
        <v>1</v>
      </c>
    </row>
    <row r="938" spans="1:14" x14ac:dyDescent="0.3">
      <c r="A938" s="1">
        <v>37950</v>
      </c>
      <c r="B938">
        <v>10194</v>
      </c>
      <c r="C938">
        <v>146</v>
      </c>
      <c r="D938" t="s">
        <v>231</v>
      </c>
      <c r="E938" t="s">
        <v>144</v>
      </c>
      <c r="F938" t="s">
        <v>15</v>
      </c>
      <c r="G938" t="s">
        <v>41</v>
      </c>
      <c r="H938">
        <v>41</v>
      </c>
      <c r="I938" s="2">
        <v>47.79</v>
      </c>
      <c r="J938" s="2">
        <v>23.14</v>
      </c>
      <c r="K938" s="2">
        <v>1959.39</v>
      </c>
      <c r="L938" s="2">
        <v>948.74</v>
      </c>
      <c r="M938" s="2">
        <v>1010.65</v>
      </c>
      <c r="N938">
        <v>1</v>
      </c>
    </row>
    <row r="939" spans="1:14" x14ac:dyDescent="0.3">
      <c r="A939" s="1">
        <v>37950</v>
      </c>
      <c r="B939">
        <v>10194</v>
      </c>
      <c r="C939">
        <v>146</v>
      </c>
      <c r="D939" t="s">
        <v>231</v>
      </c>
      <c r="E939" t="s">
        <v>144</v>
      </c>
      <c r="F939" t="s">
        <v>32</v>
      </c>
      <c r="G939" t="s">
        <v>42</v>
      </c>
      <c r="H939">
        <v>49</v>
      </c>
      <c r="I939" s="2">
        <v>112.46</v>
      </c>
      <c r="J939" s="2">
        <v>61.34</v>
      </c>
      <c r="K939" s="2">
        <v>5510.54</v>
      </c>
      <c r="L939" s="2">
        <v>3005.66</v>
      </c>
      <c r="M939" s="2">
        <v>2504.88</v>
      </c>
      <c r="N939">
        <v>1</v>
      </c>
    </row>
    <row r="940" spans="1:14" x14ac:dyDescent="0.3">
      <c r="A940" s="1">
        <v>37950</v>
      </c>
      <c r="B940">
        <v>10194</v>
      </c>
      <c r="C940">
        <v>146</v>
      </c>
      <c r="D940" t="s">
        <v>231</v>
      </c>
      <c r="E940" t="s">
        <v>144</v>
      </c>
      <c r="F940" t="s">
        <v>32</v>
      </c>
      <c r="G940" t="s">
        <v>44</v>
      </c>
      <c r="H940">
        <v>37</v>
      </c>
      <c r="I940" s="2">
        <v>77.05</v>
      </c>
      <c r="J940" s="2">
        <v>53.93</v>
      </c>
      <c r="K940" s="2">
        <v>2850.85</v>
      </c>
      <c r="L940" s="2">
        <v>1995.41</v>
      </c>
      <c r="M940" s="2">
        <v>855.44</v>
      </c>
      <c r="N940">
        <v>1</v>
      </c>
    </row>
    <row r="941" spans="1:14" x14ac:dyDescent="0.3">
      <c r="A941" s="1">
        <v>37950</v>
      </c>
      <c r="B941">
        <v>10194</v>
      </c>
      <c r="C941">
        <v>146</v>
      </c>
      <c r="D941" t="s">
        <v>231</v>
      </c>
      <c r="E941" t="s">
        <v>144</v>
      </c>
      <c r="F941" t="s">
        <v>32</v>
      </c>
      <c r="G941" t="s">
        <v>45</v>
      </c>
      <c r="H941">
        <v>39</v>
      </c>
      <c r="I941" s="2">
        <v>61.41</v>
      </c>
      <c r="J941" s="2">
        <v>33.61</v>
      </c>
      <c r="K941" s="2">
        <v>2394.9899999999998</v>
      </c>
      <c r="L941" s="2">
        <v>1310.79</v>
      </c>
      <c r="M941" s="2">
        <v>1084.2</v>
      </c>
      <c r="N941">
        <v>1</v>
      </c>
    </row>
    <row r="942" spans="1:14" x14ac:dyDescent="0.3">
      <c r="A942" s="1">
        <v>37950</v>
      </c>
      <c r="B942">
        <v>10194</v>
      </c>
      <c r="C942">
        <v>146</v>
      </c>
      <c r="D942" t="s">
        <v>231</v>
      </c>
      <c r="E942" t="s">
        <v>144</v>
      </c>
      <c r="F942" t="s">
        <v>29</v>
      </c>
      <c r="G942" t="s">
        <v>46</v>
      </c>
      <c r="H942">
        <v>26</v>
      </c>
      <c r="I942" s="2">
        <v>80.92</v>
      </c>
      <c r="J942" s="2">
        <v>46.53</v>
      </c>
      <c r="K942" s="2">
        <v>2103.92</v>
      </c>
      <c r="L942" s="2">
        <v>1209.78</v>
      </c>
      <c r="M942" s="2">
        <v>894.14</v>
      </c>
      <c r="N942">
        <v>1</v>
      </c>
    </row>
    <row r="943" spans="1:14" x14ac:dyDescent="0.3">
      <c r="A943" s="1">
        <v>37951</v>
      </c>
      <c r="B943">
        <v>10197</v>
      </c>
      <c r="C943">
        <v>216</v>
      </c>
      <c r="D943" t="s">
        <v>148</v>
      </c>
      <c r="E943" t="s">
        <v>48</v>
      </c>
      <c r="F943" t="s">
        <v>29</v>
      </c>
      <c r="G943" t="s">
        <v>65</v>
      </c>
      <c r="H943">
        <v>45</v>
      </c>
      <c r="I943" s="2">
        <v>118.32</v>
      </c>
      <c r="J943" s="2">
        <v>85.68</v>
      </c>
      <c r="K943" s="2">
        <v>5324.4</v>
      </c>
      <c r="L943" s="2">
        <v>3855.6</v>
      </c>
      <c r="M943" s="2">
        <v>1468.8</v>
      </c>
      <c r="N943">
        <v>2</v>
      </c>
    </row>
    <row r="944" spans="1:14" x14ac:dyDescent="0.3">
      <c r="A944" s="1">
        <v>37951</v>
      </c>
      <c r="B944">
        <v>10197</v>
      </c>
      <c r="C944">
        <v>216</v>
      </c>
      <c r="D944" t="s">
        <v>148</v>
      </c>
      <c r="E944" t="s">
        <v>48</v>
      </c>
      <c r="F944" t="s">
        <v>71</v>
      </c>
      <c r="G944" t="s">
        <v>86</v>
      </c>
      <c r="H944">
        <v>46</v>
      </c>
      <c r="I944" s="2">
        <v>83.44</v>
      </c>
      <c r="J944" s="2">
        <v>51.61</v>
      </c>
      <c r="K944" s="2">
        <v>3838.24</v>
      </c>
      <c r="L944" s="2">
        <v>2374.06</v>
      </c>
      <c r="M944" s="2">
        <v>1464.18</v>
      </c>
      <c r="N944">
        <v>2</v>
      </c>
    </row>
    <row r="945" spans="1:14" x14ac:dyDescent="0.3">
      <c r="A945" s="1">
        <v>37951</v>
      </c>
      <c r="B945">
        <v>10197</v>
      </c>
      <c r="C945">
        <v>216</v>
      </c>
      <c r="D945" t="s">
        <v>148</v>
      </c>
      <c r="E945" t="s">
        <v>48</v>
      </c>
      <c r="F945" t="s">
        <v>15</v>
      </c>
      <c r="G945" t="s">
        <v>87</v>
      </c>
      <c r="H945">
        <v>22</v>
      </c>
      <c r="I945" s="2">
        <v>85.75</v>
      </c>
      <c r="J945" s="2">
        <v>64.58</v>
      </c>
      <c r="K945" s="2">
        <v>1886.5</v>
      </c>
      <c r="L945" s="2">
        <v>1420.76</v>
      </c>
      <c r="M945" s="2">
        <v>465.74</v>
      </c>
      <c r="N945">
        <v>2</v>
      </c>
    </row>
    <row r="946" spans="1:14" x14ac:dyDescent="0.3">
      <c r="A946" s="1">
        <v>37951</v>
      </c>
      <c r="B946">
        <v>10197</v>
      </c>
      <c r="C946">
        <v>216</v>
      </c>
      <c r="D946" t="s">
        <v>148</v>
      </c>
      <c r="E946" t="s">
        <v>48</v>
      </c>
      <c r="F946" t="s">
        <v>15</v>
      </c>
      <c r="G946" t="s">
        <v>70</v>
      </c>
      <c r="H946">
        <v>50</v>
      </c>
      <c r="I946" s="2">
        <v>78.989999999999995</v>
      </c>
      <c r="J946" s="2">
        <v>52.66</v>
      </c>
      <c r="K946" s="2">
        <v>3949.5</v>
      </c>
      <c r="L946" s="2">
        <v>2633</v>
      </c>
      <c r="M946" s="2">
        <v>1316.5</v>
      </c>
      <c r="N946">
        <v>2</v>
      </c>
    </row>
    <row r="947" spans="1:14" x14ac:dyDescent="0.3">
      <c r="A947" s="1">
        <v>37951</v>
      </c>
      <c r="B947">
        <v>10197</v>
      </c>
      <c r="C947">
        <v>216</v>
      </c>
      <c r="D947" t="s">
        <v>148</v>
      </c>
      <c r="E947" t="s">
        <v>48</v>
      </c>
      <c r="F947" t="s">
        <v>71</v>
      </c>
      <c r="G947" t="s">
        <v>72</v>
      </c>
      <c r="H947">
        <v>41</v>
      </c>
      <c r="I947" s="2">
        <v>109.37</v>
      </c>
      <c r="J947" s="2">
        <v>82.34</v>
      </c>
      <c r="K947" s="2">
        <v>4484.17</v>
      </c>
      <c r="L947" s="2">
        <v>3375.94</v>
      </c>
      <c r="M947" s="2">
        <v>1108.23</v>
      </c>
      <c r="N947">
        <v>2</v>
      </c>
    </row>
    <row r="948" spans="1:14" x14ac:dyDescent="0.3">
      <c r="A948" s="1">
        <v>37951</v>
      </c>
      <c r="B948">
        <v>10197</v>
      </c>
      <c r="C948">
        <v>216</v>
      </c>
      <c r="D948" t="s">
        <v>148</v>
      </c>
      <c r="E948" t="s">
        <v>48</v>
      </c>
      <c r="F948" t="s">
        <v>15</v>
      </c>
      <c r="G948" t="s">
        <v>73</v>
      </c>
      <c r="H948">
        <v>47</v>
      </c>
      <c r="I948" s="2">
        <v>83.2</v>
      </c>
      <c r="J948" s="2">
        <v>46.91</v>
      </c>
      <c r="K948" s="2">
        <v>3910.4</v>
      </c>
      <c r="L948" s="2">
        <v>2204.77</v>
      </c>
      <c r="M948" s="2">
        <v>1705.63</v>
      </c>
      <c r="N948">
        <v>2</v>
      </c>
    </row>
    <row r="949" spans="1:14" x14ac:dyDescent="0.3">
      <c r="A949" s="1">
        <v>37951</v>
      </c>
      <c r="B949">
        <v>10197</v>
      </c>
      <c r="C949">
        <v>216</v>
      </c>
      <c r="D949" t="s">
        <v>148</v>
      </c>
      <c r="E949" t="s">
        <v>48</v>
      </c>
      <c r="F949" t="s">
        <v>15</v>
      </c>
      <c r="G949" t="s">
        <v>74</v>
      </c>
      <c r="H949">
        <v>22</v>
      </c>
      <c r="I949" s="2">
        <v>67.930000000000007</v>
      </c>
      <c r="J949" s="2">
        <v>48.64</v>
      </c>
      <c r="K949" s="2">
        <v>1494.46</v>
      </c>
      <c r="L949" s="2">
        <v>1070.08</v>
      </c>
      <c r="M949" s="2">
        <v>424.38</v>
      </c>
      <c r="N949">
        <v>2</v>
      </c>
    </row>
    <row r="950" spans="1:14" x14ac:dyDescent="0.3">
      <c r="A950" s="1">
        <v>37951</v>
      </c>
      <c r="B950">
        <v>10197</v>
      </c>
      <c r="C950">
        <v>216</v>
      </c>
      <c r="D950" t="s">
        <v>148</v>
      </c>
      <c r="E950" t="s">
        <v>48</v>
      </c>
      <c r="F950" t="s">
        <v>71</v>
      </c>
      <c r="G950" t="s">
        <v>75</v>
      </c>
      <c r="H950">
        <v>23</v>
      </c>
      <c r="I950" s="2">
        <v>60</v>
      </c>
      <c r="J950" s="2">
        <v>34</v>
      </c>
      <c r="K950" s="2">
        <v>1380</v>
      </c>
      <c r="L950" s="2">
        <v>782</v>
      </c>
      <c r="M950" s="2">
        <v>598</v>
      </c>
      <c r="N950">
        <v>2</v>
      </c>
    </row>
    <row r="951" spans="1:14" x14ac:dyDescent="0.3">
      <c r="A951" s="1">
        <v>37951</v>
      </c>
      <c r="B951">
        <v>10197</v>
      </c>
      <c r="C951">
        <v>216</v>
      </c>
      <c r="D951" t="s">
        <v>148</v>
      </c>
      <c r="E951" t="s">
        <v>48</v>
      </c>
      <c r="F951" t="s">
        <v>71</v>
      </c>
      <c r="G951" t="s">
        <v>96</v>
      </c>
      <c r="H951">
        <v>24</v>
      </c>
      <c r="I951" s="2">
        <v>78.75</v>
      </c>
      <c r="J951" s="2">
        <v>39.83</v>
      </c>
      <c r="K951" s="2">
        <v>1890</v>
      </c>
      <c r="L951" s="2">
        <v>955.92</v>
      </c>
      <c r="M951" s="2">
        <v>934.08</v>
      </c>
      <c r="N951">
        <v>2</v>
      </c>
    </row>
    <row r="952" spans="1:14" x14ac:dyDescent="0.3">
      <c r="A952" s="1">
        <v>37951</v>
      </c>
      <c r="B952">
        <v>10197</v>
      </c>
      <c r="C952">
        <v>216</v>
      </c>
      <c r="D952" t="s">
        <v>148</v>
      </c>
      <c r="E952" t="s">
        <v>48</v>
      </c>
      <c r="F952" t="s">
        <v>71</v>
      </c>
      <c r="G952" t="s">
        <v>77</v>
      </c>
      <c r="H952">
        <v>50</v>
      </c>
      <c r="I952" s="2">
        <v>66.5</v>
      </c>
      <c r="J952" s="2">
        <v>33.97</v>
      </c>
      <c r="K952" s="2">
        <v>3325</v>
      </c>
      <c r="L952" s="2">
        <v>1698.5</v>
      </c>
      <c r="M952" s="2">
        <v>1626.5</v>
      </c>
      <c r="N952">
        <v>2</v>
      </c>
    </row>
    <row r="953" spans="1:14" x14ac:dyDescent="0.3">
      <c r="A953" s="1">
        <v>37951</v>
      </c>
      <c r="B953">
        <v>10197</v>
      </c>
      <c r="C953">
        <v>216</v>
      </c>
      <c r="D953" t="s">
        <v>148</v>
      </c>
      <c r="E953" t="s">
        <v>48</v>
      </c>
      <c r="F953" t="s">
        <v>71</v>
      </c>
      <c r="G953" t="s">
        <v>78</v>
      </c>
      <c r="H953">
        <v>27</v>
      </c>
      <c r="I953" s="2">
        <v>100.17</v>
      </c>
      <c r="J953" s="2">
        <v>51.09</v>
      </c>
      <c r="K953" s="2">
        <v>2704.59</v>
      </c>
      <c r="L953" s="2">
        <v>1379.43</v>
      </c>
      <c r="M953" s="2">
        <v>1325.16</v>
      </c>
      <c r="N953">
        <v>2</v>
      </c>
    </row>
    <row r="954" spans="1:14" x14ac:dyDescent="0.3">
      <c r="A954" s="1">
        <v>37951</v>
      </c>
      <c r="B954">
        <v>10197</v>
      </c>
      <c r="C954">
        <v>216</v>
      </c>
      <c r="D954" t="s">
        <v>148</v>
      </c>
      <c r="E954" t="s">
        <v>48</v>
      </c>
      <c r="F954" t="s">
        <v>71</v>
      </c>
      <c r="G954" t="s">
        <v>79</v>
      </c>
      <c r="H954">
        <v>35</v>
      </c>
      <c r="I954" s="2">
        <v>88.39</v>
      </c>
      <c r="J954" s="2">
        <v>53.63</v>
      </c>
      <c r="K954" s="2">
        <v>3093.65</v>
      </c>
      <c r="L954" s="2">
        <v>1877.05</v>
      </c>
      <c r="M954" s="2">
        <v>1216.5999999999999</v>
      </c>
      <c r="N954">
        <v>2</v>
      </c>
    </row>
    <row r="955" spans="1:14" x14ac:dyDescent="0.3">
      <c r="A955" s="1">
        <v>37951</v>
      </c>
      <c r="B955">
        <v>10197</v>
      </c>
      <c r="C955">
        <v>216</v>
      </c>
      <c r="D955" t="s">
        <v>148</v>
      </c>
      <c r="E955" t="s">
        <v>48</v>
      </c>
      <c r="F955" t="s">
        <v>83</v>
      </c>
      <c r="G955" t="s">
        <v>101</v>
      </c>
      <c r="H955">
        <v>29</v>
      </c>
      <c r="I955" s="2">
        <v>39.729999999999997</v>
      </c>
      <c r="J955" s="2">
        <v>32.770000000000003</v>
      </c>
      <c r="K955" s="2">
        <v>1152.17</v>
      </c>
      <c r="L955" s="2">
        <v>950.33</v>
      </c>
      <c r="M955" s="2">
        <v>201.84</v>
      </c>
      <c r="N955">
        <v>2</v>
      </c>
    </row>
    <row r="956" spans="1:14" x14ac:dyDescent="0.3">
      <c r="A956" s="1">
        <v>37951</v>
      </c>
      <c r="B956">
        <v>10197</v>
      </c>
      <c r="C956">
        <v>216</v>
      </c>
      <c r="D956" t="s">
        <v>148</v>
      </c>
      <c r="E956" t="s">
        <v>48</v>
      </c>
      <c r="F956" t="s">
        <v>71</v>
      </c>
      <c r="G956" t="s">
        <v>80</v>
      </c>
      <c r="H956">
        <v>42</v>
      </c>
      <c r="I956" s="2">
        <v>48.59</v>
      </c>
      <c r="J956" s="2">
        <v>33.299999999999997</v>
      </c>
      <c r="K956" s="2">
        <v>2040.78</v>
      </c>
      <c r="L956" s="2">
        <v>1398.6</v>
      </c>
      <c r="M956" s="2">
        <v>642.17999999999995</v>
      </c>
      <c r="N956">
        <v>2</v>
      </c>
    </row>
    <row r="957" spans="1:14" x14ac:dyDescent="0.3">
      <c r="A957" s="1">
        <v>37951</v>
      </c>
      <c r="B957">
        <v>10196</v>
      </c>
      <c r="C957">
        <v>455</v>
      </c>
      <c r="D957" t="s">
        <v>232</v>
      </c>
      <c r="E957" t="s">
        <v>14</v>
      </c>
      <c r="F957" t="s">
        <v>29</v>
      </c>
      <c r="G957" t="s">
        <v>66</v>
      </c>
      <c r="H957">
        <v>47</v>
      </c>
      <c r="I957" s="2">
        <v>203.64</v>
      </c>
      <c r="J957" s="2">
        <v>95.59</v>
      </c>
      <c r="K957" s="2">
        <v>9571.08</v>
      </c>
      <c r="L957" s="2">
        <v>4492.7299999999996</v>
      </c>
      <c r="M957" s="2">
        <v>5078.3500000000004</v>
      </c>
      <c r="N957">
        <v>1</v>
      </c>
    </row>
    <row r="958" spans="1:14" x14ac:dyDescent="0.3">
      <c r="A958" s="1">
        <v>37951</v>
      </c>
      <c r="B958">
        <v>10196</v>
      </c>
      <c r="C958">
        <v>455</v>
      </c>
      <c r="D958" t="s">
        <v>232</v>
      </c>
      <c r="E958" t="s">
        <v>14</v>
      </c>
      <c r="F958" t="s">
        <v>29</v>
      </c>
      <c r="G958" t="s">
        <v>49</v>
      </c>
      <c r="H958">
        <v>24</v>
      </c>
      <c r="I958" s="2">
        <v>151.08000000000001</v>
      </c>
      <c r="J958" s="2">
        <v>89.14</v>
      </c>
      <c r="K958" s="2">
        <v>3625.92</v>
      </c>
      <c r="L958" s="2">
        <v>2139.36</v>
      </c>
      <c r="M958" s="2">
        <v>1486.56</v>
      </c>
      <c r="N958">
        <v>1</v>
      </c>
    </row>
    <row r="959" spans="1:14" x14ac:dyDescent="0.3">
      <c r="A959" s="1">
        <v>37951</v>
      </c>
      <c r="B959">
        <v>10196</v>
      </c>
      <c r="C959">
        <v>455</v>
      </c>
      <c r="D959" t="s">
        <v>232</v>
      </c>
      <c r="E959" t="s">
        <v>14</v>
      </c>
      <c r="F959" t="s">
        <v>29</v>
      </c>
      <c r="G959" t="s">
        <v>67</v>
      </c>
      <c r="H959">
        <v>38</v>
      </c>
      <c r="I959" s="2">
        <v>147.07</v>
      </c>
      <c r="J959" s="2">
        <v>83.05</v>
      </c>
      <c r="K959" s="2">
        <v>5588.66</v>
      </c>
      <c r="L959" s="2">
        <v>3155.9</v>
      </c>
      <c r="M959" s="2">
        <v>2432.7600000000002</v>
      </c>
      <c r="N959">
        <v>1</v>
      </c>
    </row>
    <row r="960" spans="1:14" x14ac:dyDescent="0.3">
      <c r="A960" s="1">
        <v>37951</v>
      </c>
      <c r="B960">
        <v>10196</v>
      </c>
      <c r="C960">
        <v>455</v>
      </c>
      <c r="D960" t="s">
        <v>232</v>
      </c>
      <c r="E960" t="s">
        <v>14</v>
      </c>
      <c r="F960" t="s">
        <v>15</v>
      </c>
      <c r="G960" t="s">
        <v>68</v>
      </c>
      <c r="H960">
        <v>49</v>
      </c>
      <c r="I960" s="2">
        <v>127.03</v>
      </c>
      <c r="J960" s="2">
        <v>68.3</v>
      </c>
      <c r="K960" s="2">
        <v>6224.47</v>
      </c>
      <c r="L960" s="2">
        <v>3346.7</v>
      </c>
      <c r="M960" s="2">
        <v>2877.77</v>
      </c>
      <c r="N960">
        <v>1</v>
      </c>
    </row>
    <row r="961" spans="1:14" x14ac:dyDescent="0.3">
      <c r="A961" s="1">
        <v>37951</v>
      </c>
      <c r="B961">
        <v>10196</v>
      </c>
      <c r="C961">
        <v>455</v>
      </c>
      <c r="D961" t="s">
        <v>232</v>
      </c>
      <c r="E961" t="s">
        <v>14</v>
      </c>
      <c r="F961" t="s">
        <v>59</v>
      </c>
      <c r="G961" t="s">
        <v>69</v>
      </c>
      <c r="H961">
        <v>35</v>
      </c>
      <c r="I961" s="2">
        <v>81.680000000000007</v>
      </c>
      <c r="J961" s="2">
        <v>67.56</v>
      </c>
      <c r="K961" s="2">
        <v>2858.8</v>
      </c>
      <c r="L961" s="2">
        <v>2364.6</v>
      </c>
      <c r="M961" s="2">
        <v>494.2</v>
      </c>
      <c r="N961">
        <v>1</v>
      </c>
    </row>
    <row r="962" spans="1:14" x14ac:dyDescent="0.3">
      <c r="A962" s="1">
        <v>37951</v>
      </c>
      <c r="B962">
        <v>10196</v>
      </c>
      <c r="C962">
        <v>455</v>
      </c>
      <c r="D962" t="s">
        <v>232</v>
      </c>
      <c r="E962" t="s">
        <v>14</v>
      </c>
      <c r="F962" t="s">
        <v>29</v>
      </c>
      <c r="G962" t="s">
        <v>54</v>
      </c>
      <c r="H962">
        <v>27</v>
      </c>
      <c r="I962" s="2">
        <v>126.39</v>
      </c>
      <c r="J962" s="2">
        <v>91.92</v>
      </c>
      <c r="K962" s="2">
        <v>3412.53</v>
      </c>
      <c r="L962" s="2">
        <v>2481.84</v>
      </c>
      <c r="M962" s="2">
        <v>930.69</v>
      </c>
      <c r="N962">
        <v>1</v>
      </c>
    </row>
    <row r="963" spans="1:14" x14ac:dyDescent="0.3">
      <c r="A963" s="1">
        <v>37951</v>
      </c>
      <c r="B963">
        <v>10196</v>
      </c>
      <c r="C963">
        <v>455</v>
      </c>
      <c r="D963" t="s">
        <v>232</v>
      </c>
      <c r="E963" t="s">
        <v>14</v>
      </c>
      <c r="F963" t="s">
        <v>59</v>
      </c>
      <c r="G963" t="s">
        <v>62</v>
      </c>
      <c r="H963">
        <v>46</v>
      </c>
      <c r="I963" s="2">
        <v>56.82</v>
      </c>
      <c r="J963" s="2">
        <v>37.49</v>
      </c>
      <c r="K963" s="2">
        <v>2613.7199999999998</v>
      </c>
      <c r="L963" s="2">
        <v>1724.54</v>
      </c>
      <c r="M963" s="2">
        <v>889.18</v>
      </c>
      <c r="N963">
        <v>1</v>
      </c>
    </row>
    <row r="964" spans="1:14" x14ac:dyDescent="0.3">
      <c r="A964" s="1">
        <v>37951</v>
      </c>
      <c r="B964">
        <v>10196</v>
      </c>
      <c r="C964">
        <v>455</v>
      </c>
      <c r="D964" t="s">
        <v>232</v>
      </c>
      <c r="E964" t="s">
        <v>14</v>
      </c>
      <c r="F964" t="s">
        <v>71</v>
      </c>
      <c r="G964" t="s">
        <v>76</v>
      </c>
      <c r="H964">
        <v>50</v>
      </c>
      <c r="I964" s="2">
        <v>84.88</v>
      </c>
      <c r="J964" s="2">
        <v>43.3</v>
      </c>
      <c r="K964" s="2">
        <v>4244</v>
      </c>
      <c r="L964" s="2">
        <v>2165</v>
      </c>
      <c r="M964" s="2">
        <v>2079</v>
      </c>
      <c r="N964">
        <v>1</v>
      </c>
    </row>
    <row r="965" spans="1:14" x14ac:dyDescent="0.3">
      <c r="A965" s="1">
        <v>37952</v>
      </c>
      <c r="B965">
        <v>10198</v>
      </c>
      <c r="C965">
        <v>385</v>
      </c>
      <c r="D965" t="s">
        <v>202</v>
      </c>
      <c r="E965" t="s">
        <v>111</v>
      </c>
      <c r="F965" t="s">
        <v>83</v>
      </c>
      <c r="G965" t="s">
        <v>84</v>
      </c>
      <c r="H965">
        <v>42</v>
      </c>
      <c r="I965" s="2">
        <v>149.81</v>
      </c>
      <c r="J965" s="2">
        <v>77.27</v>
      </c>
      <c r="K965" s="2">
        <v>6292.02</v>
      </c>
      <c r="L965" s="2">
        <v>3245.34</v>
      </c>
      <c r="M965" s="2">
        <v>3046.68</v>
      </c>
      <c r="N965">
        <v>2</v>
      </c>
    </row>
    <row r="966" spans="1:14" x14ac:dyDescent="0.3">
      <c r="A966" s="1">
        <v>37952</v>
      </c>
      <c r="B966">
        <v>10198</v>
      </c>
      <c r="C966">
        <v>385</v>
      </c>
      <c r="D966" t="s">
        <v>202</v>
      </c>
      <c r="E966" t="s">
        <v>111</v>
      </c>
      <c r="F966" t="s">
        <v>83</v>
      </c>
      <c r="G966" t="s">
        <v>89</v>
      </c>
      <c r="H966">
        <v>48</v>
      </c>
      <c r="I966" s="2">
        <v>60.97</v>
      </c>
      <c r="J966" s="2">
        <v>34.25</v>
      </c>
      <c r="K966" s="2">
        <v>2926.56</v>
      </c>
      <c r="L966" s="2">
        <v>1644</v>
      </c>
      <c r="M966" s="2">
        <v>1282.56</v>
      </c>
      <c r="N966">
        <v>2</v>
      </c>
    </row>
    <row r="967" spans="1:14" x14ac:dyDescent="0.3">
      <c r="A967" s="1">
        <v>37952</v>
      </c>
      <c r="B967">
        <v>10198</v>
      </c>
      <c r="C967">
        <v>385</v>
      </c>
      <c r="D967" t="s">
        <v>202</v>
      </c>
      <c r="E967" t="s">
        <v>111</v>
      </c>
      <c r="F967" t="s">
        <v>15</v>
      </c>
      <c r="G967" t="s">
        <v>90</v>
      </c>
      <c r="H967">
        <v>27</v>
      </c>
      <c r="I967" s="2">
        <v>61.81</v>
      </c>
      <c r="J967" s="2">
        <v>26.3</v>
      </c>
      <c r="K967" s="2">
        <v>1668.87</v>
      </c>
      <c r="L967" s="2">
        <v>710.1</v>
      </c>
      <c r="M967" s="2">
        <v>958.77</v>
      </c>
      <c r="N967">
        <v>2</v>
      </c>
    </row>
    <row r="968" spans="1:14" x14ac:dyDescent="0.3">
      <c r="A968" s="1">
        <v>37952</v>
      </c>
      <c r="B968">
        <v>10198</v>
      </c>
      <c r="C968">
        <v>385</v>
      </c>
      <c r="D968" t="s">
        <v>202</v>
      </c>
      <c r="E968" t="s">
        <v>111</v>
      </c>
      <c r="F968" t="s">
        <v>83</v>
      </c>
      <c r="G968" t="s">
        <v>91</v>
      </c>
      <c r="H968">
        <v>43</v>
      </c>
      <c r="I968" s="2">
        <v>65.510000000000005</v>
      </c>
      <c r="J968" s="2">
        <v>29.34</v>
      </c>
      <c r="K968" s="2">
        <v>2816.93</v>
      </c>
      <c r="L968" s="2">
        <v>1261.6199999999999</v>
      </c>
      <c r="M968" s="2">
        <v>1555.31</v>
      </c>
      <c r="N968">
        <v>2</v>
      </c>
    </row>
    <row r="969" spans="1:14" x14ac:dyDescent="0.3">
      <c r="A969" s="1">
        <v>37952</v>
      </c>
      <c r="B969">
        <v>10198</v>
      </c>
      <c r="C969">
        <v>385</v>
      </c>
      <c r="D969" t="s">
        <v>202</v>
      </c>
      <c r="E969" t="s">
        <v>111</v>
      </c>
      <c r="F969" t="s">
        <v>83</v>
      </c>
      <c r="G969" t="s">
        <v>97</v>
      </c>
      <c r="H969">
        <v>42</v>
      </c>
      <c r="I969" s="2">
        <v>94.73</v>
      </c>
      <c r="J969" s="2">
        <v>68.8</v>
      </c>
      <c r="K969" s="2">
        <v>3978.66</v>
      </c>
      <c r="L969" s="2">
        <v>2889.6</v>
      </c>
      <c r="M969" s="2">
        <v>1089.06</v>
      </c>
      <c r="N969">
        <v>2</v>
      </c>
    </row>
    <row r="970" spans="1:14" x14ac:dyDescent="0.3">
      <c r="A970" s="1">
        <v>37952</v>
      </c>
      <c r="B970">
        <v>10198</v>
      </c>
      <c r="C970">
        <v>385</v>
      </c>
      <c r="D970" t="s">
        <v>202</v>
      </c>
      <c r="E970" t="s">
        <v>111</v>
      </c>
      <c r="F970" t="s">
        <v>83</v>
      </c>
      <c r="G970" t="s">
        <v>100</v>
      </c>
      <c r="H970">
        <v>40</v>
      </c>
      <c r="I970" s="2">
        <v>74.03</v>
      </c>
      <c r="J970" s="2">
        <v>36.270000000000003</v>
      </c>
      <c r="K970" s="2">
        <v>2961.2</v>
      </c>
      <c r="L970" s="2">
        <v>1450.8</v>
      </c>
      <c r="M970" s="2">
        <v>1510.4</v>
      </c>
      <c r="N970">
        <v>2</v>
      </c>
    </row>
    <row r="971" spans="1:14" x14ac:dyDescent="0.3">
      <c r="A971" s="1">
        <v>37956</v>
      </c>
      <c r="B971">
        <v>10199</v>
      </c>
      <c r="C971">
        <v>475</v>
      </c>
      <c r="D971" t="s">
        <v>233</v>
      </c>
      <c r="E971" t="s">
        <v>14</v>
      </c>
      <c r="F971" t="s">
        <v>15</v>
      </c>
      <c r="G971" t="s">
        <v>94</v>
      </c>
      <c r="H971">
        <v>29</v>
      </c>
      <c r="I971" s="2">
        <v>37.97</v>
      </c>
      <c r="J971" s="2">
        <v>27.06</v>
      </c>
      <c r="K971" s="2">
        <v>1101.1300000000001</v>
      </c>
      <c r="L971" s="2">
        <v>784.74</v>
      </c>
      <c r="M971" s="2">
        <v>316.39</v>
      </c>
      <c r="N971">
        <v>1</v>
      </c>
    </row>
    <row r="972" spans="1:14" x14ac:dyDescent="0.3">
      <c r="A972" s="1">
        <v>37956</v>
      </c>
      <c r="B972">
        <v>10199</v>
      </c>
      <c r="C972">
        <v>475</v>
      </c>
      <c r="D972" t="s">
        <v>233</v>
      </c>
      <c r="E972" t="s">
        <v>14</v>
      </c>
      <c r="F972" t="s">
        <v>83</v>
      </c>
      <c r="G972" t="s">
        <v>95</v>
      </c>
      <c r="H972">
        <v>48</v>
      </c>
      <c r="I972" s="2">
        <v>81.290000000000006</v>
      </c>
      <c r="J972" s="2">
        <v>51.15</v>
      </c>
      <c r="K972" s="2">
        <v>3901.92</v>
      </c>
      <c r="L972" s="2">
        <v>2455.1999999999998</v>
      </c>
      <c r="M972" s="2">
        <v>1446.72</v>
      </c>
      <c r="N972">
        <v>1</v>
      </c>
    </row>
    <row r="973" spans="1:14" x14ac:dyDescent="0.3">
      <c r="A973" s="1">
        <v>37956</v>
      </c>
      <c r="B973">
        <v>10199</v>
      </c>
      <c r="C973">
        <v>475</v>
      </c>
      <c r="D973" t="s">
        <v>233</v>
      </c>
      <c r="E973" t="s">
        <v>14</v>
      </c>
      <c r="F973" t="s">
        <v>83</v>
      </c>
      <c r="G973" t="s">
        <v>99</v>
      </c>
      <c r="H973">
        <v>38</v>
      </c>
      <c r="I973" s="2">
        <v>70.400000000000006</v>
      </c>
      <c r="J973" s="2">
        <v>54.4</v>
      </c>
      <c r="K973" s="2">
        <v>2675.2</v>
      </c>
      <c r="L973" s="2">
        <v>2067.1999999999998</v>
      </c>
      <c r="M973" s="2">
        <v>608</v>
      </c>
      <c r="N973">
        <v>1</v>
      </c>
    </row>
    <row r="974" spans="1:14" x14ac:dyDescent="0.3">
      <c r="A974" s="1">
        <v>37956</v>
      </c>
      <c r="B974">
        <v>10201</v>
      </c>
      <c r="C974">
        <v>129</v>
      </c>
      <c r="D974" t="s">
        <v>205</v>
      </c>
      <c r="E974" t="s">
        <v>14</v>
      </c>
      <c r="F974" t="s">
        <v>102</v>
      </c>
      <c r="G974" t="s">
        <v>103</v>
      </c>
      <c r="H974">
        <v>22</v>
      </c>
      <c r="I974" s="2">
        <v>82.3</v>
      </c>
      <c r="J974" s="2">
        <v>48.81</v>
      </c>
      <c r="K974" s="2">
        <v>1810.6</v>
      </c>
      <c r="L974" s="2">
        <v>1073.82</v>
      </c>
      <c r="M974" s="2">
        <v>736.78</v>
      </c>
      <c r="N974">
        <v>2</v>
      </c>
    </row>
    <row r="975" spans="1:14" x14ac:dyDescent="0.3">
      <c r="A975" s="1">
        <v>37956</v>
      </c>
      <c r="B975">
        <v>10201</v>
      </c>
      <c r="C975">
        <v>129</v>
      </c>
      <c r="D975" t="s">
        <v>205</v>
      </c>
      <c r="E975" t="s">
        <v>14</v>
      </c>
      <c r="F975" t="s">
        <v>102</v>
      </c>
      <c r="G975" t="s">
        <v>104</v>
      </c>
      <c r="H975">
        <v>24</v>
      </c>
      <c r="I975" s="2">
        <v>116.56</v>
      </c>
      <c r="J975" s="2">
        <v>68.989999999999995</v>
      </c>
      <c r="K975" s="2">
        <v>2797.44</v>
      </c>
      <c r="L975" s="2">
        <v>1655.76</v>
      </c>
      <c r="M975" s="2">
        <v>1141.68</v>
      </c>
      <c r="N975">
        <v>2</v>
      </c>
    </row>
    <row r="976" spans="1:14" x14ac:dyDescent="0.3">
      <c r="A976" s="1">
        <v>37956</v>
      </c>
      <c r="B976">
        <v>10201</v>
      </c>
      <c r="C976">
        <v>129</v>
      </c>
      <c r="D976" t="s">
        <v>205</v>
      </c>
      <c r="E976" t="s">
        <v>14</v>
      </c>
      <c r="F976" t="s">
        <v>102</v>
      </c>
      <c r="G976" t="s">
        <v>105</v>
      </c>
      <c r="H976">
        <v>49</v>
      </c>
      <c r="I976" s="2">
        <v>191.72</v>
      </c>
      <c r="J976" s="2">
        <v>91.02</v>
      </c>
      <c r="K976" s="2">
        <v>9394.2800000000007</v>
      </c>
      <c r="L976" s="2">
        <v>4459.9799999999996</v>
      </c>
      <c r="M976" s="2">
        <v>4934.3</v>
      </c>
      <c r="N976">
        <v>2</v>
      </c>
    </row>
    <row r="977" spans="1:14" x14ac:dyDescent="0.3">
      <c r="A977" s="1">
        <v>37956</v>
      </c>
      <c r="B977">
        <v>10201</v>
      </c>
      <c r="C977">
        <v>129</v>
      </c>
      <c r="D977" t="s">
        <v>205</v>
      </c>
      <c r="E977" t="s">
        <v>14</v>
      </c>
      <c r="F977" t="s">
        <v>102</v>
      </c>
      <c r="G977" t="s">
        <v>106</v>
      </c>
      <c r="H977">
        <v>25</v>
      </c>
      <c r="I977" s="2">
        <v>126.52</v>
      </c>
      <c r="J977" s="2">
        <v>66.27</v>
      </c>
      <c r="K977" s="2">
        <v>3163</v>
      </c>
      <c r="L977" s="2">
        <v>1656.75</v>
      </c>
      <c r="M977" s="2">
        <v>1506.25</v>
      </c>
      <c r="N977">
        <v>2</v>
      </c>
    </row>
    <row r="978" spans="1:14" x14ac:dyDescent="0.3">
      <c r="A978" s="1">
        <v>37956</v>
      </c>
      <c r="B978">
        <v>10201</v>
      </c>
      <c r="C978">
        <v>129</v>
      </c>
      <c r="D978" t="s">
        <v>205</v>
      </c>
      <c r="E978" t="s">
        <v>14</v>
      </c>
      <c r="F978" t="s">
        <v>102</v>
      </c>
      <c r="G978" t="s">
        <v>107</v>
      </c>
      <c r="H978">
        <v>30</v>
      </c>
      <c r="I978" s="2">
        <v>48.46</v>
      </c>
      <c r="J978" s="2">
        <v>24.23</v>
      </c>
      <c r="K978" s="2">
        <v>1453.8</v>
      </c>
      <c r="L978" s="2">
        <v>726.9</v>
      </c>
      <c r="M978" s="2">
        <v>726.9</v>
      </c>
      <c r="N978">
        <v>2</v>
      </c>
    </row>
    <row r="979" spans="1:14" x14ac:dyDescent="0.3">
      <c r="A979" s="1">
        <v>37956</v>
      </c>
      <c r="B979">
        <v>10201</v>
      </c>
      <c r="C979">
        <v>129</v>
      </c>
      <c r="D979" t="s">
        <v>205</v>
      </c>
      <c r="E979" t="s">
        <v>14</v>
      </c>
      <c r="F979" t="s">
        <v>102</v>
      </c>
      <c r="G979" t="s">
        <v>108</v>
      </c>
      <c r="H979">
        <v>39</v>
      </c>
      <c r="I979" s="2">
        <v>93.54</v>
      </c>
      <c r="J979" s="2">
        <v>60.86</v>
      </c>
      <c r="K979" s="2">
        <v>3648.06</v>
      </c>
      <c r="L979" s="2">
        <v>2373.54</v>
      </c>
      <c r="M979" s="2">
        <v>1274.52</v>
      </c>
      <c r="N979">
        <v>2</v>
      </c>
    </row>
    <row r="980" spans="1:14" x14ac:dyDescent="0.3">
      <c r="A980" s="1">
        <v>37956</v>
      </c>
      <c r="B980">
        <v>10201</v>
      </c>
      <c r="C980">
        <v>129</v>
      </c>
      <c r="D980" t="s">
        <v>205</v>
      </c>
      <c r="E980" t="s">
        <v>14</v>
      </c>
      <c r="F980" t="s">
        <v>102</v>
      </c>
      <c r="G980" t="s">
        <v>109</v>
      </c>
      <c r="H980">
        <v>25</v>
      </c>
      <c r="I980" s="2">
        <v>66.27</v>
      </c>
      <c r="J980" s="2">
        <v>37.32</v>
      </c>
      <c r="K980" s="2">
        <v>1656.75</v>
      </c>
      <c r="L980" s="2">
        <v>933</v>
      </c>
      <c r="M980" s="2">
        <v>723.75</v>
      </c>
      <c r="N980">
        <v>2</v>
      </c>
    </row>
    <row r="981" spans="1:14" x14ac:dyDescent="0.3">
      <c r="A981" s="1">
        <v>37956</v>
      </c>
      <c r="B981">
        <v>10200</v>
      </c>
      <c r="C981">
        <v>211</v>
      </c>
      <c r="D981" t="s">
        <v>230</v>
      </c>
      <c r="E981" t="s">
        <v>179</v>
      </c>
      <c r="F981" t="s">
        <v>83</v>
      </c>
      <c r="G981" t="s">
        <v>85</v>
      </c>
      <c r="H981">
        <v>28</v>
      </c>
      <c r="I981" s="2">
        <v>74.34</v>
      </c>
      <c r="J981" s="2">
        <v>49</v>
      </c>
      <c r="K981" s="2">
        <v>2081.52</v>
      </c>
      <c r="L981" s="2">
        <v>1372</v>
      </c>
      <c r="M981" s="2">
        <v>709.52</v>
      </c>
      <c r="N981">
        <v>2</v>
      </c>
    </row>
    <row r="982" spans="1:14" x14ac:dyDescent="0.3">
      <c r="A982" s="1">
        <v>37956</v>
      </c>
      <c r="B982">
        <v>10200</v>
      </c>
      <c r="C982">
        <v>211</v>
      </c>
      <c r="D982" t="s">
        <v>230</v>
      </c>
      <c r="E982" t="s">
        <v>179</v>
      </c>
      <c r="F982" t="s">
        <v>83</v>
      </c>
      <c r="G982" t="s">
        <v>88</v>
      </c>
      <c r="H982">
        <v>33</v>
      </c>
      <c r="I982" s="2">
        <v>99.57</v>
      </c>
      <c r="J982" s="2">
        <v>66.739999999999995</v>
      </c>
      <c r="K982" s="2">
        <v>3285.81</v>
      </c>
      <c r="L982" s="2">
        <v>2202.42</v>
      </c>
      <c r="M982" s="2">
        <v>1083.3900000000001</v>
      </c>
      <c r="N982">
        <v>2</v>
      </c>
    </row>
    <row r="983" spans="1:14" x14ac:dyDescent="0.3">
      <c r="A983" s="1">
        <v>37956</v>
      </c>
      <c r="B983">
        <v>10200</v>
      </c>
      <c r="C983">
        <v>211</v>
      </c>
      <c r="D983" t="s">
        <v>230</v>
      </c>
      <c r="E983" t="s">
        <v>179</v>
      </c>
      <c r="F983" t="s">
        <v>83</v>
      </c>
      <c r="G983" t="s">
        <v>92</v>
      </c>
      <c r="H983">
        <v>39</v>
      </c>
      <c r="I983" s="2">
        <v>70.28</v>
      </c>
      <c r="J983" s="2">
        <v>36.229999999999997</v>
      </c>
      <c r="K983" s="2">
        <v>2740.92</v>
      </c>
      <c r="L983" s="2">
        <v>1412.97</v>
      </c>
      <c r="M983" s="2">
        <v>1327.95</v>
      </c>
      <c r="N983">
        <v>2</v>
      </c>
    </row>
    <row r="984" spans="1:14" x14ac:dyDescent="0.3">
      <c r="A984" s="1">
        <v>37956</v>
      </c>
      <c r="B984">
        <v>10200</v>
      </c>
      <c r="C984">
        <v>211</v>
      </c>
      <c r="D984" t="s">
        <v>230</v>
      </c>
      <c r="E984" t="s">
        <v>179</v>
      </c>
      <c r="F984" t="s">
        <v>102</v>
      </c>
      <c r="G984" t="s">
        <v>110</v>
      </c>
      <c r="H984">
        <v>35</v>
      </c>
      <c r="I984" s="2">
        <v>80.91</v>
      </c>
      <c r="J984" s="2">
        <v>66.92</v>
      </c>
      <c r="K984" s="2">
        <v>2831.85</v>
      </c>
      <c r="L984" s="2">
        <v>2342.1999999999998</v>
      </c>
      <c r="M984" s="2">
        <v>489.65</v>
      </c>
      <c r="N984">
        <v>2</v>
      </c>
    </row>
    <row r="985" spans="1:14" x14ac:dyDescent="0.3">
      <c r="A985" s="1">
        <v>37956</v>
      </c>
      <c r="B985">
        <v>10200</v>
      </c>
      <c r="C985">
        <v>211</v>
      </c>
      <c r="D985" t="s">
        <v>230</v>
      </c>
      <c r="E985" t="s">
        <v>179</v>
      </c>
      <c r="F985" t="s">
        <v>15</v>
      </c>
      <c r="G985" t="s">
        <v>93</v>
      </c>
      <c r="H985">
        <v>27</v>
      </c>
      <c r="I985" s="2">
        <v>65.349999999999994</v>
      </c>
      <c r="J985" s="2">
        <v>33.020000000000003</v>
      </c>
      <c r="K985" s="2">
        <v>1764.45</v>
      </c>
      <c r="L985" s="2">
        <v>891.54</v>
      </c>
      <c r="M985" s="2">
        <v>872.91</v>
      </c>
      <c r="N985">
        <v>2</v>
      </c>
    </row>
    <row r="986" spans="1:14" x14ac:dyDescent="0.3">
      <c r="A986" s="1">
        <v>37956</v>
      </c>
      <c r="B986">
        <v>10200</v>
      </c>
      <c r="C986">
        <v>211</v>
      </c>
      <c r="D986" t="s">
        <v>230</v>
      </c>
      <c r="E986" t="s">
        <v>179</v>
      </c>
      <c r="F986" t="s">
        <v>83</v>
      </c>
      <c r="G986" t="s">
        <v>98</v>
      </c>
      <c r="H986">
        <v>39</v>
      </c>
      <c r="I986" s="2">
        <v>115.09</v>
      </c>
      <c r="J986" s="2">
        <v>59.33</v>
      </c>
      <c r="K986" s="2">
        <v>4488.51</v>
      </c>
      <c r="L986" s="2">
        <v>2313.87</v>
      </c>
      <c r="M986" s="2">
        <v>2174.64</v>
      </c>
      <c r="N986">
        <v>2</v>
      </c>
    </row>
    <row r="987" spans="1:14" x14ac:dyDescent="0.3">
      <c r="A987" s="1">
        <v>37957</v>
      </c>
      <c r="B987">
        <v>10203</v>
      </c>
      <c r="C987">
        <v>141</v>
      </c>
      <c r="D987" t="s">
        <v>47</v>
      </c>
      <c r="E987" t="s">
        <v>48</v>
      </c>
      <c r="F987" t="s">
        <v>29</v>
      </c>
      <c r="G987" t="s">
        <v>112</v>
      </c>
      <c r="H987">
        <v>20</v>
      </c>
      <c r="I987" s="2">
        <v>161.49</v>
      </c>
      <c r="J987" s="2">
        <v>95.34</v>
      </c>
      <c r="K987" s="2">
        <v>3229.8</v>
      </c>
      <c r="L987" s="2">
        <v>1906.8</v>
      </c>
      <c r="M987" s="2">
        <v>1323</v>
      </c>
      <c r="N987">
        <v>7</v>
      </c>
    </row>
    <row r="988" spans="1:14" x14ac:dyDescent="0.3">
      <c r="A988" s="1">
        <v>37957</v>
      </c>
      <c r="B988">
        <v>10203</v>
      </c>
      <c r="C988">
        <v>141</v>
      </c>
      <c r="D988" t="s">
        <v>47</v>
      </c>
      <c r="E988" t="s">
        <v>48</v>
      </c>
      <c r="F988" t="s">
        <v>29</v>
      </c>
      <c r="G988" t="s">
        <v>113</v>
      </c>
      <c r="H988">
        <v>20</v>
      </c>
      <c r="I988" s="2">
        <v>111.57</v>
      </c>
      <c r="J988" s="2">
        <v>75.16</v>
      </c>
      <c r="K988" s="2">
        <v>2231.4</v>
      </c>
      <c r="L988" s="2">
        <v>1503.2</v>
      </c>
      <c r="M988" s="2">
        <v>728.2</v>
      </c>
      <c r="N988">
        <v>7</v>
      </c>
    </row>
    <row r="989" spans="1:14" x14ac:dyDescent="0.3">
      <c r="A989" s="1">
        <v>37957</v>
      </c>
      <c r="B989">
        <v>10203</v>
      </c>
      <c r="C989">
        <v>141</v>
      </c>
      <c r="D989" t="s">
        <v>47</v>
      </c>
      <c r="E989" t="s">
        <v>48</v>
      </c>
      <c r="F989" t="s">
        <v>29</v>
      </c>
      <c r="G989" t="s">
        <v>114</v>
      </c>
      <c r="H989">
        <v>44</v>
      </c>
      <c r="I989" s="2">
        <v>63.84</v>
      </c>
      <c r="J989" s="2">
        <v>31.92</v>
      </c>
      <c r="K989" s="2">
        <v>2808.96</v>
      </c>
      <c r="L989" s="2">
        <v>1404.48</v>
      </c>
      <c r="M989" s="2">
        <v>1404.48</v>
      </c>
      <c r="N989">
        <v>7</v>
      </c>
    </row>
    <row r="990" spans="1:14" x14ac:dyDescent="0.3">
      <c r="A990" s="1">
        <v>37957</v>
      </c>
      <c r="B990">
        <v>10203</v>
      </c>
      <c r="C990">
        <v>141</v>
      </c>
      <c r="D990" t="s">
        <v>47</v>
      </c>
      <c r="E990" t="s">
        <v>48</v>
      </c>
      <c r="F990" t="s">
        <v>29</v>
      </c>
      <c r="G990" t="s">
        <v>115</v>
      </c>
      <c r="H990">
        <v>47</v>
      </c>
      <c r="I990" s="2">
        <v>115.16</v>
      </c>
      <c r="J990" s="2">
        <v>58.73</v>
      </c>
      <c r="K990" s="2">
        <v>5412.52</v>
      </c>
      <c r="L990" s="2">
        <v>2760.31</v>
      </c>
      <c r="M990" s="2">
        <v>2652.21</v>
      </c>
      <c r="N990">
        <v>7</v>
      </c>
    </row>
    <row r="991" spans="1:14" x14ac:dyDescent="0.3">
      <c r="A991" s="1">
        <v>37957</v>
      </c>
      <c r="B991">
        <v>10203</v>
      </c>
      <c r="C991">
        <v>141</v>
      </c>
      <c r="D991" t="s">
        <v>47</v>
      </c>
      <c r="E991" t="s">
        <v>48</v>
      </c>
      <c r="F991" t="s">
        <v>29</v>
      </c>
      <c r="G991" t="s">
        <v>116</v>
      </c>
      <c r="H991">
        <v>45</v>
      </c>
      <c r="I991" s="2">
        <v>73.150000000000006</v>
      </c>
      <c r="J991" s="2">
        <v>53.9</v>
      </c>
      <c r="K991" s="2">
        <v>3291.75</v>
      </c>
      <c r="L991" s="2">
        <v>2425.5</v>
      </c>
      <c r="M991" s="2">
        <v>866.25</v>
      </c>
      <c r="N991">
        <v>7</v>
      </c>
    </row>
    <row r="992" spans="1:14" x14ac:dyDescent="0.3">
      <c r="A992" s="1">
        <v>37957</v>
      </c>
      <c r="B992">
        <v>10203</v>
      </c>
      <c r="C992">
        <v>141</v>
      </c>
      <c r="D992" t="s">
        <v>47</v>
      </c>
      <c r="E992" t="s">
        <v>48</v>
      </c>
      <c r="F992" t="s">
        <v>29</v>
      </c>
      <c r="G992" t="s">
        <v>53</v>
      </c>
      <c r="H992">
        <v>48</v>
      </c>
      <c r="I992" s="2">
        <v>157.49</v>
      </c>
      <c r="J992" s="2">
        <v>77.900000000000006</v>
      </c>
      <c r="K992" s="2">
        <v>7559.52</v>
      </c>
      <c r="L992" s="2">
        <v>3739.2</v>
      </c>
      <c r="M992" s="2">
        <v>3820.32</v>
      </c>
      <c r="N992">
        <v>7</v>
      </c>
    </row>
    <row r="993" spans="1:14" x14ac:dyDescent="0.3">
      <c r="A993" s="1">
        <v>37957</v>
      </c>
      <c r="B993">
        <v>10203</v>
      </c>
      <c r="C993">
        <v>141</v>
      </c>
      <c r="D993" t="s">
        <v>47</v>
      </c>
      <c r="E993" t="s">
        <v>48</v>
      </c>
      <c r="F993" t="s">
        <v>29</v>
      </c>
      <c r="G993" t="s">
        <v>117</v>
      </c>
      <c r="H993">
        <v>33</v>
      </c>
      <c r="I993" s="2">
        <v>66.739999999999995</v>
      </c>
      <c r="J993" s="2">
        <v>49.05</v>
      </c>
      <c r="K993" s="2">
        <v>2202.42</v>
      </c>
      <c r="L993" s="2">
        <v>1618.65</v>
      </c>
      <c r="M993" s="2">
        <v>583.77</v>
      </c>
      <c r="N993">
        <v>7</v>
      </c>
    </row>
    <row r="994" spans="1:14" x14ac:dyDescent="0.3">
      <c r="A994" s="1">
        <v>37957</v>
      </c>
      <c r="B994">
        <v>10203</v>
      </c>
      <c r="C994">
        <v>141</v>
      </c>
      <c r="D994" t="s">
        <v>47</v>
      </c>
      <c r="E994" t="s">
        <v>48</v>
      </c>
      <c r="F994" t="s">
        <v>29</v>
      </c>
      <c r="G994" t="s">
        <v>118</v>
      </c>
      <c r="H994">
        <v>32</v>
      </c>
      <c r="I994" s="2">
        <v>127.88</v>
      </c>
      <c r="J994" s="2">
        <v>73.489999999999995</v>
      </c>
      <c r="K994" s="2">
        <v>4092.16</v>
      </c>
      <c r="L994" s="2">
        <v>2351.6799999999998</v>
      </c>
      <c r="M994" s="2">
        <v>1740.48</v>
      </c>
      <c r="N994">
        <v>7</v>
      </c>
    </row>
    <row r="995" spans="1:14" x14ac:dyDescent="0.3">
      <c r="A995" s="1">
        <v>37957</v>
      </c>
      <c r="B995">
        <v>10203</v>
      </c>
      <c r="C995">
        <v>141</v>
      </c>
      <c r="D995" t="s">
        <v>47</v>
      </c>
      <c r="E995" t="s">
        <v>48</v>
      </c>
      <c r="F995" t="s">
        <v>29</v>
      </c>
      <c r="G995" t="s">
        <v>132</v>
      </c>
      <c r="H995">
        <v>21</v>
      </c>
      <c r="I995" s="2">
        <v>33.229999999999997</v>
      </c>
      <c r="J995" s="2">
        <v>16.239999999999998</v>
      </c>
      <c r="K995" s="2">
        <v>697.83</v>
      </c>
      <c r="L995" s="2">
        <v>341.04</v>
      </c>
      <c r="M995" s="2">
        <v>356.79</v>
      </c>
      <c r="N995">
        <v>7</v>
      </c>
    </row>
    <row r="996" spans="1:14" x14ac:dyDescent="0.3">
      <c r="A996" s="1">
        <v>37957</v>
      </c>
      <c r="B996">
        <v>10203</v>
      </c>
      <c r="C996">
        <v>141</v>
      </c>
      <c r="D996" t="s">
        <v>47</v>
      </c>
      <c r="E996" t="s">
        <v>48</v>
      </c>
      <c r="F996" t="s">
        <v>29</v>
      </c>
      <c r="G996" t="s">
        <v>122</v>
      </c>
      <c r="H996">
        <v>34</v>
      </c>
      <c r="I996" s="2">
        <v>56.94</v>
      </c>
      <c r="J996" s="2">
        <v>38.58</v>
      </c>
      <c r="K996" s="2">
        <v>1935.96</v>
      </c>
      <c r="L996" s="2">
        <v>1311.72</v>
      </c>
      <c r="M996" s="2">
        <v>624.24</v>
      </c>
      <c r="N996">
        <v>7</v>
      </c>
    </row>
    <row r="997" spans="1:14" x14ac:dyDescent="0.3">
      <c r="A997" s="1">
        <v>37957</v>
      </c>
      <c r="B997">
        <v>10203</v>
      </c>
      <c r="C997">
        <v>141</v>
      </c>
      <c r="D997" t="s">
        <v>47</v>
      </c>
      <c r="E997" t="s">
        <v>48</v>
      </c>
      <c r="F997" t="s">
        <v>29</v>
      </c>
      <c r="G997" t="s">
        <v>123</v>
      </c>
      <c r="H997">
        <v>47</v>
      </c>
      <c r="I997" s="2">
        <v>140.43</v>
      </c>
      <c r="J997" s="2">
        <v>98.3</v>
      </c>
      <c r="K997" s="2">
        <v>6600.21</v>
      </c>
      <c r="L997" s="2">
        <v>4620.1000000000004</v>
      </c>
      <c r="M997" s="2">
        <v>1980.11</v>
      </c>
      <c r="N997">
        <v>7</v>
      </c>
    </row>
    <row r="998" spans="1:14" x14ac:dyDescent="0.3">
      <c r="A998" s="1">
        <v>37957</v>
      </c>
      <c r="B998">
        <v>10204</v>
      </c>
      <c r="C998">
        <v>151</v>
      </c>
      <c r="D998" t="s">
        <v>157</v>
      </c>
      <c r="E998" t="s">
        <v>14</v>
      </c>
      <c r="F998" t="s">
        <v>29</v>
      </c>
      <c r="G998" t="s">
        <v>128</v>
      </c>
      <c r="H998">
        <v>42</v>
      </c>
      <c r="I998" s="2">
        <v>114.65</v>
      </c>
      <c r="J998" s="2">
        <v>83.51</v>
      </c>
      <c r="K998" s="2">
        <v>4815.3</v>
      </c>
      <c r="L998" s="2">
        <v>3507.42</v>
      </c>
      <c r="M998" s="2">
        <v>1307.8800000000001</v>
      </c>
      <c r="N998">
        <v>2</v>
      </c>
    </row>
    <row r="999" spans="1:14" x14ac:dyDescent="0.3">
      <c r="A999" s="1">
        <v>37957</v>
      </c>
      <c r="B999">
        <v>10204</v>
      </c>
      <c r="C999">
        <v>151</v>
      </c>
      <c r="D999" t="s">
        <v>157</v>
      </c>
      <c r="E999" t="s">
        <v>14</v>
      </c>
      <c r="F999" t="s">
        <v>29</v>
      </c>
      <c r="G999" t="s">
        <v>134</v>
      </c>
      <c r="H999">
        <v>40</v>
      </c>
      <c r="I999" s="2">
        <v>113.24</v>
      </c>
      <c r="J999" s="2">
        <v>65.959999999999994</v>
      </c>
      <c r="K999" s="2">
        <v>4529.6000000000004</v>
      </c>
      <c r="L999" s="2">
        <v>2638.4</v>
      </c>
      <c r="M999" s="2">
        <v>1891.2</v>
      </c>
      <c r="N999">
        <v>2</v>
      </c>
    </row>
    <row r="1000" spans="1:14" x14ac:dyDescent="0.3">
      <c r="A1000" s="1">
        <v>37957</v>
      </c>
      <c r="B1000">
        <v>10204</v>
      </c>
      <c r="C1000">
        <v>151</v>
      </c>
      <c r="D1000" t="s">
        <v>157</v>
      </c>
      <c r="E1000" t="s">
        <v>14</v>
      </c>
      <c r="F1000" t="s">
        <v>15</v>
      </c>
      <c r="G1000" t="s">
        <v>16</v>
      </c>
      <c r="H1000">
        <v>33</v>
      </c>
      <c r="I1000" s="2">
        <v>153</v>
      </c>
      <c r="J1000" s="2">
        <v>86.7</v>
      </c>
      <c r="K1000" s="2">
        <v>5049</v>
      </c>
      <c r="L1000" s="2">
        <v>2861.1</v>
      </c>
      <c r="M1000" s="2">
        <v>2187.9</v>
      </c>
      <c r="N1000">
        <v>2</v>
      </c>
    </row>
    <row r="1001" spans="1:14" x14ac:dyDescent="0.3">
      <c r="A1001" s="1">
        <v>37957</v>
      </c>
      <c r="B1001">
        <v>10204</v>
      </c>
      <c r="C1001">
        <v>151</v>
      </c>
      <c r="D1001" t="s">
        <v>157</v>
      </c>
      <c r="E1001" t="s">
        <v>14</v>
      </c>
      <c r="F1001" t="s">
        <v>29</v>
      </c>
      <c r="G1001" t="s">
        <v>129</v>
      </c>
      <c r="H1001">
        <v>38</v>
      </c>
      <c r="I1001" s="2">
        <v>133.72</v>
      </c>
      <c r="J1001" s="2">
        <v>93.89</v>
      </c>
      <c r="K1001" s="2">
        <v>5081.3599999999997</v>
      </c>
      <c r="L1001" s="2">
        <v>3567.82</v>
      </c>
      <c r="M1001" s="2">
        <v>1513.54</v>
      </c>
      <c r="N1001">
        <v>2</v>
      </c>
    </row>
    <row r="1002" spans="1:14" x14ac:dyDescent="0.3">
      <c r="A1002" s="1">
        <v>37957</v>
      </c>
      <c r="B1002">
        <v>10204</v>
      </c>
      <c r="C1002">
        <v>151</v>
      </c>
      <c r="D1002" t="s">
        <v>157</v>
      </c>
      <c r="E1002" t="s">
        <v>14</v>
      </c>
      <c r="F1002" t="s">
        <v>15</v>
      </c>
      <c r="G1002" t="s">
        <v>17</v>
      </c>
      <c r="H1002">
        <v>23</v>
      </c>
      <c r="I1002" s="2">
        <v>59.33</v>
      </c>
      <c r="J1002" s="2">
        <v>33.299999999999997</v>
      </c>
      <c r="K1002" s="2">
        <v>1364.59</v>
      </c>
      <c r="L1002" s="2">
        <v>765.9</v>
      </c>
      <c r="M1002" s="2">
        <v>598.69000000000005</v>
      </c>
      <c r="N1002">
        <v>2</v>
      </c>
    </row>
    <row r="1003" spans="1:14" x14ac:dyDescent="0.3">
      <c r="A1003" s="1">
        <v>37957</v>
      </c>
      <c r="B1003">
        <v>10204</v>
      </c>
      <c r="C1003">
        <v>151</v>
      </c>
      <c r="D1003" t="s">
        <v>157</v>
      </c>
      <c r="E1003" t="s">
        <v>14</v>
      </c>
      <c r="F1003" t="s">
        <v>15</v>
      </c>
      <c r="G1003" t="s">
        <v>21</v>
      </c>
      <c r="H1003">
        <v>26</v>
      </c>
      <c r="I1003" s="2">
        <v>119.5</v>
      </c>
      <c r="J1003" s="2">
        <v>58.48</v>
      </c>
      <c r="K1003" s="2">
        <v>3107</v>
      </c>
      <c r="L1003" s="2">
        <v>1520.48</v>
      </c>
      <c r="M1003" s="2">
        <v>1586.52</v>
      </c>
      <c r="N1003">
        <v>2</v>
      </c>
    </row>
    <row r="1004" spans="1:14" x14ac:dyDescent="0.3">
      <c r="A1004" s="1">
        <v>37957</v>
      </c>
      <c r="B1004">
        <v>10204</v>
      </c>
      <c r="C1004">
        <v>151</v>
      </c>
      <c r="D1004" t="s">
        <v>157</v>
      </c>
      <c r="E1004" t="s">
        <v>14</v>
      </c>
      <c r="F1004" t="s">
        <v>29</v>
      </c>
      <c r="G1004" t="s">
        <v>130</v>
      </c>
      <c r="H1004">
        <v>27</v>
      </c>
      <c r="I1004" s="2">
        <v>106.92</v>
      </c>
      <c r="J1004" s="2">
        <v>56.76</v>
      </c>
      <c r="K1004" s="2">
        <v>2886.84</v>
      </c>
      <c r="L1004" s="2">
        <v>1532.52</v>
      </c>
      <c r="M1004" s="2">
        <v>1354.32</v>
      </c>
      <c r="N1004">
        <v>2</v>
      </c>
    </row>
    <row r="1005" spans="1:14" x14ac:dyDescent="0.3">
      <c r="A1005" s="1">
        <v>37957</v>
      </c>
      <c r="B1005">
        <v>10204</v>
      </c>
      <c r="C1005">
        <v>151</v>
      </c>
      <c r="D1005" t="s">
        <v>157</v>
      </c>
      <c r="E1005" t="s">
        <v>14</v>
      </c>
      <c r="F1005" t="s">
        <v>29</v>
      </c>
      <c r="G1005" t="s">
        <v>131</v>
      </c>
      <c r="H1005">
        <v>35</v>
      </c>
      <c r="I1005" s="2">
        <v>132.80000000000001</v>
      </c>
      <c r="J1005" s="2">
        <v>62.16</v>
      </c>
      <c r="K1005" s="2">
        <v>4648</v>
      </c>
      <c r="L1005" s="2">
        <v>2175.6</v>
      </c>
      <c r="M1005" s="2">
        <v>2472.4</v>
      </c>
      <c r="N1005">
        <v>2</v>
      </c>
    </row>
    <row r="1006" spans="1:14" x14ac:dyDescent="0.3">
      <c r="A1006" s="1">
        <v>37957</v>
      </c>
      <c r="B1006">
        <v>10204</v>
      </c>
      <c r="C1006">
        <v>151</v>
      </c>
      <c r="D1006" t="s">
        <v>157</v>
      </c>
      <c r="E1006" t="s">
        <v>14</v>
      </c>
      <c r="F1006" t="s">
        <v>15</v>
      </c>
      <c r="G1006" t="s">
        <v>18</v>
      </c>
      <c r="H1006">
        <v>29</v>
      </c>
      <c r="I1006" s="2">
        <v>83.75</v>
      </c>
      <c r="J1006" s="2">
        <v>43.26</v>
      </c>
      <c r="K1006" s="2">
        <v>2428.75</v>
      </c>
      <c r="L1006" s="2">
        <v>1254.54</v>
      </c>
      <c r="M1006" s="2">
        <v>1174.21</v>
      </c>
      <c r="N1006">
        <v>2</v>
      </c>
    </row>
    <row r="1007" spans="1:14" x14ac:dyDescent="0.3">
      <c r="A1007" s="1">
        <v>37957</v>
      </c>
      <c r="B1007">
        <v>10204</v>
      </c>
      <c r="C1007">
        <v>151</v>
      </c>
      <c r="D1007" t="s">
        <v>157</v>
      </c>
      <c r="E1007" t="s">
        <v>14</v>
      </c>
      <c r="F1007" t="s">
        <v>29</v>
      </c>
      <c r="G1007" t="s">
        <v>135</v>
      </c>
      <c r="H1007">
        <v>45</v>
      </c>
      <c r="I1007" s="2">
        <v>69.84</v>
      </c>
      <c r="J1007" s="2">
        <v>34.21</v>
      </c>
      <c r="K1007" s="2">
        <v>3142.8</v>
      </c>
      <c r="L1007" s="2">
        <v>1539.45</v>
      </c>
      <c r="M1007" s="2">
        <v>1603.35</v>
      </c>
      <c r="N1007">
        <v>2</v>
      </c>
    </row>
    <row r="1008" spans="1:14" x14ac:dyDescent="0.3">
      <c r="A1008" s="1">
        <v>37957</v>
      </c>
      <c r="B1008">
        <v>10204</v>
      </c>
      <c r="C1008">
        <v>151</v>
      </c>
      <c r="D1008" t="s">
        <v>157</v>
      </c>
      <c r="E1008" t="s">
        <v>14</v>
      </c>
      <c r="F1008" t="s">
        <v>29</v>
      </c>
      <c r="G1008" t="s">
        <v>136</v>
      </c>
      <c r="H1008">
        <v>20</v>
      </c>
      <c r="I1008" s="2">
        <v>69.819999999999993</v>
      </c>
      <c r="J1008" s="2">
        <v>49.24</v>
      </c>
      <c r="K1008" s="2">
        <v>1396.4</v>
      </c>
      <c r="L1008" s="2">
        <v>984.8</v>
      </c>
      <c r="M1008" s="2">
        <v>411.6</v>
      </c>
      <c r="N1008">
        <v>2</v>
      </c>
    </row>
    <row r="1009" spans="1:14" x14ac:dyDescent="0.3">
      <c r="A1009" s="1">
        <v>37957</v>
      </c>
      <c r="B1009">
        <v>10204</v>
      </c>
      <c r="C1009">
        <v>151</v>
      </c>
      <c r="D1009" t="s">
        <v>157</v>
      </c>
      <c r="E1009" t="s">
        <v>14</v>
      </c>
      <c r="F1009" t="s">
        <v>29</v>
      </c>
      <c r="G1009" t="s">
        <v>137</v>
      </c>
      <c r="H1009">
        <v>45</v>
      </c>
      <c r="I1009" s="2">
        <v>46.79</v>
      </c>
      <c r="J1009" s="2">
        <v>29.18</v>
      </c>
      <c r="K1009" s="2">
        <v>2105.5500000000002</v>
      </c>
      <c r="L1009" s="2">
        <v>1313.1</v>
      </c>
      <c r="M1009" s="2">
        <v>792.45</v>
      </c>
      <c r="N1009">
        <v>2</v>
      </c>
    </row>
    <row r="1010" spans="1:14" x14ac:dyDescent="0.3">
      <c r="A1010" s="1">
        <v>37957</v>
      </c>
      <c r="B1010">
        <v>10204</v>
      </c>
      <c r="C1010">
        <v>151</v>
      </c>
      <c r="D1010" t="s">
        <v>157</v>
      </c>
      <c r="E1010" t="s">
        <v>14</v>
      </c>
      <c r="F1010" t="s">
        <v>29</v>
      </c>
      <c r="G1010" t="s">
        <v>138</v>
      </c>
      <c r="H1010">
        <v>47</v>
      </c>
      <c r="I1010" s="2">
        <v>79.06</v>
      </c>
      <c r="J1010" s="2">
        <v>47.25</v>
      </c>
      <c r="K1010" s="2">
        <v>3715.82</v>
      </c>
      <c r="L1010" s="2">
        <v>2220.75</v>
      </c>
      <c r="M1010" s="2">
        <v>1495.07</v>
      </c>
      <c r="N1010">
        <v>2</v>
      </c>
    </row>
    <row r="1011" spans="1:14" x14ac:dyDescent="0.3">
      <c r="A1011" s="1">
        <v>37957</v>
      </c>
      <c r="B1011">
        <v>10204</v>
      </c>
      <c r="C1011">
        <v>151</v>
      </c>
      <c r="D1011" t="s">
        <v>157</v>
      </c>
      <c r="E1011" t="s">
        <v>14</v>
      </c>
      <c r="F1011" t="s">
        <v>29</v>
      </c>
      <c r="G1011" t="s">
        <v>139</v>
      </c>
      <c r="H1011">
        <v>42</v>
      </c>
      <c r="I1011" s="2">
        <v>112.74</v>
      </c>
      <c r="J1011" s="2">
        <v>72.819999999999993</v>
      </c>
      <c r="K1011" s="2">
        <v>4735.08</v>
      </c>
      <c r="L1011" s="2">
        <v>3058.44</v>
      </c>
      <c r="M1011" s="2">
        <v>1676.64</v>
      </c>
      <c r="N1011">
        <v>2</v>
      </c>
    </row>
    <row r="1012" spans="1:14" x14ac:dyDescent="0.3">
      <c r="A1012" s="1">
        <v>37957</v>
      </c>
      <c r="B1012">
        <v>10204</v>
      </c>
      <c r="C1012">
        <v>151</v>
      </c>
      <c r="D1012" t="s">
        <v>157</v>
      </c>
      <c r="E1012" t="s">
        <v>14</v>
      </c>
      <c r="F1012" t="s">
        <v>29</v>
      </c>
      <c r="G1012" t="s">
        <v>140</v>
      </c>
      <c r="H1012">
        <v>40</v>
      </c>
      <c r="I1012" s="2">
        <v>84.75</v>
      </c>
      <c r="J1012" s="2">
        <v>50.51</v>
      </c>
      <c r="K1012" s="2">
        <v>3390</v>
      </c>
      <c r="L1012" s="2">
        <v>2020.4</v>
      </c>
      <c r="M1012" s="2">
        <v>1369.6</v>
      </c>
      <c r="N1012">
        <v>2</v>
      </c>
    </row>
    <row r="1013" spans="1:14" x14ac:dyDescent="0.3">
      <c r="A1013" s="1">
        <v>37957</v>
      </c>
      <c r="B1013">
        <v>10204</v>
      </c>
      <c r="C1013">
        <v>151</v>
      </c>
      <c r="D1013" t="s">
        <v>157</v>
      </c>
      <c r="E1013" t="s">
        <v>14</v>
      </c>
      <c r="F1013" t="s">
        <v>29</v>
      </c>
      <c r="G1013" t="s">
        <v>141</v>
      </c>
      <c r="H1013">
        <v>48</v>
      </c>
      <c r="I1013" s="2">
        <v>104.94</v>
      </c>
      <c r="J1013" s="2">
        <v>62.11</v>
      </c>
      <c r="K1013" s="2">
        <v>5037.12</v>
      </c>
      <c r="L1013" s="2">
        <v>2981.28</v>
      </c>
      <c r="M1013" s="2">
        <v>2055.84</v>
      </c>
      <c r="N1013">
        <v>2</v>
      </c>
    </row>
    <row r="1014" spans="1:14" x14ac:dyDescent="0.3">
      <c r="A1014" s="1">
        <v>37957</v>
      </c>
      <c r="B1014">
        <v>10204</v>
      </c>
      <c r="C1014">
        <v>151</v>
      </c>
      <c r="D1014" t="s">
        <v>157</v>
      </c>
      <c r="E1014" t="s">
        <v>14</v>
      </c>
      <c r="F1014" t="s">
        <v>15</v>
      </c>
      <c r="G1014" t="s">
        <v>19</v>
      </c>
      <c r="H1014">
        <v>39</v>
      </c>
      <c r="I1014" s="2">
        <v>34.880000000000003</v>
      </c>
      <c r="J1014" s="2">
        <v>21.75</v>
      </c>
      <c r="K1014" s="2">
        <v>1360.32</v>
      </c>
      <c r="L1014" s="2">
        <v>848.25</v>
      </c>
      <c r="M1014" s="2">
        <v>512.07000000000005</v>
      </c>
      <c r="N1014">
        <v>2</v>
      </c>
    </row>
    <row r="1015" spans="1:14" x14ac:dyDescent="0.3">
      <c r="A1015" s="1">
        <v>37957</v>
      </c>
      <c r="B1015">
        <v>10202</v>
      </c>
      <c r="C1015">
        <v>357</v>
      </c>
      <c r="D1015" t="s">
        <v>234</v>
      </c>
      <c r="E1015" t="s">
        <v>159</v>
      </c>
      <c r="F1015" t="s">
        <v>102</v>
      </c>
      <c r="G1015" t="s">
        <v>119</v>
      </c>
      <c r="H1015">
        <v>30</v>
      </c>
      <c r="I1015" s="2">
        <v>55.33</v>
      </c>
      <c r="J1015" s="2">
        <v>32.950000000000003</v>
      </c>
      <c r="K1015" s="2">
        <v>1659.9</v>
      </c>
      <c r="L1015" s="2">
        <v>988.5</v>
      </c>
      <c r="M1015" s="2">
        <v>671.4</v>
      </c>
      <c r="N1015">
        <v>1</v>
      </c>
    </row>
    <row r="1016" spans="1:14" x14ac:dyDescent="0.3">
      <c r="A1016" s="1">
        <v>37957</v>
      </c>
      <c r="B1016">
        <v>10202</v>
      </c>
      <c r="C1016">
        <v>357</v>
      </c>
      <c r="D1016" t="s">
        <v>234</v>
      </c>
      <c r="E1016" t="s">
        <v>159</v>
      </c>
      <c r="F1016" t="s">
        <v>29</v>
      </c>
      <c r="G1016" t="s">
        <v>120</v>
      </c>
      <c r="H1016">
        <v>43</v>
      </c>
      <c r="I1016" s="2">
        <v>124.99</v>
      </c>
      <c r="J1016" s="2">
        <v>69.930000000000007</v>
      </c>
      <c r="K1016" s="2">
        <v>5374.57</v>
      </c>
      <c r="L1016" s="2">
        <v>3006.99</v>
      </c>
      <c r="M1016" s="2">
        <v>2367.58</v>
      </c>
      <c r="N1016">
        <v>1</v>
      </c>
    </row>
    <row r="1017" spans="1:14" x14ac:dyDescent="0.3">
      <c r="A1017" s="1">
        <v>37957</v>
      </c>
      <c r="B1017">
        <v>10202</v>
      </c>
      <c r="C1017">
        <v>357</v>
      </c>
      <c r="D1017" t="s">
        <v>234</v>
      </c>
      <c r="E1017" t="s">
        <v>159</v>
      </c>
      <c r="F1017" t="s">
        <v>102</v>
      </c>
      <c r="G1017" t="s">
        <v>121</v>
      </c>
      <c r="H1017">
        <v>50</v>
      </c>
      <c r="I1017" s="2">
        <v>56.1</v>
      </c>
      <c r="J1017" s="2">
        <v>47.1</v>
      </c>
      <c r="K1017" s="2">
        <v>2805</v>
      </c>
      <c r="L1017" s="2">
        <v>2355</v>
      </c>
      <c r="M1017" s="2">
        <v>450</v>
      </c>
      <c r="N1017">
        <v>1</v>
      </c>
    </row>
    <row r="1018" spans="1:14" x14ac:dyDescent="0.3">
      <c r="A1018" s="1">
        <v>37957</v>
      </c>
      <c r="B1018">
        <v>10202</v>
      </c>
      <c r="C1018">
        <v>357</v>
      </c>
      <c r="D1018" t="s">
        <v>234</v>
      </c>
      <c r="E1018" t="s">
        <v>159</v>
      </c>
      <c r="F1018" t="s">
        <v>29</v>
      </c>
      <c r="G1018" t="s">
        <v>124</v>
      </c>
      <c r="H1018">
        <v>50</v>
      </c>
      <c r="I1018" s="2">
        <v>75.180000000000007</v>
      </c>
      <c r="J1018" s="2">
        <v>32.33</v>
      </c>
      <c r="K1018" s="2">
        <v>3759</v>
      </c>
      <c r="L1018" s="2">
        <v>1616.5</v>
      </c>
      <c r="M1018" s="2">
        <v>2142.5</v>
      </c>
      <c r="N1018">
        <v>1</v>
      </c>
    </row>
    <row r="1019" spans="1:14" x14ac:dyDescent="0.3">
      <c r="A1019" s="1">
        <v>37957</v>
      </c>
      <c r="B1019">
        <v>10202</v>
      </c>
      <c r="C1019">
        <v>357</v>
      </c>
      <c r="D1019" t="s">
        <v>234</v>
      </c>
      <c r="E1019" t="s">
        <v>159</v>
      </c>
      <c r="F1019" t="s">
        <v>102</v>
      </c>
      <c r="G1019" t="s">
        <v>125</v>
      </c>
      <c r="H1019">
        <v>27</v>
      </c>
      <c r="I1019" s="2">
        <v>33.39</v>
      </c>
      <c r="J1019" s="2">
        <v>24.14</v>
      </c>
      <c r="K1019" s="2">
        <v>901.53</v>
      </c>
      <c r="L1019" s="2">
        <v>651.78</v>
      </c>
      <c r="M1019" s="2">
        <v>249.75</v>
      </c>
      <c r="N1019">
        <v>1</v>
      </c>
    </row>
    <row r="1020" spans="1:14" x14ac:dyDescent="0.3">
      <c r="A1020" s="1">
        <v>37957</v>
      </c>
      <c r="B1020">
        <v>10202</v>
      </c>
      <c r="C1020">
        <v>357</v>
      </c>
      <c r="D1020" t="s">
        <v>234</v>
      </c>
      <c r="E1020" t="s">
        <v>159</v>
      </c>
      <c r="F1020" t="s">
        <v>102</v>
      </c>
      <c r="G1020" t="s">
        <v>126</v>
      </c>
      <c r="H1020">
        <v>31</v>
      </c>
      <c r="I1020" s="2">
        <v>81.64</v>
      </c>
      <c r="J1020" s="2">
        <v>56.13</v>
      </c>
      <c r="K1020" s="2">
        <v>2530.84</v>
      </c>
      <c r="L1020" s="2">
        <v>1740.03</v>
      </c>
      <c r="M1020" s="2">
        <v>790.81</v>
      </c>
      <c r="N1020">
        <v>1</v>
      </c>
    </row>
    <row r="1021" spans="1:14" x14ac:dyDescent="0.3">
      <c r="A1021" s="1">
        <v>37957</v>
      </c>
      <c r="B1021">
        <v>10202</v>
      </c>
      <c r="C1021">
        <v>357</v>
      </c>
      <c r="D1021" t="s">
        <v>234</v>
      </c>
      <c r="E1021" t="s">
        <v>159</v>
      </c>
      <c r="F1021" t="s">
        <v>102</v>
      </c>
      <c r="G1021" t="s">
        <v>127</v>
      </c>
      <c r="H1021">
        <v>40</v>
      </c>
      <c r="I1021" s="2">
        <v>79.73</v>
      </c>
      <c r="J1021" s="2">
        <v>34.17</v>
      </c>
      <c r="K1021" s="2">
        <v>3189.2</v>
      </c>
      <c r="L1021" s="2">
        <v>1366.8</v>
      </c>
      <c r="M1021" s="2">
        <v>1822.4</v>
      </c>
      <c r="N1021">
        <v>1</v>
      </c>
    </row>
    <row r="1022" spans="1:14" x14ac:dyDescent="0.3">
      <c r="A1022" s="1">
        <v>37958</v>
      </c>
      <c r="B1022">
        <v>10205</v>
      </c>
      <c r="C1022">
        <v>141</v>
      </c>
      <c r="D1022" t="s">
        <v>47</v>
      </c>
      <c r="E1022" t="s">
        <v>48</v>
      </c>
      <c r="F1022" t="s">
        <v>15</v>
      </c>
      <c r="G1022" t="s">
        <v>25</v>
      </c>
      <c r="H1022">
        <v>36</v>
      </c>
      <c r="I1022" s="2">
        <v>98.63</v>
      </c>
      <c r="J1022" s="2">
        <v>60.62</v>
      </c>
      <c r="K1022" s="2">
        <v>3550.68</v>
      </c>
      <c r="L1022" s="2">
        <v>2182.3200000000002</v>
      </c>
      <c r="M1022" s="2">
        <v>1368.36</v>
      </c>
      <c r="N1022">
        <v>8</v>
      </c>
    </row>
    <row r="1023" spans="1:14" x14ac:dyDescent="0.3">
      <c r="A1023" s="1">
        <v>37958</v>
      </c>
      <c r="B1023">
        <v>10205</v>
      </c>
      <c r="C1023">
        <v>141</v>
      </c>
      <c r="D1023" t="s">
        <v>47</v>
      </c>
      <c r="E1023" t="s">
        <v>48</v>
      </c>
      <c r="F1023" t="s">
        <v>15</v>
      </c>
      <c r="G1023" t="s">
        <v>26</v>
      </c>
      <c r="H1023">
        <v>48</v>
      </c>
      <c r="I1023" s="2">
        <v>45.82</v>
      </c>
      <c r="J1023" s="2">
        <v>24.26</v>
      </c>
      <c r="K1023" s="2">
        <v>2199.36</v>
      </c>
      <c r="L1023" s="2">
        <v>1164.48</v>
      </c>
      <c r="M1023" s="2">
        <v>1034.8800000000001</v>
      </c>
      <c r="N1023">
        <v>8</v>
      </c>
    </row>
    <row r="1024" spans="1:14" x14ac:dyDescent="0.3">
      <c r="A1024" s="1">
        <v>37958</v>
      </c>
      <c r="B1024">
        <v>10205</v>
      </c>
      <c r="C1024">
        <v>141</v>
      </c>
      <c r="D1024" t="s">
        <v>47</v>
      </c>
      <c r="E1024" t="s">
        <v>48</v>
      </c>
      <c r="F1024" t="s">
        <v>15</v>
      </c>
      <c r="G1024" t="s">
        <v>22</v>
      </c>
      <c r="H1024">
        <v>40</v>
      </c>
      <c r="I1024" s="2">
        <v>138.38</v>
      </c>
      <c r="J1024" s="2">
        <v>72.56</v>
      </c>
      <c r="K1024" s="2">
        <v>5535.2</v>
      </c>
      <c r="L1024" s="2">
        <v>2902.4</v>
      </c>
      <c r="M1024" s="2">
        <v>2632.8</v>
      </c>
      <c r="N1024">
        <v>8</v>
      </c>
    </row>
    <row r="1025" spans="1:14" x14ac:dyDescent="0.3">
      <c r="A1025" s="1">
        <v>37958</v>
      </c>
      <c r="B1025">
        <v>10205</v>
      </c>
      <c r="C1025">
        <v>141</v>
      </c>
      <c r="D1025" t="s">
        <v>47</v>
      </c>
      <c r="E1025" t="s">
        <v>48</v>
      </c>
      <c r="F1025" t="s">
        <v>15</v>
      </c>
      <c r="G1025" t="s">
        <v>23</v>
      </c>
      <c r="H1025">
        <v>32</v>
      </c>
      <c r="I1025" s="2">
        <v>27.88</v>
      </c>
      <c r="J1025" s="2">
        <v>22.57</v>
      </c>
      <c r="K1025" s="2">
        <v>892.16</v>
      </c>
      <c r="L1025" s="2">
        <v>722.24</v>
      </c>
      <c r="M1025" s="2">
        <v>169.92</v>
      </c>
      <c r="N1025">
        <v>8</v>
      </c>
    </row>
    <row r="1026" spans="1:14" x14ac:dyDescent="0.3">
      <c r="A1026" s="1">
        <v>37958</v>
      </c>
      <c r="B1026">
        <v>10205</v>
      </c>
      <c r="C1026">
        <v>141</v>
      </c>
      <c r="D1026" t="s">
        <v>47</v>
      </c>
      <c r="E1026" t="s">
        <v>48</v>
      </c>
      <c r="F1026" t="s">
        <v>15</v>
      </c>
      <c r="G1026" t="s">
        <v>24</v>
      </c>
      <c r="H1026">
        <v>24</v>
      </c>
      <c r="I1026" s="2">
        <v>36.74</v>
      </c>
      <c r="J1026" s="2">
        <v>20.61</v>
      </c>
      <c r="K1026" s="2">
        <v>881.76</v>
      </c>
      <c r="L1026" s="2">
        <v>494.64</v>
      </c>
      <c r="M1026" s="2">
        <v>387.12</v>
      </c>
      <c r="N1026">
        <v>8</v>
      </c>
    </row>
    <row r="1027" spans="1:14" x14ac:dyDescent="0.3">
      <c r="A1027" s="1">
        <v>37960</v>
      </c>
      <c r="B1027">
        <v>10206</v>
      </c>
      <c r="C1027">
        <v>202</v>
      </c>
      <c r="D1027" t="s">
        <v>183</v>
      </c>
      <c r="E1027" t="s">
        <v>172</v>
      </c>
      <c r="F1027" t="s">
        <v>29</v>
      </c>
      <c r="G1027" t="s">
        <v>30</v>
      </c>
      <c r="H1027">
        <v>47</v>
      </c>
      <c r="I1027" s="2">
        <v>203.59</v>
      </c>
      <c r="J1027" s="2">
        <v>98.58</v>
      </c>
      <c r="K1027" s="2">
        <v>9568.73</v>
      </c>
      <c r="L1027" s="2">
        <v>4633.26</v>
      </c>
      <c r="M1027" s="2">
        <v>4935.47</v>
      </c>
      <c r="N1027">
        <v>1</v>
      </c>
    </row>
    <row r="1028" spans="1:14" x14ac:dyDescent="0.3">
      <c r="A1028" s="1">
        <v>37960</v>
      </c>
      <c r="B1028">
        <v>10206</v>
      </c>
      <c r="C1028">
        <v>202</v>
      </c>
      <c r="D1028" t="s">
        <v>183</v>
      </c>
      <c r="E1028" t="s">
        <v>172</v>
      </c>
      <c r="F1028" t="s">
        <v>32</v>
      </c>
      <c r="G1028" t="s">
        <v>33</v>
      </c>
      <c r="H1028">
        <v>28</v>
      </c>
      <c r="I1028" s="2">
        <v>109.34</v>
      </c>
      <c r="J1028" s="2">
        <v>77.900000000000006</v>
      </c>
      <c r="K1028" s="2">
        <v>3061.52</v>
      </c>
      <c r="L1028" s="2">
        <v>2181.1999999999998</v>
      </c>
      <c r="M1028" s="2">
        <v>880.32</v>
      </c>
      <c r="N1028">
        <v>1</v>
      </c>
    </row>
    <row r="1029" spans="1:14" x14ac:dyDescent="0.3">
      <c r="A1029" s="1">
        <v>37960</v>
      </c>
      <c r="B1029">
        <v>10206</v>
      </c>
      <c r="C1029">
        <v>202</v>
      </c>
      <c r="D1029" t="s">
        <v>183</v>
      </c>
      <c r="E1029" t="s">
        <v>172</v>
      </c>
      <c r="F1029" t="s">
        <v>32</v>
      </c>
      <c r="G1029" t="s">
        <v>34</v>
      </c>
      <c r="H1029">
        <v>34</v>
      </c>
      <c r="I1029" s="2">
        <v>115.5</v>
      </c>
      <c r="J1029" s="2">
        <v>58.33</v>
      </c>
      <c r="K1029" s="2">
        <v>3927</v>
      </c>
      <c r="L1029" s="2">
        <v>1983.22</v>
      </c>
      <c r="M1029" s="2">
        <v>1943.78</v>
      </c>
      <c r="N1029">
        <v>1</v>
      </c>
    </row>
    <row r="1030" spans="1:14" x14ac:dyDescent="0.3">
      <c r="A1030" s="1">
        <v>37960</v>
      </c>
      <c r="B1030">
        <v>10206</v>
      </c>
      <c r="C1030">
        <v>202</v>
      </c>
      <c r="D1030" t="s">
        <v>183</v>
      </c>
      <c r="E1030" t="s">
        <v>172</v>
      </c>
      <c r="F1030" t="s">
        <v>15</v>
      </c>
      <c r="G1030" t="s">
        <v>36</v>
      </c>
      <c r="H1030">
        <v>37</v>
      </c>
      <c r="I1030" s="2">
        <v>98.27</v>
      </c>
      <c r="J1030" s="2">
        <v>60.78</v>
      </c>
      <c r="K1030" s="2">
        <v>3635.99</v>
      </c>
      <c r="L1030" s="2">
        <v>2248.86</v>
      </c>
      <c r="M1030" s="2">
        <v>1387.13</v>
      </c>
      <c r="N1030">
        <v>1</v>
      </c>
    </row>
    <row r="1031" spans="1:14" x14ac:dyDescent="0.3">
      <c r="A1031" s="1">
        <v>37960</v>
      </c>
      <c r="B1031">
        <v>10206</v>
      </c>
      <c r="C1031">
        <v>202</v>
      </c>
      <c r="D1031" t="s">
        <v>183</v>
      </c>
      <c r="E1031" t="s">
        <v>172</v>
      </c>
      <c r="F1031" t="s">
        <v>15</v>
      </c>
      <c r="G1031" t="s">
        <v>37</v>
      </c>
      <c r="H1031">
        <v>28</v>
      </c>
      <c r="I1031" s="2">
        <v>51.84</v>
      </c>
      <c r="J1031" s="2">
        <v>34.35</v>
      </c>
      <c r="K1031" s="2">
        <v>1451.52</v>
      </c>
      <c r="L1031" s="2">
        <v>961.8</v>
      </c>
      <c r="M1031" s="2">
        <v>489.72</v>
      </c>
      <c r="N1031">
        <v>1</v>
      </c>
    </row>
    <row r="1032" spans="1:14" x14ac:dyDescent="0.3">
      <c r="A1032" s="1">
        <v>37960</v>
      </c>
      <c r="B1032">
        <v>10206</v>
      </c>
      <c r="C1032">
        <v>202</v>
      </c>
      <c r="D1032" t="s">
        <v>183</v>
      </c>
      <c r="E1032" t="s">
        <v>172</v>
      </c>
      <c r="F1032" t="s">
        <v>15</v>
      </c>
      <c r="G1032" t="s">
        <v>38</v>
      </c>
      <c r="H1032">
        <v>30</v>
      </c>
      <c r="I1032" s="2">
        <v>102.63</v>
      </c>
      <c r="J1032" s="2">
        <v>60.74</v>
      </c>
      <c r="K1032" s="2">
        <v>3078.9</v>
      </c>
      <c r="L1032" s="2">
        <v>1822.2</v>
      </c>
      <c r="M1032" s="2">
        <v>1256.7</v>
      </c>
      <c r="N1032">
        <v>1</v>
      </c>
    </row>
    <row r="1033" spans="1:14" x14ac:dyDescent="0.3">
      <c r="A1033" s="1">
        <v>37960</v>
      </c>
      <c r="B1033">
        <v>10206</v>
      </c>
      <c r="C1033">
        <v>202</v>
      </c>
      <c r="D1033" t="s">
        <v>183</v>
      </c>
      <c r="E1033" t="s">
        <v>172</v>
      </c>
      <c r="F1033" t="s">
        <v>15</v>
      </c>
      <c r="G1033" t="s">
        <v>39</v>
      </c>
      <c r="H1033">
        <v>28</v>
      </c>
      <c r="I1033" s="2">
        <v>99.21</v>
      </c>
      <c r="J1033" s="2">
        <v>57.54</v>
      </c>
      <c r="K1033" s="2">
        <v>2777.88</v>
      </c>
      <c r="L1033" s="2">
        <v>1611.12</v>
      </c>
      <c r="M1033" s="2">
        <v>1166.76</v>
      </c>
      <c r="N1033">
        <v>1</v>
      </c>
    </row>
    <row r="1034" spans="1:14" x14ac:dyDescent="0.3">
      <c r="A1034" s="1">
        <v>37960</v>
      </c>
      <c r="B1034">
        <v>10206</v>
      </c>
      <c r="C1034">
        <v>202</v>
      </c>
      <c r="D1034" t="s">
        <v>183</v>
      </c>
      <c r="E1034" t="s">
        <v>172</v>
      </c>
      <c r="F1034" t="s">
        <v>15</v>
      </c>
      <c r="G1034" t="s">
        <v>41</v>
      </c>
      <c r="H1034">
        <v>21</v>
      </c>
      <c r="I1034" s="2">
        <v>45.78</v>
      </c>
      <c r="J1034" s="2">
        <v>23.14</v>
      </c>
      <c r="K1034" s="2">
        <v>961.38</v>
      </c>
      <c r="L1034" s="2">
        <v>485.94</v>
      </c>
      <c r="M1034" s="2">
        <v>475.44</v>
      </c>
      <c r="N1034">
        <v>1</v>
      </c>
    </row>
    <row r="1035" spans="1:14" x14ac:dyDescent="0.3">
      <c r="A1035" s="1">
        <v>37960</v>
      </c>
      <c r="B1035">
        <v>10206</v>
      </c>
      <c r="C1035">
        <v>202</v>
      </c>
      <c r="D1035" t="s">
        <v>183</v>
      </c>
      <c r="E1035" t="s">
        <v>172</v>
      </c>
      <c r="F1035" t="s">
        <v>15</v>
      </c>
      <c r="G1035" t="s">
        <v>43</v>
      </c>
      <c r="H1035">
        <v>33</v>
      </c>
      <c r="I1035" s="2">
        <v>95.44</v>
      </c>
      <c r="J1035" s="2">
        <v>57.46</v>
      </c>
      <c r="K1035" s="2">
        <v>3149.52</v>
      </c>
      <c r="L1035" s="2">
        <v>1896.18</v>
      </c>
      <c r="M1035" s="2">
        <v>1253.3399999999999</v>
      </c>
      <c r="N1035">
        <v>1</v>
      </c>
    </row>
    <row r="1036" spans="1:14" x14ac:dyDescent="0.3">
      <c r="A1036" s="1">
        <v>37960</v>
      </c>
      <c r="B1036">
        <v>10206</v>
      </c>
      <c r="C1036">
        <v>202</v>
      </c>
      <c r="D1036" t="s">
        <v>183</v>
      </c>
      <c r="E1036" t="s">
        <v>172</v>
      </c>
      <c r="F1036" t="s">
        <v>32</v>
      </c>
      <c r="G1036" t="s">
        <v>45</v>
      </c>
      <c r="H1036">
        <v>36</v>
      </c>
      <c r="I1036" s="2">
        <v>54.94</v>
      </c>
      <c r="J1036" s="2">
        <v>33.61</v>
      </c>
      <c r="K1036" s="2">
        <v>1977.84</v>
      </c>
      <c r="L1036" s="2">
        <v>1209.96</v>
      </c>
      <c r="M1036" s="2">
        <v>767.88</v>
      </c>
      <c r="N1036">
        <v>1</v>
      </c>
    </row>
    <row r="1037" spans="1:14" x14ac:dyDescent="0.3">
      <c r="A1037" s="1">
        <v>37960</v>
      </c>
      <c r="B1037">
        <v>10206</v>
      </c>
      <c r="C1037">
        <v>202</v>
      </c>
      <c r="D1037" t="s">
        <v>183</v>
      </c>
      <c r="E1037" t="s">
        <v>172</v>
      </c>
      <c r="F1037" t="s">
        <v>29</v>
      </c>
      <c r="G1037" t="s">
        <v>46</v>
      </c>
      <c r="H1037">
        <v>33</v>
      </c>
      <c r="I1037" s="2">
        <v>89.01</v>
      </c>
      <c r="J1037" s="2">
        <v>46.53</v>
      </c>
      <c r="K1037" s="2">
        <v>2937.33</v>
      </c>
      <c r="L1037" s="2">
        <v>1535.49</v>
      </c>
      <c r="M1037" s="2">
        <v>1401.84</v>
      </c>
      <c r="N1037">
        <v>1</v>
      </c>
    </row>
    <row r="1038" spans="1:14" x14ac:dyDescent="0.3">
      <c r="A1038" s="1">
        <v>37964</v>
      </c>
      <c r="B1038">
        <v>10207</v>
      </c>
      <c r="C1038">
        <v>495</v>
      </c>
      <c r="D1038" t="s">
        <v>184</v>
      </c>
      <c r="E1038" t="s">
        <v>14</v>
      </c>
      <c r="F1038" t="s">
        <v>29</v>
      </c>
      <c r="G1038" t="s">
        <v>31</v>
      </c>
      <c r="H1038">
        <v>31</v>
      </c>
      <c r="I1038" s="2">
        <v>125.58</v>
      </c>
      <c r="J1038" s="2">
        <v>103.42</v>
      </c>
      <c r="K1038" s="2">
        <v>3892.98</v>
      </c>
      <c r="L1038" s="2">
        <v>3206.02</v>
      </c>
      <c r="M1038" s="2">
        <v>686.96</v>
      </c>
      <c r="N1038">
        <v>1</v>
      </c>
    </row>
    <row r="1039" spans="1:14" x14ac:dyDescent="0.3">
      <c r="A1039" s="1">
        <v>37964</v>
      </c>
      <c r="B1039">
        <v>10207</v>
      </c>
      <c r="C1039">
        <v>495</v>
      </c>
      <c r="D1039" t="s">
        <v>184</v>
      </c>
      <c r="E1039" t="s">
        <v>14</v>
      </c>
      <c r="F1039" t="s">
        <v>32</v>
      </c>
      <c r="G1039" t="s">
        <v>50</v>
      </c>
      <c r="H1039">
        <v>34</v>
      </c>
      <c r="I1039" s="2">
        <v>95.99</v>
      </c>
      <c r="J1039" s="2">
        <v>55.7</v>
      </c>
      <c r="K1039" s="2">
        <v>3263.66</v>
      </c>
      <c r="L1039" s="2">
        <v>1893.8</v>
      </c>
      <c r="M1039" s="2">
        <v>1369.86</v>
      </c>
      <c r="N1039">
        <v>1</v>
      </c>
    </row>
    <row r="1040" spans="1:14" x14ac:dyDescent="0.3">
      <c r="A1040" s="1">
        <v>37964</v>
      </c>
      <c r="B1040">
        <v>10207</v>
      </c>
      <c r="C1040">
        <v>495</v>
      </c>
      <c r="D1040" t="s">
        <v>184</v>
      </c>
      <c r="E1040" t="s">
        <v>14</v>
      </c>
      <c r="F1040" t="s">
        <v>29</v>
      </c>
      <c r="G1040" t="s">
        <v>51</v>
      </c>
      <c r="H1040">
        <v>44</v>
      </c>
      <c r="I1040" s="2">
        <v>140.81</v>
      </c>
      <c r="J1040" s="2">
        <v>101.51</v>
      </c>
      <c r="K1040" s="2">
        <v>6195.64</v>
      </c>
      <c r="L1040" s="2">
        <v>4466.4399999999996</v>
      </c>
      <c r="M1040" s="2">
        <v>1729.2</v>
      </c>
      <c r="N1040">
        <v>1</v>
      </c>
    </row>
    <row r="1041" spans="1:14" x14ac:dyDescent="0.3">
      <c r="A1041" s="1">
        <v>37964</v>
      </c>
      <c r="B1041">
        <v>10207</v>
      </c>
      <c r="C1041">
        <v>495</v>
      </c>
      <c r="D1041" t="s">
        <v>184</v>
      </c>
      <c r="E1041" t="s">
        <v>14</v>
      </c>
      <c r="F1041" t="s">
        <v>32</v>
      </c>
      <c r="G1041" t="s">
        <v>52</v>
      </c>
      <c r="H1041">
        <v>43</v>
      </c>
      <c r="I1041" s="2">
        <v>109.23</v>
      </c>
      <c r="J1041" s="2">
        <v>74.86</v>
      </c>
      <c r="K1041" s="2">
        <v>4696.8900000000003</v>
      </c>
      <c r="L1041" s="2">
        <v>3218.98</v>
      </c>
      <c r="M1041" s="2">
        <v>1477.91</v>
      </c>
      <c r="N1041">
        <v>1</v>
      </c>
    </row>
    <row r="1042" spans="1:14" x14ac:dyDescent="0.3">
      <c r="A1042" s="1">
        <v>37964</v>
      </c>
      <c r="B1042">
        <v>10207</v>
      </c>
      <c r="C1042">
        <v>495</v>
      </c>
      <c r="D1042" t="s">
        <v>184</v>
      </c>
      <c r="E1042" t="s">
        <v>14</v>
      </c>
      <c r="F1042" t="s">
        <v>32</v>
      </c>
      <c r="G1042" t="s">
        <v>35</v>
      </c>
      <c r="H1042">
        <v>37</v>
      </c>
      <c r="I1042" s="2">
        <v>60.77</v>
      </c>
      <c r="J1042" s="2">
        <v>24.92</v>
      </c>
      <c r="K1042" s="2">
        <v>2248.4899999999998</v>
      </c>
      <c r="L1042" s="2">
        <v>922.04</v>
      </c>
      <c r="M1042" s="2">
        <v>1326.45</v>
      </c>
      <c r="N1042">
        <v>1</v>
      </c>
    </row>
    <row r="1043" spans="1:14" x14ac:dyDescent="0.3">
      <c r="A1043" s="1">
        <v>37964</v>
      </c>
      <c r="B1043">
        <v>10207</v>
      </c>
      <c r="C1043">
        <v>495</v>
      </c>
      <c r="D1043" t="s">
        <v>184</v>
      </c>
      <c r="E1043" t="s">
        <v>14</v>
      </c>
      <c r="F1043" t="s">
        <v>29</v>
      </c>
      <c r="G1043" t="s">
        <v>53</v>
      </c>
      <c r="H1043">
        <v>25</v>
      </c>
      <c r="I1043" s="2">
        <v>140.55000000000001</v>
      </c>
      <c r="J1043" s="2">
        <v>77.900000000000006</v>
      </c>
      <c r="K1043" s="2">
        <v>3513.75</v>
      </c>
      <c r="L1043" s="2">
        <v>1947.5</v>
      </c>
      <c r="M1043" s="2">
        <v>1566.25</v>
      </c>
      <c r="N1043">
        <v>1</v>
      </c>
    </row>
    <row r="1044" spans="1:14" x14ac:dyDescent="0.3">
      <c r="A1044" s="1">
        <v>37964</v>
      </c>
      <c r="B1044">
        <v>10207</v>
      </c>
      <c r="C1044">
        <v>495</v>
      </c>
      <c r="D1044" t="s">
        <v>184</v>
      </c>
      <c r="E1044" t="s">
        <v>14</v>
      </c>
      <c r="F1044" t="s">
        <v>29</v>
      </c>
      <c r="G1044" t="s">
        <v>54</v>
      </c>
      <c r="H1044">
        <v>40</v>
      </c>
      <c r="I1044" s="2">
        <v>143.62</v>
      </c>
      <c r="J1044" s="2">
        <v>91.92</v>
      </c>
      <c r="K1044" s="2">
        <v>5744.8</v>
      </c>
      <c r="L1044" s="2">
        <v>3676.8</v>
      </c>
      <c r="M1044" s="2">
        <v>2068</v>
      </c>
      <c r="N1044">
        <v>1</v>
      </c>
    </row>
    <row r="1045" spans="1:14" x14ac:dyDescent="0.3">
      <c r="A1045" s="1">
        <v>37964</v>
      </c>
      <c r="B1045">
        <v>10207</v>
      </c>
      <c r="C1045">
        <v>495</v>
      </c>
      <c r="D1045" t="s">
        <v>184</v>
      </c>
      <c r="E1045" t="s">
        <v>14</v>
      </c>
      <c r="F1045" t="s">
        <v>32</v>
      </c>
      <c r="G1045" t="s">
        <v>40</v>
      </c>
      <c r="H1045">
        <v>47</v>
      </c>
      <c r="I1045" s="2">
        <v>119.87</v>
      </c>
      <c r="J1045" s="2">
        <v>84.76</v>
      </c>
      <c r="K1045" s="2">
        <v>5633.89</v>
      </c>
      <c r="L1045" s="2">
        <v>3983.72</v>
      </c>
      <c r="M1045" s="2">
        <v>1650.17</v>
      </c>
      <c r="N1045">
        <v>1</v>
      </c>
    </row>
    <row r="1046" spans="1:14" x14ac:dyDescent="0.3">
      <c r="A1046" s="1">
        <v>37964</v>
      </c>
      <c r="B1046">
        <v>10207</v>
      </c>
      <c r="C1046">
        <v>495</v>
      </c>
      <c r="D1046" t="s">
        <v>184</v>
      </c>
      <c r="E1046" t="s">
        <v>14</v>
      </c>
      <c r="F1046" t="s">
        <v>29</v>
      </c>
      <c r="G1046" t="s">
        <v>55</v>
      </c>
      <c r="H1046">
        <v>49</v>
      </c>
      <c r="I1046" s="2">
        <v>57.8</v>
      </c>
      <c r="J1046" s="2">
        <v>32.369999999999997</v>
      </c>
      <c r="K1046" s="2">
        <v>2832.2</v>
      </c>
      <c r="L1046" s="2">
        <v>1586.13</v>
      </c>
      <c r="M1046" s="2">
        <v>1246.07</v>
      </c>
      <c r="N1046">
        <v>1</v>
      </c>
    </row>
    <row r="1047" spans="1:14" x14ac:dyDescent="0.3">
      <c r="A1047" s="1">
        <v>37964</v>
      </c>
      <c r="B1047">
        <v>10207</v>
      </c>
      <c r="C1047">
        <v>495</v>
      </c>
      <c r="D1047" t="s">
        <v>184</v>
      </c>
      <c r="E1047" t="s">
        <v>14</v>
      </c>
      <c r="F1047" t="s">
        <v>32</v>
      </c>
      <c r="G1047" t="s">
        <v>42</v>
      </c>
      <c r="H1047">
        <v>46</v>
      </c>
      <c r="I1047" s="2">
        <v>127.79</v>
      </c>
      <c r="J1047" s="2">
        <v>61.34</v>
      </c>
      <c r="K1047" s="2">
        <v>5878.34</v>
      </c>
      <c r="L1047" s="2">
        <v>2821.64</v>
      </c>
      <c r="M1047" s="2">
        <v>3056.7</v>
      </c>
      <c r="N1047">
        <v>1</v>
      </c>
    </row>
    <row r="1048" spans="1:14" x14ac:dyDescent="0.3">
      <c r="A1048" s="1">
        <v>37964</v>
      </c>
      <c r="B1048">
        <v>10207</v>
      </c>
      <c r="C1048">
        <v>495</v>
      </c>
      <c r="D1048" t="s">
        <v>184</v>
      </c>
      <c r="E1048" t="s">
        <v>14</v>
      </c>
      <c r="F1048" t="s">
        <v>29</v>
      </c>
      <c r="G1048" t="s">
        <v>56</v>
      </c>
      <c r="H1048">
        <v>42</v>
      </c>
      <c r="I1048" s="2">
        <v>30.76</v>
      </c>
      <c r="J1048" s="2">
        <v>15.91</v>
      </c>
      <c r="K1048" s="2">
        <v>1291.92</v>
      </c>
      <c r="L1048" s="2">
        <v>668.22</v>
      </c>
      <c r="M1048" s="2">
        <v>623.70000000000005</v>
      </c>
      <c r="N1048">
        <v>1</v>
      </c>
    </row>
    <row r="1049" spans="1:14" x14ac:dyDescent="0.3">
      <c r="A1049" s="1">
        <v>37964</v>
      </c>
      <c r="B1049">
        <v>10207</v>
      </c>
      <c r="C1049">
        <v>495</v>
      </c>
      <c r="D1049" t="s">
        <v>184</v>
      </c>
      <c r="E1049" t="s">
        <v>14</v>
      </c>
      <c r="F1049" t="s">
        <v>29</v>
      </c>
      <c r="G1049" t="s">
        <v>57</v>
      </c>
      <c r="H1049">
        <v>28</v>
      </c>
      <c r="I1049" s="2">
        <v>108.82</v>
      </c>
      <c r="J1049" s="2">
        <v>69.78</v>
      </c>
      <c r="K1049" s="2">
        <v>3046.96</v>
      </c>
      <c r="L1049" s="2">
        <v>1953.84</v>
      </c>
      <c r="M1049" s="2">
        <v>1093.1199999999999</v>
      </c>
      <c r="N1049">
        <v>1</v>
      </c>
    </row>
    <row r="1050" spans="1:14" x14ac:dyDescent="0.3">
      <c r="A1050" s="1">
        <v>37964</v>
      </c>
      <c r="B1050">
        <v>10207</v>
      </c>
      <c r="C1050">
        <v>495</v>
      </c>
      <c r="D1050" t="s">
        <v>184</v>
      </c>
      <c r="E1050" t="s">
        <v>14</v>
      </c>
      <c r="F1050" t="s">
        <v>32</v>
      </c>
      <c r="G1050" t="s">
        <v>44</v>
      </c>
      <c r="H1050">
        <v>49</v>
      </c>
      <c r="I1050" s="2">
        <v>84.75</v>
      </c>
      <c r="J1050" s="2">
        <v>53.93</v>
      </c>
      <c r="K1050" s="2">
        <v>4152.75</v>
      </c>
      <c r="L1050" s="2">
        <v>2642.57</v>
      </c>
      <c r="M1050" s="2">
        <v>1510.18</v>
      </c>
      <c r="N1050">
        <v>1</v>
      </c>
    </row>
    <row r="1051" spans="1:14" x14ac:dyDescent="0.3">
      <c r="A1051" s="1">
        <v>37964</v>
      </c>
      <c r="B1051">
        <v>10207</v>
      </c>
      <c r="C1051">
        <v>495</v>
      </c>
      <c r="D1051" t="s">
        <v>184</v>
      </c>
      <c r="E1051" t="s">
        <v>14</v>
      </c>
      <c r="F1051" t="s">
        <v>32</v>
      </c>
      <c r="G1051" t="s">
        <v>58</v>
      </c>
      <c r="H1051">
        <v>27</v>
      </c>
      <c r="I1051" s="2">
        <v>51.95</v>
      </c>
      <c r="J1051" s="2">
        <v>25.98</v>
      </c>
      <c r="K1051" s="2">
        <v>1402.65</v>
      </c>
      <c r="L1051" s="2">
        <v>701.46</v>
      </c>
      <c r="M1051" s="2">
        <v>701.19</v>
      </c>
      <c r="N1051">
        <v>1</v>
      </c>
    </row>
    <row r="1052" spans="1:14" x14ac:dyDescent="0.3">
      <c r="A1052" s="1">
        <v>37964</v>
      </c>
      <c r="B1052">
        <v>10207</v>
      </c>
      <c r="C1052">
        <v>495</v>
      </c>
      <c r="D1052" t="s">
        <v>184</v>
      </c>
      <c r="E1052" t="s">
        <v>14</v>
      </c>
      <c r="F1052" t="s">
        <v>59</v>
      </c>
      <c r="G1052" t="s">
        <v>60</v>
      </c>
      <c r="H1052">
        <v>45</v>
      </c>
      <c r="I1052" s="2">
        <v>55.3</v>
      </c>
      <c r="J1052" s="2">
        <v>26.72</v>
      </c>
      <c r="K1052" s="2">
        <v>2488.5</v>
      </c>
      <c r="L1052" s="2">
        <v>1202.4000000000001</v>
      </c>
      <c r="M1052" s="2">
        <v>1286.0999999999999</v>
      </c>
      <c r="N1052">
        <v>1</v>
      </c>
    </row>
    <row r="1053" spans="1:14" x14ac:dyDescent="0.3">
      <c r="A1053" s="1">
        <v>37964</v>
      </c>
      <c r="B1053">
        <v>10207</v>
      </c>
      <c r="C1053">
        <v>495</v>
      </c>
      <c r="D1053" t="s">
        <v>184</v>
      </c>
      <c r="E1053" t="s">
        <v>14</v>
      </c>
      <c r="F1053" t="s">
        <v>32</v>
      </c>
      <c r="G1053" t="s">
        <v>61</v>
      </c>
      <c r="H1053">
        <v>28</v>
      </c>
      <c r="I1053" s="2">
        <v>106.49</v>
      </c>
      <c r="J1053" s="2">
        <v>68.290000000000006</v>
      </c>
      <c r="K1053" s="2">
        <v>2981.72</v>
      </c>
      <c r="L1053" s="2">
        <v>1912.12</v>
      </c>
      <c r="M1053" s="2">
        <v>1069.5999999999999</v>
      </c>
      <c r="N1053">
        <v>1</v>
      </c>
    </row>
    <row r="1054" spans="1:14" x14ac:dyDescent="0.3">
      <c r="A1054" s="1">
        <v>37988</v>
      </c>
      <c r="B1054">
        <v>10208</v>
      </c>
      <c r="C1054">
        <v>146</v>
      </c>
      <c r="D1054" t="s">
        <v>231</v>
      </c>
      <c r="E1054" t="s">
        <v>144</v>
      </c>
      <c r="F1054" t="s">
        <v>29</v>
      </c>
      <c r="G1054" t="s">
        <v>66</v>
      </c>
      <c r="H1054">
        <v>46</v>
      </c>
      <c r="I1054" s="2">
        <v>176.63</v>
      </c>
      <c r="J1054" s="2">
        <v>95.59</v>
      </c>
      <c r="K1054" s="2">
        <v>8124.98</v>
      </c>
      <c r="L1054" s="2">
        <v>4397.1400000000003</v>
      </c>
      <c r="M1054" s="2">
        <v>3727.84</v>
      </c>
      <c r="N1054">
        <v>2</v>
      </c>
    </row>
    <row r="1055" spans="1:14" x14ac:dyDescent="0.3">
      <c r="A1055" s="1">
        <v>37988</v>
      </c>
      <c r="B1055">
        <v>10208</v>
      </c>
      <c r="C1055">
        <v>146</v>
      </c>
      <c r="D1055" t="s">
        <v>231</v>
      </c>
      <c r="E1055" t="s">
        <v>144</v>
      </c>
      <c r="F1055" t="s">
        <v>29</v>
      </c>
      <c r="G1055" t="s">
        <v>49</v>
      </c>
      <c r="H1055">
        <v>26</v>
      </c>
      <c r="I1055" s="2">
        <v>128.41999999999999</v>
      </c>
      <c r="J1055" s="2">
        <v>89.14</v>
      </c>
      <c r="K1055" s="2">
        <v>3338.92</v>
      </c>
      <c r="L1055" s="2">
        <v>2317.64</v>
      </c>
      <c r="M1055" s="2">
        <v>1021.28</v>
      </c>
      <c r="N1055">
        <v>2</v>
      </c>
    </row>
    <row r="1056" spans="1:14" x14ac:dyDescent="0.3">
      <c r="A1056" s="1">
        <v>37988</v>
      </c>
      <c r="B1056">
        <v>10208</v>
      </c>
      <c r="C1056">
        <v>146</v>
      </c>
      <c r="D1056" t="s">
        <v>231</v>
      </c>
      <c r="E1056" t="s">
        <v>144</v>
      </c>
      <c r="F1056" t="s">
        <v>29</v>
      </c>
      <c r="G1056" t="s">
        <v>67</v>
      </c>
      <c r="H1056">
        <v>20</v>
      </c>
      <c r="I1056" s="2">
        <v>152.26</v>
      </c>
      <c r="J1056" s="2">
        <v>83.05</v>
      </c>
      <c r="K1056" s="2">
        <v>3045.2</v>
      </c>
      <c r="L1056" s="2">
        <v>1661</v>
      </c>
      <c r="M1056" s="2">
        <v>1384.2</v>
      </c>
      <c r="N1056">
        <v>2</v>
      </c>
    </row>
    <row r="1057" spans="1:14" x14ac:dyDescent="0.3">
      <c r="A1057" s="1">
        <v>37988</v>
      </c>
      <c r="B1057">
        <v>10208</v>
      </c>
      <c r="C1057">
        <v>146</v>
      </c>
      <c r="D1057" t="s">
        <v>231</v>
      </c>
      <c r="E1057" t="s">
        <v>144</v>
      </c>
      <c r="F1057" t="s">
        <v>15</v>
      </c>
      <c r="G1057" t="s">
        <v>68</v>
      </c>
      <c r="H1057">
        <v>24</v>
      </c>
      <c r="I1057" s="2">
        <v>117.47</v>
      </c>
      <c r="J1057" s="2">
        <v>68.3</v>
      </c>
      <c r="K1057" s="2">
        <v>2819.28</v>
      </c>
      <c r="L1057" s="2">
        <v>1639.2</v>
      </c>
      <c r="M1057" s="2">
        <v>1180.08</v>
      </c>
      <c r="N1057">
        <v>2</v>
      </c>
    </row>
    <row r="1058" spans="1:14" x14ac:dyDescent="0.3">
      <c r="A1058" s="1">
        <v>37988</v>
      </c>
      <c r="B1058">
        <v>10208</v>
      </c>
      <c r="C1058">
        <v>146</v>
      </c>
      <c r="D1058" t="s">
        <v>231</v>
      </c>
      <c r="E1058" t="s">
        <v>144</v>
      </c>
      <c r="F1058" t="s">
        <v>59</v>
      </c>
      <c r="G1058" t="s">
        <v>69</v>
      </c>
      <c r="H1058">
        <v>48</v>
      </c>
      <c r="I1058" s="2">
        <v>96.81</v>
      </c>
      <c r="J1058" s="2">
        <v>67.56</v>
      </c>
      <c r="K1058" s="2">
        <v>4646.88</v>
      </c>
      <c r="L1058" s="2">
        <v>3242.88</v>
      </c>
      <c r="M1058" s="2">
        <v>1404</v>
      </c>
      <c r="N1058">
        <v>2</v>
      </c>
    </row>
    <row r="1059" spans="1:14" x14ac:dyDescent="0.3">
      <c r="A1059" s="1">
        <v>37988</v>
      </c>
      <c r="B1059">
        <v>10208</v>
      </c>
      <c r="C1059">
        <v>146</v>
      </c>
      <c r="D1059" t="s">
        <v>231</v>
      </c>
      <c r="E1059" t="s">
        <v>144</v>
      </c>
      <c r="F1059" t="s">
        <v>15</v>
      </c>
      <c r="G1059" t="s">
        <v>70</v>
      </c>
      <c r="H1059">
        <v>45</v>
      </c>
      <c r="I1059" s="2">
        <v>72.849999999999994</v>
      </c>
      <c r="J1059" s="2">
        <v>52.66</v>
      </c>
      <c r="K1059" s="2">
        <v>3278.25</v>
      </c>
      <c r="L1059" s="2">
        <v>2369.6999999999998</v>
      </c>
      <c r="M1059" s="2">
        <v>908.55</v>
      </c>
      <c r="N1059">
        <v>2</v>
      </c>
    </row>
    <row r="1060" spans="1:14" x14ac:dyDescent="0.3">
      <c r="A1060" s="1">
        <v>37988</v>
      </c>
      <c r="B1060">
        <v>10208</v>
      </c>
      <c r="C1060">
        <v>146</v>
      </c>
      <c r="D1060" t="s">
        <v>231</v>
      </c>
      <c r="E1060" t="s">
        <v>144</v>
      </c>
      <c r="F1060" t="s">
        <v>71</v>
      </c>
      <c r="G1060" t="s">
        <v>72</v>
      </c>
      <c r="H1060">
        <v>35</v>
      </c>
      <c r="I1060" s="2">
        <v>122.89</v>
      </c>
      <c r="J1060" s="2">
        <v>82.34</v>
      </c>
      <c r="K1060" s="2">
        <v>4301.1499999999996</v>
      </c>
      <c r="L1060" s="2">
        <v>2881.9</v>
      </c>
      <c r="M1060" s="2">
        <v>1419.25</v>
      </c>
      <c r="N1060">
        <v>2</v>
      </c>
    </row>
    <row r="1061" spans="1:14" x14ac:dyDescent="0.3">
      <c r="A1061" s="1">
        <v>37988</v>
      </c>
      <c r="B1061">
        <v>10208</v>
      </c>
      <c r="C1061">
        <v>146</v>
      </c>
      <c r="D1061" t="s">
        <v>231</v>
      </c>
      <c r="E1061" t="s">
        <v>144</v>
      </c>
      <c r="F1061" t="s">
        <v>15</v>
      </c>
      <c r="G1061" t="s">
        <v>73</v>
      </c>
      <c r="H1061">
        <v>20</v>
      </c>
      <c r="I1061" s="2">
        <v>80.540000000000006</v>
      </c>
      <c r="J1061" s="2">
        <v>46.91</v>
      </c>
      <c r="K1061" s="2">
        <v>1610.8</v>
      </c>
      <c r="L1061" s="2">
        <v>938.2</v>
      </c>
      <c r="M1061" s="2">
        <v>672.6</v>
      </c>
      <c r="N1061">
        <v>2</v>
      </c>
    </row>
    <row r="1062" spans="1:14" x14ac:dyDescent="0.3">
      <c r="A1062" s="1">
        <v>37988</v>
      </c>
      <c r="B1062">
        <v>10208</v>
      </c>
      <c r="C1062">
        <v>146</v>
      </c>
      <c r="D1062" t="s">
        <v>231</v>
      </c>
      <c r="E1062" t="s">
        <v>144</v>
      </c>
      <c r="F1062" t="s">
        <v>59</v>
      </c>
      <c r="G1062" t="s">
        <v>62</v>
      </c>
      <c r="H1062">
        <v>30</v>
      </c>
      <c r="I1062" s="2">
        <v>57.99</v>
      </c>
      <c r="J1062" s="2">
        <v>37.49</v>
      </c>
      <c r="K1062" s="2">
        <v>1739.7</v>
      </c>
      <c r="L1062" s="2">
        <v>1124.7</v>
      </c>
      <c r="M1062" s="2">
        <v>615</v>
      </c>
      <c r="N1062">
        <v>2</v>
      </c>
    </row>
    <row r="1063" spans="1:14" x14ac:dyDescent="0.3">
      <c r="A1063" s="1">
        <v>37988</v>
      </c>
      <c r="B1063">
        <v>10208</v>
      </c>
      <c r="C1063">
        <v>146</v>
      </c>
      <c r="D1063" t="s">
        <v>231</v>
      </c>
      <c r="E1063" t="s">
        <v>144</v>
      </c>
      <c r="F1063" t="s">
        <v>71</v>
      </c>
      <c r="G1063" t="s">
        <v>75</v>
      </c>
      <c r="H1063">
        <v>38</v>
      </c>
      <c r="I1063" s="2">
        <v>56.67</v>
      </c>
      <c r="J1063" s="2">
        <v>34</v>
      </c>
      <c r="K1063" s="2">
        <v>2153.46</v>
      </c>
      <c r="L1063" s="2">
        <v>1292</v>
      </c>
      <c r="M1063" s="2">
        <v>861.46</v>
      </c>
      <c r="N1063">
        <v>2</v>
      </c>
    </row>
    <row r="1064" spans="1:14" x14ac:dyDescent="0.3">
      <c r="A1064" s="1">
        <v>37988</v>
      </c>
      <c r="B1064">
        <v>10208</v>
      </c>
      <c r="C1064">
        <v>146</v>
      </c>
      <c r="D1064" t="s">
        <v>231</v>
      </c>
      <c r="E1064" t="s">
        <v>144</v>
      </c>
      <c r="F1064" t="s">
        <v>71</v>
      </c>
      <c r="G1064" t="s">
        <v>76</v>
      </c>
      <c r="H1064">
        <v>40</v>
      </c>
      <c r="I1064" s="2">
        <v>73.62</v>
      </c>
      <c r="J1064" s="2">
        <v>43.3</v>
      </c>
      <c r="K1064" s="2">
        <v>2944.8</v>
      </c>
      <c r="L1064" s="2">
        <v>1732</v>
      </c>
      <c r="M1064" s="2">
        <v>1212.8</v>
      </c>
      <c r="N1064">
        <v>2</v>
      </c>
    </row>
    <row r="1065" spans="1:14" x14ac:dyDescent="0.3">
      <c r="A1065" s="1">
        <v>37988</v>
      </c>
      <c r="B1065">
        <v>10208</v>
      </c>
      <c r="C1065">
        <v>146</v>
      </c>
      <c r="D1065" t="s">
        <v>231</v>
      </c>
      <c r="E1065" t="s">
        <v>144</v>
      </c>
      <c r="F1065" t="s">
        <v>71</v>
      </c>
      <c r="G1065" t="s">
        <v>77</v>
      </c>
      <c r="H1065">
        <v>46</v>
      </c>
      <c r="I1065" s="2">
        <v>63.61</v>
      </c>
      <c r="J1065" s="2">
        <v>33.97</v>
      </c>
      <c r="K1065" s="2">
        <v>2926.06</v>
      </c>
      <c r="L1065" s="2">
        <v>1562.62</v>
      </c>
      <c r="M1065" s="2">
        <v>1363.44</v>
      </c>
      <c r="N1065">
        <v>2</v>
      </c>
    </row>
    <row r="1066" spans="1:14" x14ac:dyDescent="0.3">
      <c r="A1066" s="1">
        <v>37988</v>
      </c>
      <c r="B1066">
        <v>10208</v>
      </c>
      <c r="C1066">
        <v>146</v>
      </c>
      <c r="D1066" t="s">
        <v>231</v>
      </c>
      <c r="E1066" t="s">
        <v>144</v>
      </c>
      <c r="F1066" t="s">
        <v>71</v>
      </c>
      <c r="G1066" t="s">
        <v>78</v>
      </c>
      <c r="H1066">
        <v>37</v>
      </c>
      <c r="I1066" s="2">
        <v>95.16</v>
      </c>
      <c r="J1066" s="2">
        <v>51.09</v>
      </c>
      <c r="K1066" s="2">
        <v>3520.92</v>
      </c>
      <c r="L1066" s="2">
        <v>1890.33</v>
      </c>
      <c r="M1066" s="2">
        <v>1630.59</v>
      </c>
      <c r="N1066">
        <v>2</v>
      </c>
    </row>
    <row r="1067" spans="1:14" x14ac:dyDescent="0.3">
      <c r="A1067" s="1">
        <v>37988</v>
      </c>
      <c r="B1067">
        <v>10208</v>
      </c>
      <c r="C1067">
        <v>146</v>
      </c>
      <c r="D1067" t="s">
        <v>231</v>
      </c>
      <c r="E1067" t="s">
        <v>144</v>
      </c>
      <c r="F1067" t="s">
        <v>71</v>
      </c>
      <c r="G1067" t="s">
        <v>79</v>
      </c>
      <c r="H1067">
        <v>33</v>
      </c>
      <c r="I1067" s="2">
        <v>95.34</v>
      </c>
      <c r="J1067" s="2">
        <v>53.63</v>
      </c>
      <c r="K1067" s="2">
        <v>3146.22</v>
      </c>
      <c r="L1067" s="2">
        <v>1769.79</v>
      </c>
      <c r="M1067" s="2">
        <v>1376.43</v>
      </c>
      <c r="N1067">
        <v>2</v>
      </c>
    </row>
    <row r="1068" spans="1:14" x14ac:dyDescent="0.3">
      <c r="A1068" s="1">
        <v>37988</v>
      </c>
      <c r="B1068">
        <v>10208</v>
      </c>
      <c r="C1068">
        <v>146</v>
      </c>
      <c r="D1068" t="s">
        <v>231</v>
      </c>
      <c r="E1068" t="s">
        <v>144</v>
      </c>
      <c r="F1068" t="s">
        <v>71</v>
      </c>
      <c r="G1068" t="s">
        <v>80</v>
      </c>
      <c r="H1068">
        <v>42</v>
      </c>
      <c r="I1068" s="2">
        <v>48.05</v>
      </c>
      <c r="J1068" s="2">
        <v>33.299999999999997</v>
      </c>
      <c r="K1068" s="2">
        <v>2018.1</v>
      </c>
      <c r="L1068" s="2">
        <v>1398.6</v>
      </c>
      <c r="M1068" s="2">
        <v>619.5</v>
      </c>
      <c r="N1068">
        <v>2</v>
      </c>
    </row>
    <row r="1069" spans="1:14" x14ac:dyDescent="0.3">
      <c r="A1069" s="1">
        <v>37995</v>
      </c>
      <c r="B1069">
        <v>10209</v>
      </c>
      <c r="C1069">
        <v>347</v>
      </c>
      <c r="D1069" t="s">
        <v>226</v>
      </c>
      <c r="E1069" t="s">
        <v>14</v>
      </c>
      <c r="F1069" t="s">
        <v>29</v>
      </c>
      <c r="G1069" t="s">
        <v>65</v>
      </c>
      <c r="H1069">
        <v>39</v>
      </c>
      <c r="I1069" s="2">
        <v>129.19999999999999</v>
      </c>
      <c r="J1069" s="2">
        <v>85.68</v>
      </c>
      <c r="K1069" s="2">
        <v>5038.8</v>
      </c>
      <c r="L1069" s="2">
        <v>3341.52</v>
      </c>
      <c r="M1069" s="2">
        <v>1697.28</v>
      </c>
      <c r="N1069">
        <v>2</v>
      </c>
    </row>
    <row r="1070" spans="1:14" x14ac:dyDescent="0.3">
      <c r="A1070" s="1">
        <v>37995</v>
      </c>
      <c r="B1070">
        <v>10209</v>
      </c>
      <c r="C1070">
        <v>347</v>
      </c>
      <c r="D1070" t="s">
        <v>226</v>
      </c>
      <c r="E1070" t="s">
        <v>14</v>
      </c>
      <c r="F1070" t="s">
        <v>71</v>
      </c>
      <c r="G1070" t="s">
        <v>86</v>
      </c>
      <c r="H1070">
        <v>28</v>
      </c>
      <c r="I1070" s="2">
        <v>82.58</v>
      </c>
      <c r="J1070" s="2">
        <v>51.61</v>
      </c>
      <c r="K1070" s="2">
        <v>2312.2399999999998</v>
      </c>
      <c r="L1070" s="2">
        <v>1445.08</v>
      </c>
      <c r="M1070" s="2">
        <v>867.16</v>
      </c>
      <c r="N1070">
        <v>2</v>
      </c>
    </row>
    <row r="1071" spans="1:14" x14ac:dyDescent="0.3">
      <c r="A1071" s="1">
        <v>37995</v>
      </c>
      <c r="B1071">
        <v>10209</v>
      </c>
      <c r="C1071">
        <v>347</v>
      </c>
      <c r="D1071" t="s">
        <v>226</v>
      </c>
      <c r="E1071" t="s">
        <v>14</v>
      </c>
      <c r="F1071" t="s">
        <v>15</v>
      </c>
      <c r="G1071" t="s">
        <v>87</v>
      </c>
      <c r="H1071">
        <v>20</v>
      </c>
      <c r="I1071" s="2">
        <v>97.4</v>
      </c>
      <c r="J1071" s="2">
        <v>64.58</v>
      </c>
      <c r="K1071" s="2">
        <v>1948</v>
      </c>
      <c r="L1071" s="2">
        <v>1291.5999999999999</v>
      </c>
      <c r="M1071" s="2">
        <v>656.4</v>
      </c>
      <c r="N1071">
        <v>2</v>
      </c>
    </row>
    <row r="1072" spans="1:14" x14ac:dyDescent="0.3">
      <c r="A1072" s="1">
        <v>37995</v>
      </c>
      <c r="B1072">
        <v>10209</v>
      </c>
      <c r="C1072">
        <v>347</v>
      </c>
      <c r="D1072" t="s">
        <v>226</v>
      </c>
      <c r="E1072" t="s">
        <v>14</v>
      </c>
      <c r="F1072" t="s">
        <v>83</v>
      </c>
      <c r="G1072" t="s">
        <v>89</v>
      </c>
      <c r="H1072">
        <v>43</v>
      </c>
      <c r="I1072" s="2">
        <v>66.45</v>
      </c>
      <c r="J1072" s="2">
        <v>34.25</v>
      </c>
      <c r="K1072" s="2">
        <v>2857.35</v>
      </c>
      <c r="L1072" s="2">
        <v>1472.75</v>
      </c>
      <c r="M1072" s="2">
        <v>1384.6</v>
      </c>
      <c r="N1072">
        <v>2</v>
      </c>
    </row>
    <row r="1073" spans="1:14" x14ac:dyDescent="0.3">
      <c r="A1073" s="1">
        <v>37995</v>
      </c>
      <c r="B1073">
        <v>10209</v>
      </c>
      <c r="C1073">
        <v>347</v>
      </c>
      <c r="D1073" t="s">
        <v>226</v>
      </c>
      <c r="E1073" t="s">
        <v>14</v>
      </c>
      <c r="F1073" t="s">
        <v>15</v>
      </c>
      <c r="G1073" t="s">
        <v>90</v>
      </c>
      <c r="H1073">
        <v>36</v>
      </c>
      <c r="I1073" s="2">
        <v>56.55</v>
      </c>
      <c r="J1073" s="2">
        <v>26.3</v>
      </c>
      <c r="K1073" s="2">
        <v>2035.8</v>
      </c>
      <c r="L1073" s="2">
        <v>946.8</v>
      </c>
      <c r="M1073" s="2">
        <v>1089</v>
      </c>
      <c r="N1073">
        <v>2</v>
      </c>
    </row>
    <row r="1074" spans="1:14" x14ac:dyDescent="0.3">
      <c r="A1074" s="1">
        <v>37995</v>
      </c>
      <c r="B1074">
        <v>10209</v>
      </c>
      <c r="C1074">
        <v>347</v>
      </c>
      <c r="D1074" t="s">
        <v>226</v>
      </c>
      <c r="E1074" t="s">
        <v>14</v>
      </c>
      <c r="F1074" t="s">
        <v>15</v>
      </c>
      <c r="G1074" t="s">
        <v>74</v>
      </c>
      <c r="H1074">
        <v>22</v>
      </c>
      <c r="I1074" s="2">
        <v>79.67</v>
      </c>
      <c r="J1074" s="2">
        <v>48.64</v>
      </c>
      <c r="K1074" s="2">
        <v>1752.74</v>
      </c>
      <c r="L1074" s="2">
        <v>1070.08</v>
      </c>
      <c r="M1074" s="2">
        <v>682.66</v>
      </c>
      <c r="N1074">
        <v>2</v>
      </c>
    </row>
    <row r="1075" spans="1:14" x14ac:dyDescent="0.3">
      <c r="A1075" s="1">
        <v>37995</v>
      </c>
      <c r="B1075">
        <v>10209</v>
      </c>
      <c r="C1075">
        <v>347</v>
      </c>
      <c r="D1075" t="s">
        <v>226</v>
      </c>
      <c r="E1075" t="s">
        <v>14</v>
      </c>
      <c r="F1075" t="s">
        <v>71</v>
      </c>
      <c r="G1075" t="s">
        <v>96</v>
      </c>
      <c r="H1075">
        <v>33</v>
      </c>
      <c r="I1075" s="2">
        <v>90.52</v>
      </c>
      <c r="J1075" s="2">
        <v>39.83</v>
      </c>
      <c r="K1075" s="2">
        <v>2987.16</v>
      </c>
      <c r="L1075" s="2">
        <v>1314.39</v>
      </c>
      <c r="M1075" s="2">
        <v>1672.77</v>
      </c>
      <c r="N1075">
        <v>2</v>
      </c>
    </row>
    <row r="1076" spans="1:14" x14ac:dyDescent="0.3">
      <c r="A1076" s="1">
        <v>37995</v>
      </c>
      <c r="B1076">
        <v>10209</v>
      </c>
      <c r="C1076">
        <v>347</v>
      </c>
      <c r="D1076" t="s">
        <v>226</v>
      </c>
      <c r="E1076" t="s">
        <v>14</v>
      </c>
      <c r="F1076" t="s">
        <v>83</v>
      </c>
      <c r="G1076" t="s">
        <v>101</v>
      </c>
      <c r="H1076">
        <v>48</v>
      </c>
      <c r="I1076" s="2">
        <v>44.2</v>
      </c>
      <c r="J1076" s="2">
        <v>32.770000000000003</v>
      </c>
      <c r="K1076" s="2">
        <v>2121.6</v>
      </c>
      <c r="L1076" s="2">
        <v>1572.96</v>
      </c>
      <c r="M1076" s="2">
        <v>548.64</v>
      </c>
      <c r="N1076">
        <v>2</v>
      </c>
    </row>
    <row r="1077" spans="1:14" x14ac:dyDescent="0.3">
      <c r="A1077" s="1">
        <v>37998</v>
      </c>
      <c r="B1077">
        <v>10210</v>
      </c>
      <c r="C1077">
        <v>177</v>
      </c>
      <c r="D1077" t="s">
        <v>235</v>
      </c>
      <c r="E1077" t="s">
        <v>185</v>
      </c>
      <c r="F1077" t="s">
        <v>102</v>
      </c>
      <c r="G1077" t="s">
        <v>104</v>
      </c>
      <c r="H1077">
        <v>23</v>
      </c>
      <c r="I1077" s="2">
        <v>112.99</v>
      </c>
      <c r="J1077" s="2">
        <v>68.989999999999995</v>
      </c>
      <c r="K1077" s="2">
        <v>2598.77</v>
      </c>
      <c r="L1077" s="2">
        <v>1586.77</v>
      </c>
      <c r="M1077" s="2">
        <v>1012</v>
      </c>
      <c r="N1077">
        <v>1</v>
      </c>
    </row>
    <row r="1078" spans="1:14" x14ac:dyDescent="0.3">
      <c r="A1078" s="1">
        <v>37998</v>
      </c>
      <c r="B1078">
        <v>10210</v>
      </c>
      <c r="C1078">
        <v>177</v>
      </c>
      <c r="D1078" t="s">
        <v>235</v>
      </c>
      <c r="E1078" t="s">
        <v>185</v>
      </c>
      <c r="F1078" t="s">
        <v>102</v>
      </c>
      <c r="G1078" t="s">
        <v>105</v>
      </c>
      <c r="H1078">
        <v>34</v>
      </c>
      <c r="I1078" s="2">
        <v>189.79</v>
      </c>
      <c r="J1078" s="2">
        <v>91.02</v>
      </c>
      <c r="K1078" s="2">
        <v>6452.86</v>
      </c>
      <c r="L1078" s="2">
        <v>3094.68</v>
      </c>
      <c r="M1078" s="2">
        <v>3358.18</v>
      </c>
      <c r="N1078">
        <v>1</v>
      </c>
    </row>
    <row r="1079" spans="1:14" x14ac:dyDescent="0.3">
      <c r="A1079" s="1">
        <v>37998</v>
      </c>
      <c r="B1079">
        <v>10210</v>
      </c>
      <c r="C1079">
        <v>177</v>
      </c>
      <c r="D1079" t="s">
        <v>235</v>
      </c>
      <c r="E1079" t="s">
        <v>185</v>
      </c>
      <c r="F1079" t="s">
        <v>83</v>
      </c>
      <c r="G1079" t="s">
        <v>84</v>
      </c>
      <c r="H1079">
        <v>31</v>
      </c>
      <c r="I1079" s="2">
        <v>141.91999999999999</v>
      </c>
      <c r="J1079" s="2">
        <v>77.27</v>
      </c>
      <c r="K1079" s="2">
        <v>4399.5200000000004</v>
      </c>
      <c r="L1079" s="2">
        <v>2395.37</v>
      </c>
      <c r="M1079" s="2">
        <v>2004.15</v>
      </c>
      <c r="N1079">
        <v>1</v>
      </c>
    </row>
    <row r="1080" spans="1:14" x14ac:dyDescent="0.3">
      <c r="A1080" s="1">
        <v>37998</v>
      </c>
      <c r="B1080">
        <v>10210</v>
      </c>
      <c r="C1080">
        <v>177</v>
      </c>
      <c r="D1080" t="s">
        <v>235</v>
      </c>
      <c r="E1080" t="s">
        <v>185</v>
      </c>
      <c r="F1080" t="s">
        <v>83</v>
      </c>
      <c r="G1080" t="s">
        <v>85</v>
      </c>
      <c r="H1080">
        <v>50</v>
      </c>
      <c r="I1080" s="2">
        <v>68.430000000000007</v>
      </c>
      <c r="J1080" s="2">
        <v>49</v>
      </c>
      <c r="K1080" s="2">
        <v>3421.5</v>
      </c>
      <c r="L1080" s="2">
        <v>2450</v>
      </c>
      <c r="M1080" s="2">
        <v>971.5</v>
      </c>
      <c r="N1080">
        <v>1</v>
      </c>
    </row>
    <row r="1081" spans="1:14" x14ac:dyDescent="0.3">
      <c r="A1081" s="1">
        <v>37998</v>
      </c>
      <c r="B1081">
        <v>10210</v>
      </c>
      <c r="C1081">
        <v>177</v>
      </c>
      <c r="D1081" t="s">
        <v>235</v>
      </c>
      <c r="E1081" t="s">
        <v>185</v>
      </c>
      <c r="F1081" t="s">
        <v>102</v>
      </c>
      <c r="G1081" t="s">
        <v>107</v>
      </c>
      <c r="H1081">
        <v>40</v>
      </c>
      <c r="I1081" s="2">
        <v>51.48</v>
      </c>
      <c r="J1081" s="2">
        <v>24.23</v>
      </c>
      <c r="K1081" s="2">
        <v>2059.1999999999998</v>
      </c>
      <c r="L1081" s="2">
        <v>969.2</v>
      </c>
      <c r="M1081" s="2">
        <v>1090</v>
      </c>
      <c r="N1081">
        <v>1</v>
      </c>
    </row>
    <row r="1082" spans="1:14" x14ac:dyDescent="0.3">
      <c r="A1082" s="1">
        <v>37998</v>
      </c>
      <c r="B1082">
        <v>10210</v>
      </c>
      <c r="C1082">
        <v>177</v>
      </c>
      <c r="D1082" t="s">
        <v>235</v>
      </c>
      <c r="E1082" t="s">
        <v>185</v>
      </c>
      <c r="F1082" t="s">
        <v>83</v>
      </c>
      <c r="G1082" t="s">
        <v>88</v>
      </c>
      <c r="H1082">
        <v>27</v>
      </c>
      <c r="I1082" s="2">
        <v>100.67</v>
      </c>
      <c r="J1082" s="2">
        <v>66.739999999999995</v>
      </c>
      <c r="K1082" s="2">
        <v>2718.09</v>
      </c>
      <c r="L1082" s="2">
        <v>1801.98</v>
      </c>
      <c r="M1082" s="2">
        <v>916.11</v>
      </c>
      <c r="N1082">
        <v>1</v>
      </c>
    </row>
    <row r="1083" spans="1:14" x14ac:dyDescent="0.3">
      <c r="A1083" s="1">
        <v>37998</v>
      </c>
      <c r="B1083">
        <v>10210</v>
      </c>
      <c r="C1083">
        <v>177</v>
      </c>
      <c r="D1083" t="s">
        <v>235</v>
      </c>
      <c r="E1083" t="s">
        <v>185</v>
      </c>
      <c r="F1083" t="s">
        <v>102</v>
      </c>
      <c r="G1083" t="s">
        <v>109</v>
      </c>
      <c r="H1083">
        <v>30</v>
      </c>
      <c r="I1083" s="2">
        <v>63.22</v>
      </c>
      <c r="J1083" s="2">
        <v>37.32</v>
      </c>
      <c r="K1083" s="2">
        <v>1896.6</v>
      </c>
      <c r="L1083" s="2">
        <v>1119.5999999999999</v>
      </c>
      <c r="M1083" s="2">
        <v>777</v>
      </c>
      <c r="N1083">
        <v>1</v>
      </c>
    </row>
    <row r="1084" spans="1:14" x14ac:dyDescent="0.3">
      <c r="A1084" s="1">
        <v>37998</v>
      </c>
      <c r="B1084">
        <v>10210</v>
      </c>
      <c r="C1084">
        <v>177</v>
      </c>
      <c r="D1084" t="s">
        <v>235</v>
      </c>
      <c r="E1084" t="s">
        <v>185</v>
      </c>
      <c r="F1084" t="s">
        <v>83</v>
      </c>
      <c r="G1084" t="s">
        <v>91</v>
      </c>
      <c r="H1084">
        <v>29</v>
      </c>
      <c r="I1084" s="2">
        <v>56.64</v>
      </c>
      <c r="J1084" s="2">
        <v>29.34</v>
      </c>
      <c r="K1084" s="2">
        <v>1642.56</v>
      </c>
      <c r="L1084" s="2">
        <v>850.86</v>
      </c>
      <c r="M1084" s="2">
        <v>791.7</v>
      </c>
      <c r="N1084">
        <v>1</v>
      </c>
    </row>
    <row r="1085" spans="1:14" x14ac:dyDescent="0.3">
      <c r="A1085" s="1">
        <v>37998</v>
      </c>
      <c r="B1085">
        <v>10210</v>
      </c>
      <c r="C1085">
        <v>177</v>
      </c>
      <c r="D1085" t="s">
        <v>235</v>
      </c>
      <c r="E1085" t="s">
        <v>185</v>
      </c>
      <c r="F1085" t="s">
        <v>83</v>
      </c>
      <c r="G1085" t="s">
        <v>92</v>
      </c>
      <c r="H1085">
        <v>40</v>
      </c>
      <c r="I1085" s="2">
        <v>68.099999999999994</v>
      </c>
      <c r="J1085" s="2">
        <v>36.229999999999997</v>
      </c>
      <c r="K1085" s="2">
        <v>2724</v>
      </c>
      <c r="L1085" s="2">
        <v>1449.2</v>
      </c>
      <c r="M1085" s="2">
        <v>1274.8</v>
      </c>
      <c r="N1085">
        <v>1</v>
      </c>
    </row>
    <row r="1086" spans="1:14" x14ac:dyDescent="0.3">
      <c r="A1086" s="1">
        <v>37998</v>
      </c>
      <c r="B1086">
        <v>10210</v>
      </c>
      <c r="C1086">
        <v>177</v>
      </c>
      <c r="D1086" t="s">
        <v>235</v>
      </c>
      <c r="E1086" t="s">
        <v>185</v>
      </c>
      <c r="F1086" t="s">
        <v>102</v>
      </c>
      <c r="G1086" t="s">
        <v>110</v>
      </c>
      <c r="H1086">
        <v>46</v>
      </c>
      <c r="I1086" s="2">
        <v>84.91</v>
      </c>
      <c r="J1086" s="2">
        <v>66.92</v>
      </c>
      <c r="K1086" s="2">
        <v>3905.86</v>
      </c>
      <c r="L1086" s="2">
        <v>3078.32</v>
      </c>
      <c r="M1086" s="2">
        <v>827.54</v>
      </c>
      <c r="N1086">
        <v>1</v>
      </c>
    </row>
    <row r="1087" spans="1:14" x14ac:dyDescent="0.3">
      <c r="A1087" s="1">
        <v>37998</v>
      </c>
      <c r="B1087">
        <v>10210</v>
      </c>
      <c r="C1087">
        <v>177</v>
      </c>
      <c r="D1087" t="s">
        <v>235</v>
      </c>
      <c r="E1087" t="s">
        <v>185</v>
      </c>
      <c r="F1087" t="s">
        <v>15</v>
      </c>
      <c r="G1087" t="s">
        <v>93</v>
      </c>
      <c r="H1087">
        <v>39</v>
      </c>
      <c r="I1087" s="2">
        <v>57.1</v>
      </c>
      <c r="J1087" s="2">
        <v>33.020000000000003</v>
      </c>
      <c r="K1087" s="2">
        <v>2226.9</v>
      </c>
      <c r="L1087" s="2">
        <v>1287.78</v>
      </c>
      <c r="M1087" s="2">
        <v>939.12</v>
      </c>
      <c r="N1087">
        <v>1</v>
      </c>
    </row>
    <row r="1088" spans="1:14" x14ac:dyDescent="0.3">
      <c r="A1088" s="1">
        <v>37998</v>
      </c>
      <c r="B1088">
        <v>10210</v>
      </c>
      <c r="C1088">
        <v>177</v>
      </c>
      <c r="D1088" t="s">
        <v>235</v>
      </c>
      <c r="E1088" t="s">
        <v>185</v>
      </c>
      <c r="F1088" t="s">
        <v>15</v>
      </c>
      <c r="G1088" t="s">
        <v>94</v>
      </c>
      <c r="H1088">
        <v>43</v>
      </c>
      <c r="I1088" s="2">
        <v>43.2</v>
      </c>
      <c r="J1088" s="2">
        <v>27.06</v>
      </c>
      <c r="K1088" s="2">
        <v>1857.6</v>
      </c>
      <c r="L1088" s="2">
        <v>1163.58</v>
      </c>
      <c r="M1088" s="2">
        <v>694.02</v>
      </c>
      <c r="N1088">
        <v>1</v>
      </c>
    </row>
    <row r="1089" spans="1:14" x14ac:dyDescent="0.3">
      <c r="A1089" s="1">
        <v>37998</v>
      </c>
      <c r="B1089">
        <v>10210</v>
      </c>
      <c r="C1089">
        <v>177</v>
      </c>
      <c r="D1089" t="s">
        <v>235</v>
      </c>
      <c r="E1089" t="s">
        <v>185</v>
      </c>
      <c r="F1089" t="s">
        <v>83</v>
      </c>
      <c r="G1089" t="s">
        <v>95</v>
      </c>
      <c r="H1089">
        <v>21</v>
      </c>
      <c r="I1089" s="2">
        <v>87.69</v>
      </c>
      <c r="J1089" s="2">
        <v>51.15</v>
      </c>
      <c r="K1089" s="2">
        <v>1841.49</v>
      </c>
      <c r="L1089" s="2">
        <v>1074.1500000000001</v>
      </c>
      <c r="M1089" s="2">
        <v>767.34</v>
      </c>
      <c r="N1089">
        <v>1</v>
      </c>
    </row>
    <row r="1090" spans="1:14" x14ac:dyDescent="0.3">
      <c r="A1090" s="1">
        <v>37998</v>
      </c>
      <c r="B1090">
        <v>10210</v>
      </c>
      <c r="C1090">
        <v>177</v>
      </c>
      <c r="D1090" t="s">
        <v>235</v>
      </c>
      <c r="E1090" t="s">
        <v>185</v>
      </c>
      <c r="F1090" t="s">
        <v>83</v>
      </c>
      <c r="G1090" t="s">
        <v>97</v>
      </c>
      <c r="H1090">
        <v>26</v>
      </c>
      <c r="I1090" s="2">
        <v>93.74</v>
      </c>
      <c r="J1090" s="2">
        <v>68.8</v>
      </c>
      <c r="K1090" s="2">
        <v>2437.2399999999998</v>
      </c>
      <c r="L1090" s="2">
        <v>1788.8</v>
      </c>
      <c r="M1090" s="2">
        <v>648.44000000000005</v>
      </c>
      <c r="N1090">
        <v>1</v>
      </c>
    </row>
    <row r="1091" spans="1:14" x14ac:dyDescent="0.3">
      <c r="A1091" s="1">
        <v>37998</v>
      </c>
      <c r="B1091">
        <v>10210</v>
      </c>
      <c r="C1091">
        <v>177</v>
      </c>
      <c r="D1091" t="s">
        <v>235</v>
      </c>
      <c r="E1091" t="s">
        <v>185</v>
      </c>
      <c r="F1091" t="s">
        <v>83</v>
      </c>
      <c r="G1091" t="s">
        <v>98</v>
      </c>
      <c r="H1091">
        <v>25</v>
      </c>
      <c r="I1091" s="2">
        <v>98.48</v>
      </c>
      <c r="J1091" s="2">
        <v>59.33</v>
      </c>
      <c r="K1091" s="2">
        <v>2462</v>
      </c>
      <c r="L1091" s="2">
        <v>1483.25</v>
      </c>
      <c r="M1091" s="2">
        <v>978.75</v>
      </c>
      <c r="N1091">
        <v>1</v>
      </c>
    </row>
    <row r="1092" spans="1:14" x14ac:dyDescent="0.3">
      <c r="A1092" s="1">
        <v>37998</v>
      </c>
      <c r="B1092">
        <v>10210</v>
      </c>
      <c r="C1092">
        <v>177</v>
      </c>
      <c r="D1092" t="s">
        <v>235</v>
      </c>
      <c r="E1092" t="s">
        <v>185</v>
      </c>
      <c r="F1092" t="s">
        <v>83</v>
      </c>
      <c r="G1092" t="s">
        <v>99</v>
      </c>
      <c r="H1092">
        <v>31</v>
      </c>
      <c r="I1092" s="2">
        <v>64</v>
      </c>
      <c r="J1092" s="2">
        <v>54.4</v>
      </c>
      <c r="K1092" s="2">
        <v>1984</v>
      </c>
      <c r="L1092" s="2">
        <v>1686.4</v>
      </c>
      <c r="M1092" s="2">
        <v>297.60000000000002</v>
      </c>
      <c r="N1092">
        <v>1</v>
      </c>
    </row>
    <row r="1093" spans="1:14" x14ac:dyDescent="0.3">
      <c r="A1093" s="1">
        <v>37998</v>
      </c>
      <c r="B1093">
        <v>10210</v>
      </c>
      <c r="C1093">
        <v>177</v>
      </c>
      <c r="D1093" t="s">
        <v>235</v>
      </c>
      <c r="E1093" t="s">
        <v>185</v>
      </c>
      <c r="F1093" t="s">
        <v>83</v>
      </c>
      <c r="G1093" t="s">
        <v>100</v>
      </c>
      <c r="H1093">
        <v>42</v>
      </c>
      <c r="I1093" s="2">
        <v>60.7</v>
      </c>
      <c r="J1093" s="2">
        <v>36.270000000000003</v>
      </c>
      <c r="K1093" s="2">
        <v>2549.4</v>
      </c>
      <c r="L1093" s="2">
        <v>1523.34</v>
      </c>
      <c r="M1093" s="2">
        <v>1026.06</v>
      </c>
      <c r="N1093">
        <v>1</v>
      </c>
    </row>
    <row r="1094" spans="1:14" x14ac:dyDescent="0.3">
      <c r="A1094" s="1">
        <v>38001</v>
      </c>
      <c r="B1094">
        <v>10211</v>
      </c>
      <c r="C1094">
        <v>406</v>
      </c>
      <c r="D1094" t="s">
        <v>186</v>
      </c>
      <c r="E1094" t="s">
        <v>144</v>
      </c>
      <c r="F1094" t="s">
        <v>102</v>
      </c>
      <c r="G1094" t="s">
        <v>103</v>
      </c>
      <c r="H1094">
        <v>41</v>
      </c>
      <c r="I1094" s="2">
        <v>90.92</v>
      </c>
      <c r="J1094" s="2">
        <v>48.81</v>
      </c>
      <c r="K1094" s="2">
        <v>3727.72</v>
      </c>
      <c r="L1094" s="2">
        <v>2001.21</v>
      </c>
      <c r="M1094" s="2">
        <v>1726.51</v>
      </c>
      <c r="N1094">
        <v>1</v>
      </c>
    </row>
    <row r="1095" spans="1:14" x14ac:dyDescent="0.3">
      <c r="A1095" s="1">
        <v>38001</v>
      </c>
      <c r="B1095">
        <v>10211</v>
      </c>
      <c r="C1095">
        <v>406</v>
      </c>
      <c r="D1095" t="s">
        <v>186</v>
      </c>
      <c r="E1095" t="s">
        <v>144</v>
      </c>
      <c r="F1095" t="s">
        <v>29</v>
      </c>
      <c r="G1095" t="s">
        <v>112</v>
      </c>
      <c r="H1095">
        <v>41</v>
      </c>
      <c r="I1095" s="2">
        <v>171.22</v>
      </c>
      <c r="J1095" s="2">
        <v>95.34</v>
      </c>
      <c r="K1095" s="2">
        <v>7020.02</v>
      </c>
      <c r="L1095" s="2">
        <v>3908.94</v>
      </c>
      <c r="M1095" s="2">
        <v>3111.08</v>
      </c>
      <c r="N1095">
        <v>1</v>
      </c>
    </row>
    <row r="1096" spans="1:14" x14ac:dyDescent="0.3">
      <c r="A1096" s="1">
        <v>38001</v>
      </c>
      <c r="B1096">
        <v>10211</v>
      </c>
      <c r="C1096">
        <v>406</v>
      </c>
      <c r="D1096" t="s">
        <v>186</v>
      </c>
      <c r="E1096" t="s">
        <v>144</v>
      </c>
      <c r="F1096" t="s">
        <v>102</v>
      </c>
      <c r="G1096" t="s">
        <v>106</v>
      </c>
      <c r="H1096">
        <v>36</v>
      </c>
      <c r="I1096" s="2">
        <v>126.52</v>
      </c>
      <c r="J1096" s="2">
        <v>66.27</v>
      </c>
      <c r="K1096" s="2">
        <v>4554.72</v>
      </c>
      <c r="L1096" s="2">
        <v>2385.7199999999998</v>
      </c>
      <c r="M1096" s="2">
        <v>2169</v>
      </c>
      <c r="N1096">
        <v>1</v>
      </c>
    </row>
    <row r="1097" spans="1:14" x14ac:dyDescent="0.3">
      <c r="A1097" s="1">
        <v>38001</v>
      </c>
      <c r="B1097">
        <v>10211</v>
      </c>
      <c r="C1097">
        <v>406</v>
      </c>
      <c r="D1097" t="s">
        <v>186</v>
      </c>
      <c r="E1097" t="s">
        <v>144</v>
      </c>
      <c r="F1097" t="s">
        <v>29</v>
      </c>
      <c r="G1097" t="s">
        <v>114</v>
      </c>
      <c r="H1097">
        <v>28</v>
      </c>
      <c r="I1097" s="2">
        <v>79.8</v>
      </c>
      <c r="J1097" s="2">
        <v>31.92</v>
      </c>
      <c r="K1097" s="2">
        <v>2234.4</v>
      </c>
      <c r="L1097" s="2">
        <v>893.76</v>
      </c>
      <c r="M1097" s="2">
        <v>1340.64</v>
      </c>
      <c r="N1097">
        <v>1</v>
      </c>
    </row>
    <row r="1098" spans="1:14" x14ac:dyDescent="0.3">
      <c r="A1098" s="1">
        <v>38001</v>
      </c>
      <c r="B1098">
        <v>10211</v>
      </c>
      <c r="C1098">
        <v>406</v>
      </c>
      <c r="D1098" t="s">
        <v>186</v>
      </c>
      <c r="E1098" t="s">
        <v>144</v>
      </c>
      <c r="F1098" t="s">
        <v>29</v>
      </c>
      <c r="G1098" t="s">
        <v>117</v>
      </c>
      <c r="H1098">
        <v>35</v>
      </c>
      <c r="I1098" s="2">
        <v>73.17</v>
      </c>
      <c r="J1098" s="2">
        <v>49.05</v>
      </c>
      <c r="K1098" s="2">
        <v>2560.9499999999998</v>
      </c>
      <c r="L1098" s="2">
        <v>1716.75</v>
      </c>
      <c r="M1098" s="2">
        <v>844.2</v>
      </c>
      <c r="N1098">
        <v>1</v>
      </c>
    </row>
    <row r="1099" spans="1:14" x14ac:dyDescent="0.3">
      <c r="A1099" s="1">
        <v>38001</v>
      </c>
      <c r="B1099">
        <v>10211</v>
      </c>
      <c r="C1099">
        <v>406</v>
      </c>
      <c r="D1099" t="s">
        <v>186</v>
      </c>
      <c r="E1099" t="s">
        <v>144</v>
      </c>
      <c r="F1099" t="s">
        <v>29</v>
      </c>
      <c r="G1099" t="s">
        <v>118</v>
      </c>
      <c r="H1099">
        <v>28</v>
      </c>
      <c r="I1099" s="2">
        <v>138.16999999999999</v>
      </c>
      <c r="J1099" s="2">
        <v>73.489999999999995</v>
      </c>
      <c r="K1099" s="2">
        <v>3868.76</v>
      </c>
      <c r="L1099" s="2">
        <v>2057.7199999999998</v>
      </c>
      <c r="M1099" s="2">
        <v>1811.04</v>
      </c>
      <c r="N1099">
        <v>1</v>
      </c>
    </row>
    <row r="1100" spans="1:14" x14ac:dyDescent="0.3">
      <c r="A1100" s="1">
        <v>38001</v>
      </c>
      <c r="B1100">
        <v>10211</v>
      </c>
      <c r="C1100">
        <v>406</v>
      </c>
      <c r="D1100" t="s">
        <v>186</v>
      </c>
      <c r="E1100" t="s">
        <v>144</v>
      </c>
      <c r="F1100" t="s">
        <v>102</v>
      </c>
      <c r="G1100" t="s">
        <v>119</v>
      </c>
      <c r="H1100">
        <v>46</v>
      </c>
      <c r="I1100" s="2">
        <v>60.3</v>
      </c>
      <c r="J1100" s="2">
        <v>32.950000000000003</v>
      </c>
      <c r="K1100" s="2">
        <v>2773.8</v>
      </c>
      <c r="L1100" s="2">
        <v>1515.7</v>
      </c>
      <c r="M1100" s="2">
        <v>1258.0999999999999</v>
      </c>
      <c r="N1100">
        <v>1</v>
      </c>
    </row>
    <row r="1101" spans="1:14" x14ac:dyDescent="0.3">
      <c r="A1101" s="1">
        <v>38001</v>
      </c>
      <c r="B1101">
        <v>10211</v>
      </c>
      <c r="C1101">
        <v>406</v>
      </c>
      <c r="D1101" t="s">
        <v>186</v>
      </c>
      <c r="E1101" t="s">
        <v>144</v>
      </c>
      <c r="F1101" t="s">
        <v>29</v>
      </c>
      <c r="G1101" t="s">
        <v>120</v>
      </c>
      <c r="H1101">
        <v>41</v>
      </c>
      <c r="I1101" s="2">
        <v>148.80000000000001</v>
      </c>
      <c r="J1101" s="2">
        <v>69.930000000000007</v>
      </c>
      <c r="K1101" s="2">
        <v>6100.8</v>
      </c>
      <c r="L1101" s="2">
        <v>2867.13</v>
      </c>
      <c r="M1101" s="2">
        <v>3233.67</v>
      </c>
      <c r="N1101">
        <v>1</v>
      </c>
    </row>
    <row r="1102" spans="1:14" x14ac:dyDescent="0.3">
      <c r="A1102" s="1">
        <v>38001</v>
      </c>
      <c r="B1102">
        <v>10211</v>
      </c>
      <c r="C1102">
        <v>406</v>
      </c>
      <c r="D1102" t="s">
        <v>186</v>
      </c>
      <c r="E1102" t="s">
        <v>144</v>
      </c>
      <c r="F1102" t="s">
        <v>102</v>
      </c>
      <c r="G1102" t="s">
        <v>108</v>
      </c>
      <c r="H1102">
        <v>25</v>
      </c>
      <c r="I1102" s="2">
        <v>109.32</v>
      </c>
      <c r="J1102" s="2">
        <v>60.86</v>
      </c>
      <c r="K1102" s="2">
        <v>2733</v>
      </c>
      <c r="L1102" s="2">
        <v>1521.5</v>
      </c>
      <c r="M1102" s="2">
        <v>1211.5</v>
      </c>
      <c r="N1102">
        <v>1</v>
      </c>
    </row>
    <row r="1103" spans="1:14" x14ac:dyDescent="0.3">
      <c r="A1103" s="1">
        <v>38001</v>
      </c>
      <c r="B1103">
        <v>10211</v>
      </c>
      <c r="C1103">
        <v>406</v>
      </c>
      <c r="D1103" t="s">
        <v>186</v>
      </c>
      <c r="E1103" t="s">
        <v>144</v>
      </c>
      <c r="F1103" t="s">
        <v>102</v>
      </c>
      <c r="G1103" t="s">
        <v>121</v>
      </c>
      <c r="H1103">
        <v>21</v>
      </c>
      <c r="I1103" s="2">
        <v>62.33</v>
      </c>
      <c r="J1103" s="2">
        <v>47.1</v>
      </c>
      <c r="K1103" s="2">
        <v>1308.93</v>
      </c>
      <c r="L1103" s="2">
        <v>989.1</v>
      </c>
      <c r="M1103" s="2">
        <v>319.83</v>
      </c>
      <c r="N1103">
        <v>1</v>
      </c>
    </row>
    <row r="1104" spans="1:14" x14ac:dyDescent="0.3">
      <c r="A1104" s="1">
        <v>38001</v>
      </c>
      <c r="B1104">
        <v>10211</v>
      </c>
      <c r="C1104">
        <v>406</v>
      </c>
      <c r="D1104" t="s">
        <v>186</v>
      </c>
      <c r="E1104" t="s">
        <v>144</v>
      </c>
      <c r="F1104" t="s">
        <v>29</v>
      </c>
      <c r="G1104" t="s">
        <v>122</v>
      </c>
      <c r="H1104">
        <v>48</v>
      </c>
      <c r="I1104" s="2">
        <v>52.66</v>
      </c>
      <c r="J1104" s="2">
        <v>38.58</v>
      </c>
      <c r="K1104" s="2">
        <v>2527.6799999999998</v>
      </c>
      <c r="L1104" s="2">
        <v>1851.84</v>
      </c>
      <c r="M1104" s="2">
        <v>675.84</v>
      </c>
      <c r="N1104">
        <v>1</v>
      </c>
    </row>
    <row r="1105" spans="1:14" x14ac:dyDescent="0.3">
      <c r="A1105" s="1">
        <v>38001</v>
      </c>
      <c r="B1105">
        <v>10211</v>
      </c>
      <c r="C1105">
        <v>406</v>
      </c>
      <c r="D1105" t="s">
        <v>186</v>
      </c>
      <c r="E1105" t="s">
        <v>144</v>
      </c>
      <c r="F1105" t="s">
        <v>29</v>
      </c>
      <c r="G1105" t="s">
        <v>124</v>
      </c>
      <c r="H1105">
        <v>22</v>
      </c>
      <c r="I1105" s="2">
        <v>80.84</v>
      </c>
      <c r="J1105" s="2">
        <v>32.33</v>
      </c>
      <c r="K1105" s="2">
        <v>1778.48</v>
      </c>
      <c r="L1105" s="2">
        <v>711.26</v>
      </c>
      <c r="M1105" s="2">
        <v>1067.22</v>
      </c>
      <c r="N1105">
        <v>1</v>
      </c>
    </row>
    <row r="1106" spans="1:14" x14ac:dyDescent="0.3">
      <c r="A1106" s="1">
        <v>38001</v>
      </c>
      <c r="B1106">
        <v>10211</v>
      </c>
      <c r="C1106">
        <v>406</v>
      </c>
      <c r="D1106" t="s">
        <v>186</v>
      </c>
      <c r="E1106" t="s">
        <v>144</v>
      </c>
      <c r="F1106" t="s">
        <v>102</v>
      </c>
      <c r="G1106" t="s">
        <v>125</v>
      </c>
      <c r="H1106">
        <v>41</v>
      </c>
      <c r="I1106" s="2">
        <v>39.83</v>
      </c>
      <c r="J1106" s="2">
        <v>24.14</v>
      </c>
      <c r="K1106" s="2">
        <v>1633.03</v>
      </c>
      <c r="L1106" s="2">
        <v>989.74</v>
      </c>
      <c r="M1106" s="2">
        <v>643.29</v>
      </c>
      <c r="N1106">
        <v>1</v>
      </c>
    </row>
    <row r="1107" spans="1:14" x14ac:dyDescent="0.3">
      <c r="A1107" s="1">
        <v>38001</v>
      </c>
      <c r="B1107">
        <v>10211</v>
      </c>
      <c r="C1107">
        <v>406</v>
      </c>
      <c r="D1107" t="s">
        <v>186</v>
      </c>
      <c r="E1107" t="s">
        <v>144</v>
      </c>
      <c r="F1107" t="s">
        <v>102</v>
      </c>
      <c r="G1107" t="s">
        <v>126</v>
      </c>
      <c r="H1107">
        <v>37</v>
      </c>
      <c r="I1107" s="2">
        <v>94.91</v>
      </c>
      <c r="J1107" s="2">
        <v>56.13</v>
      </c>
      <c r="K1107" s="2">
        <v>3511.67</v>
      </c>
      <c r="L1107" s="2">
        <v>2076.81</v>
      </c>
      <c r="M1107" s="2">
        <v>1434.86</v>
      </c>
      <c r="N1107">
        <v>1</v>
      </c>
    </row>
    <row r="1108" spans="1:14" x14ac:dyDescent="0.3">
      <c r="A1108" s="1">
        <v>38001</v>
      </c>
      <c r="B1108">
        <v>10211</v>
      </c>
      <c r="C1108">
        <v>406</v>
      </c>
      <c r="D1108" t="s">
        <v>186</v>
      </c>
      <c r="E1108" t="s">
        <v>144</v>
      </c>
      <c r="F1108" t="s">
        <v>102</v>
      </c>
      <c r="G1108" t="s">
        <v>127</v>
      </c>
      <c r="H1108">
        <v>40</v>
      </c>
      <c r="I1108" s="2">
        <v>70.78</v>
      </c>
      <c r="J1108" s="2">
        <v>34.17</v>
      </c>
      <c r="K1108" s="2">
        <v>2831.2</v>
      </c>
      <c r="L1108" s="2">
        <v>1366.8</v>
      </c>
      <c r="M1108" s="2">
        <v>1464.4</v>
      </c>
      <c r="N1108">
        <v>1</v>
      </c>
    </row>
    <row r="1109" spans="1:14" x14ac:dyDescent="0.3">
      <c r="A1109" s="1">
        <v>38002</v>
      </c>
      <c r="B1109">
        <v>10212</v>
      </c>
      <c r="C1109">
        <v>141</v>
      </c>
      <c r="D1109" t="s">
        <v>47</v>
      </c>
      <c r="E1109" t="s">
        <v>48</v>
      </c>
      <c r="F1109" t="s">
        <v>29</v>
      </c>
      <c r="G1109" t="s">
        <v>113</v>
      </c>
      <c r="H1109">
        <v>39</v>
      </c>
      <c r="I1109" s="2">
        <v>99.82</v>
      </c>
      <c r="J1109" s="2">
        <v>75.16</v>
      </c>
      <c r="K1109" s="2">
        <v>3892.98</v>
      </c>
      <c r="L1109" s="2">
        <v>2931.24</v>
      </c>
      <c r="M1109" s="2">
        <v>961.74</v>
      </c>
      <c r="N1109">
        <v>9</v>
      </c>
    </row>
    <row r="1110" spans="1:14" x14ac:dyDescent="0.3">
      <c r="A1110" s="1">
        <v>38002</v>
      </c>
      <c r="B1110">
        <v>10212</v>
      </c>
      <c r="C1110">
        <v>141</v>
      </c>
      <c r="D1110" t="s">
        <v>47</v>
      </c>
      <c r="E1110" t="s">
        <v>48</v>
      </c>
      <c r="F1110" t="s">
        <v>29</v>
      </c>
      <c r="G1110" t="s">
        <v>115</v>
      </c>
      <c r="H1110">
        <v>33</v>
      </c>
      <c r="I1110" s="2">
        <v>110.55</v>
      </c>
      <c r="J1110" s="2">
        <v>58.73</v>
      </c>
      <c r="K1110" s="2">
        <v>3648.15</v>
      </c>
      <c r="L1110" s="2">
        <v>1938.09</v>
      </c>
      <c r="M1110" s="2">
        <v>1710.06</v>
      </c>
      <c r="N1110">
        <v>9</v>
      </c>
    </row>
    <row r="1111" spans="1:14" x14ac:dyDescent="0.3">
      <c r="A1111" s="1">
        <v>38002</v>
      </c>
      <c r="B1111">
        <v>10212</v>
      </c>
      <c r="C1111">
        <v>141</v>
      </c>
      <c r="D1111" t="s">
        <v>47</v>
      </c>
      <c r="E1111" t="s">
        <v>48</v>
      </c>
      <c r="F1111" t="s">
        <v>29</v>
      </c>
      <c r="G1111" t="s">
        <v>128</v>
      </c>
      <c r="H1111">
        <v>29</v>
      </c>
      <c r="I1111" s="2">
        <v>117.48</v>
      </c>
      <c r="J1111" s="2">
        <v>83.51</v>
      </c>
      <c r="K1111" s="2">
        <v>3406.92</v>
      </c>
      <c r="L1111" s="2">
        <v>2421.79</v>
      </c>
      <c r="M1111" s="2">
        <v>985.13</v>
      </c>
      <c r="N1111">
        <v>9</v>
      </c>
    </row>
    <row r="1112" spans="1:14" x14ac:dyDescent="0.3">
      <c r="A1112" s="1">
        <v>38002</v>
      </c>
      <c r="B1112">
        <v>10212</v>
      </c>
      <c r="C1112">
        <v>141</v>
      </c>
      <c r="D1112" t="s">
        <v>47</v>
      </c>
      <c r="E1112" t="s">
        <v>48</v>
      </c>
      <c r="F1112" t="s">
        <v>29</v>
      </c>
      <c r="G1112" t="s">
        <v>134</v>
      </c>
      <c r="H1112">
        <v>38</v>
      </c>
      <c r="I1112" s="2">
        <v>105.77</v>
      </c>
      <c r="J1112" s="2">
        <v>65.959999999999994</v>
      </c>
      <c r="K1112" s="2">
        <v>4019.26</v>
      </c>
      <c r="L1112" s="2">
        <v>2506.48</v>
      </c>
      <c r="M1112" s="2">
        <v>1512.78</v>
      </c>
      <c r="N1112">
        <v>9</v>
      </c>
    </row>
    <row r="1113" spans="1:14" x14ac:dyDescent="0.3">
      <c r="A1113" s="1">
        <v>38002</v>
      </c>
      <c r="B1113">
        <v>10212</v>
      </c>
      <c r="C1113">
        <v>141</v>
      </c>
      <c r="D1113" t="s">
        <v>47</v>
      </c>
      <c r="E1113" t="s">
        <v>48</v>
      </c>
      <c r="F1113" t="s">
        <v>29</v>
      </c>
      <c r="G1113" t="s">
        <v>116</v>
      </c>
      <c r="H1113">
        <v>20</v>
      </c>
      <c r="I1113" s="2">
        <v>64.680000000000007</v>
      </c>
      <c r="J1113" s="2">
        <v>53.9</v>
      </c>
      <c r="K1113" s="2">
        <v>1293.5999999999999</v>
      </c>
      <c r="L1113" s="2">
        <v>1078</v>
      </c>
      <c r="M1113" s="2">
        <v>215.6</v>
      </c>
      <c r="N1113">
        <v>9</v>
      </c>
    </row>
    <row r="1114" spans="1:14" x14ac:dyDescent="0.3">
      <c r="A1114" s="1">
        <v>38002</v>
      </c>
      <c r="B1114">
        <v>10212</v>
      </c>
      <c r="C1114">
        <v>141</v>
      </c>
      <c r="D1114" t="s">
        <v>47</v>
      </c>
      <c r="E1114" t="s">
        <v>48</v>
      </c>
      <c r="F1114" t="s">
        <v>29</v>
      </c>
      <c r="G1114" t="s">
        <v>129</v>
      </c>
      <c r="H1114">
        <v>41</v>
      </c>
      <c r="I1114" s="2">
        <v>133.72</v>
      </c>
      <c r="J1114" s="2">
        <v>93.89</v>
      </c>
      <c r="K1114" s="2">
        <v>5482.52</v>
      </c>
      <c r="L1114" s="2">
        <v>3849.49</v>
      </c>
      <c r="M1114" s="2">
        <v>1633.03</v>
      </c>
      <c r="N1114">
        <v>9</v>
      </c>
    </row>
    <row r="1115" spans="1:14" x14ac:dyDescent="0.3">
      <c r="A1115" s="1">
        <v>38002</v>
      </c>
      <c r="B1115">
        <v>10212</v>
      </c>
      <c r="C1115">
        <v>141</v>
      </c>
      <c r="D1115" t="s">
        <v>47</v>
      </c>
      <c r="E1115" t="s">
        <v>48</v>
      </c>
      <c r="F1115" t="s">
        <v>29</v>
      </c>
      <c r="G1115" t="s">
        <v>130</v>
      </c>
      <c r="H1115">
        <v>40</v>
      </c>
      <c r="I1115" s="2">
        <v>117.48</v>
      </c>
      <c r="J1115" s="2">
        <v>56.76</v>
      </c>
      <c r="K1115" s="2">
        <v>4699.2</v>
      </c>
      <c r="L1115" s="2">
        <v>2270.4</v>
      </c>
      <c r="M1115" s="2">
        <v>2428.8000000000002</v>
      </c>
      <c r="N1115">
        <v>9</v>
      </c>
    </row>
    <row r="1116" spans="1:14" x14ac:dyDescent="0.3">
      <c r="A1116" s="1">
        <v>38002</v>
      </c>
      <c r="B1116">
        <v>10212</v>
      </c>
      <c r="C1116">
        <v>141</v>
      </c>
      <c r="D1116" t="s">
        <v>47</v>
      </c>
      <c r="E1116" t="s">
        <v>48</v>
      </c>
      <c r="F1116" t="s">
        <v>29</v>
      </c>
      <c r="G1116" t="s">
        <v>53</v>
      </c>
      <c r="H1116">
        <v>40</v>
      </c>
      <c r="I1116" s="2">
        <v>155.79</v>
      </c>
      <c r="J1116" s="2">
        <v>77.900000000000006</v>
      </c>
      <c r="K1116" s="2">
        <v>6231.6</v>
      </c>
      <c r="L1116" s="2">
        <v>3116</v>
      </c>
      <c r="M1116" s="2">
        <v>3115.6</v>
      </c>
      <c r="N1116">
        <v>9</v>
      </c>
    </row>
    <row r="1117" spans="1:14" x14ac:dyDescent="0.3">
      <c r="A1117" s="1">
        <v>38002</v>
      </c>
      <c r="B1117">
        <v>10212</v>
      </c>
      <c r="C1117">
        <v>141</v>
      </c>
      <c r="D1117" t="s">
        <v>47</v>
      </c>
      <c r="E1117" t="s">
        <v>48</v>
      </c>
      <c r="F1117" t="s">
        <v>29</v>
      </c>
      <c r="G1117" t="s">
        <v>131</v>
      </c>
      <c r="H1117">
        <v>45</v>
      </c>
      <c r="I1117" s="2">
        <v>115.85</v>
      </c>
      <c r="J1117" s="2">
        <v>62.16</v>
      </c>
      <c r="K1117" s="2">
        <v>5213.25</v>
      </c>
      <c r="L1117" s="2">
        <v>2797.2</v>
      </c>
      <c r="M1117" s="2">
        <v>2416.0500000000002</v>
      </c>
      <c r="N1117">
        <v>9</v>
      </c>
    </row>
    <row r="1118" spans="1:14" x14ac:dyDescent="0.3">
      <c r="A1118" s="1">
        <v>38002</v>
      </c>
      <c r="B1118">
        <v>10212</v>
      </c>
      <c r="C1118">
        <v>141</v>
      </c>
      <c r="D1118" t="s">
        <v>47</v>
      </c>
      <c r="E1118" t="s">
        <v>48</v>
      </c>
      <c r="F1118" t="s">
        <v>29</v>
      </c>
      <c r="G1118" t="s">
        <v>136</v>
      </c>
      <c r="H1118">
        <v>41</v>
      </c>
      <c r="I1118" s="2">
        <v>61.73</v>
      </c>
      <c r="J1118" s="2">
        <v>49.24</v>
      </c>
      <c r="K1118" s="2">
        <v>2530.9299999999998</v>
      </c>
      <c r="L1118" s="2">
        <v>2018.84</v>
      </c>
      <c r="M1118" s="2">
        <v>512.09</v>
      </c>
      <c r="N1118">
        <v>9</v>
      </c>
    </row>
    <row r="1119" spans="1:14" x14ac:dyDescent="0.3">
      <c r="A1119" s="1">
        <v>38002</v>
      </c>
      <c r="B1119">
        <v>10212</v>
      </c>
      <c r="C1119">
        <v>141</v>
      </c>
      <c r="D1119" t="s">
        <v>47</v>
      </c>
      <c r="E1119" t="s">
        <v>48</v>
      </c>
      <c r="F1119" t="s">
        <v>29</v>
      </c>
      <c r="G1119" t="s">
        <v>137</v>
      </c>
      <c r="H1119">
        <v>45</v>
      </c>
      <c r="I1119" s="2">
        <v>43.27</v>
      </c>
      <c r="J1119" s="2">
        <v>29.18</v>
      </c>
      <c r="K1119" s="2">
        <v>1947.15</v>
      </c>
      <c r="L1119" s="2">
        <v>1313.1</v>
      </c>
      <c r="M1119" s="2">
        <v>634.04999999999995</v>
      </c>
      <c r="N1119">
        <v>9</v>
      </c>
    </row>
    <row r="1120" spans="1:14" x14ac:dyDescent="0.3">
      <c r="A1120" s="1">
        <v>38002</v>
      </c>
      <c r="B1120">
        <v>10212</v>
      </c>
      <c r="C1120">
        <v>141</v>
      </c>
      <c r="D1120" t="s">
        <v>47</v>
      </c>
      <c r="E1120" t="s">
        <v>48</v>
      </c>
      <c r="F1120" t="s">
        <v>29</v>
      </c>
      <c r="G1120" t="s">
        <v>138</v>
      </c>
      <c r="H1120">
        <v>45</v>
      </c>
      <c r="I1120" s="2">
        <v>81.78</v>
      </c>
      <c r="J1120" s="2">
        <v>47.25</v>
      </c>
      <c r="K1120" s="2">
        <v>3680.1</v>
      </c>
      <c r="L1120" s="2">
        <v>2126.25</v>
      </c>
      <c r="M1120" s="2">
        <v>1553.85</v>
      </c>
      <c r="N1120">
        <v>9</v>
      </c>
    </row>
    <row r="1121" spans="1:14" x14ac:dyDescent="0.3">
      <c r="A1121" s="1">
        <v>38002</v>
      </c>
      <c r="B1121">
        <v>10212</v>
      </c>
      <c r="C1121">
        <v>141</v>
      </c>
      <c r="D1121" t="s">
        <v>47</v>
      </c>
      <c r="E1121" t="s">
        <v>48</v>
      </c>
      <c r="F1121" t="s">
        <v>29</v>
      </c>
      <c r="G1121" t="s">
        <v>132</v>
      </c>
      <c r="H1121">
        <v>34</v>
      </c>
      <c r="I1121" s="2">
        <v>37.380000000000003</v>
      </c>
      <c r="J1121" s="2">
        <v>16.239999999999998</v>
      </c>
      <c r="K1121" s="2">
        <v>1270.92</v>
      </c>
      <c r="L1121" s="2">
        <v>552.16</v>
      </c>
      <c r="M1121" s="2">
        <v>718.76</v>
      </c>
      <c r="N1121">
        <v>9</v>
      </c>
    </row>
    <row r="1122" spans="1:14" x14ac:dyDescent="0.3">
      <c r="A1122" s="1">
        <v>38002</v>
      </c>
      <c r="B1122">
        <v>10212</v>
      </c>
      <c r="C1122">
        <v>141</v>
      </c>
      <c r="D1122" t="s">
        <v>47</v>
      </c>
      <c r="E1122" t="s">
        <v>48</v>
      </c>
      <c r="F1122" t="s">
        <v>29</v>
      </c>
      <c r="G1122" t="s">
        <v>140</v>
      </c>
      <c r="H1122">
        <v>27</v>
      </c>
      <c r="I1122" s="2">
        <v>77.91</v>
      </c>
      <c r="J1122" s="2">
        <v>50.51</v>
      </c>
      <c r="K1122" s="2">
        <v>2103.5700000000002</v>
      </c>
      <c r="L1122" s="2">
        <v>1363.77</v>
      </c>
      <c r="M1122" s="2">
        <v>739.8</v>
      </c>
      <c r="N1122">
        <v>9</v>
      </c>
    </row>
    <row r="1123" spans="1:14" x14ac:dyDescent="0.3">
      <c r="A1123" s="1">
        <v>38002</v>
      </c>
      <c r="B1123">
        <v>10212</v>
      </c>
      <c r="C1123">
        <v>141</v>
      </c>
      <c r="D1123" t="s">
        <v>47</v>
      </c>
      <c r="E1123" t="s">
        <v>48</v>
      </c>
      <c r="F1123" t="s">
        <v>29</v>
      </c>
      <c r="G1123" t="s">
        <v>141</v>
      </c>
      <c r="H1123">
        <v>46</v>
      </c>
      <c r="I1123" s="2">
        <v>100.66</v>
      </c>
      <c r="J1123" s="2">
        <v>62.11</v>
      </c>
      <c r="K1123" s="2">
        <v>4630.3599999999997</v>
      </c>
      <c r="L1123" s="2">
        <v>2857.06</v>
      </c>
      <c r="M1123" s="2">
        <v>1773.3</v>
      </c>
      <c r="N1123">
        <v>9</v>
      </c>
    </row>
    <row r="1124" spans="1:14" x14ac:dyDescent="0.3">
      <c r="A1124" s="1">
        <v>38002</v>
      </c>
      <c r="B1124">
        <v>10212</v>
      </c>
      <c r="C1124">
        <v>141</v>
      </c>
      <c r="D1124" t="s">
        <v>47</v>
      </c>
      <c r="E1124" t="s">
        <v>48</v>
      </c>
      <c r="F1124" t="s">
        <v>29</v>
      </c>
      <c r="G1124" t="s">
        <v>123</v>
      </c>
      <c r="H1124">
        <v>49</v>
      </c>
      <c r="I1124" s="2">
        <v>117.96</v>
      </c>
      <c r="J1124" s="2">
        <v>98.3</v>
      </c>
      <c r="K1124" s="2">
        <v>5780.04</v>
      </c>
      <c r="L1124" s="2">
        <v>4816.7</v>
      </c>
      <c r="M1124" s="2">
        <v>963.34</v>
      </c>
      <c r="N1124">
        <v>9</v>
      </c>
    </row>
    <row r="1125" spans="1:14" x14ac:dyDescent="0.3">
      <c r="A1125" s="1">
        <v>38008</v>
      </c>
      <c r="B1125">
        <v>10213</v>
      </c>
      <c r="C1125">
        <v>489</v>
      </c>
      <c r="D1125" t="s">
        <v>178</v>
      </c>
      <c r="E1125" t="s">
        <v>133</v>
      </c>
      <c r="F1125" t="s">
        <v>15</v>
      </c>
      <c r="G1125" t="s">
        <v>18</v>
      </c>
      <c r="H1125">
        <v>38</v>
      </c>
      <c r="I1125" s="2">
        <v>84.67</v>
      </c>
      <c r="J1125" s="2">
        <v>43.26</v>
      </c>
      <c r="K1125" s="2">
        <v>3217.46</v>
      </c>
      <c r="L1125" s="2">
        <v>1643.88</v>
      </c>
      <c r="M1125" s="2">
        <v>1573.58</v>
      </c>
      <c r="N1125">
        <v>2</v>
      </c>
    </row>
    <row r="1126" spans="1:14" x14ac:dyDescent="0.3">
      <c r="A1126" s="1">
        <v>38008</v>
      </c>
      <c r="B1126">
        <v>10213</v>
      </c>
      <c r="C1126">
        <v>489</v>
      </c>
      <c r="D1126" t="s">
        <v>178</v>
      </c>
      <c r="E1126" t="s">
        <v>133</v>
      </c>
      <c r="F1126" t="s">
        <v>29</v>
      </c>
      <c r="G1126" t="s">
        <v>135</v>
      </c>
      <c r="H1126">
        <v>25</v>
      </c>
      <c r="I1126" s="2">
        <v>58.44</v>
      </c>
      <c r="J1126" s="2">
        <v>34.21</v>
      </c>
      <c r="K1126" s="2">
        <v>1461</v>
      </c>
      <c r="L1126" s="2">
        <v>855.25</v>
      </c>
      <c r="M1126" s="2">
        <v>605.75</v>
      </c>
      <c r="N1126">
        <v>2</v>
      </c>
    </row>
    <row r="1127" spans="1:14" x14ac:dyDescent="0.3">
      <c r="A1127" s="1">
        <v>38008</v>
      </c>
      <c r="B1127">
        <v>10213</v>
      </c>
      <c r="C1127">
        <v>489</v>
      </c>
      <c r="D1127" t="s">
        <v>178</v>
      </c>
      <c r="E1127" t="s">
        <v>133</v>
      </c>
      <c r="F1127" t="s">
        <v>29</v>
      </c>
      <c r="G1127" t="s">
        <v>139</v>
      </c>
      <c r="H1127">
        <v>27</v>
      </c>
      <c r="I1127" s="2">
        <v>97.48</v>
      </c>
      <c r="J1127" s="2">
        <v>72.819999999999993</v>
      </c>
      <c r="K1127" s="2">
        <v>2631.96</v>
      </c>
      <c r="L1127" s="2">
        <v>1966.14</v>
      </c>
      <c r="M1127" s="2">
        <v>665.82</v>
      </c>
      <c r="N1127">
        <v>2</v>
      </c>
    </row>
    <row r="1128" spans="1:14" x14ac:dyDescent="0.3">
      <c r="A1128" s="1">
        <v>38012</v>
      </c>
      <c r="B1128">
        <v>10214</v>
      </c>
      <c r="C1128">
        <v>458</v>
      </c>
      <c r="D1128" t="s">
        <v>156</v>
      </c>
      <c r="E1128" t="s">
        <v>48</v>
      </c>
      <c r="F1128" t="s">
        <v>15</v>
      </c>
      <c r="G1128" t="s">
        <v>16</v>
      </c>
      <c r="H1128">
        <v>30</v>
      </c>
      <c r="I1128" s="2">
        <v>166.6</v>
      </c>
      <c r="J1128" s="2">
        <v>86.7</v>
      </c>
      <c r="K1128" s="2">
        <v>4998</v>
      </c>
      <c r="L1128" s="2">
        <v>2601</v>
      </c>
      <c r="M1128" s="2">
        <v>2397</v>
      </c>
      <c r="N1128">
        <v>2</v>
      </c>
    </row>
    <row r="1129" spans="1:14" x14ac:dyDescent="0.3">
      <c r="A1129" s="1">
        <v>38012</v>
      </c>
      <c r="B1129">
        <v>10214</v>
      </c>
      <c r="C1129">
        <v>458</v>
      </c>
      <c r="D1129" t="s">
        <v>156</v>
      </c>
      <c r="E1129" t="s">
        <v>48</v>
      </c>
      <c r="F1129" t="s">
        <v>15</v>
      </c>
      <c r="G1129" t="s">
        <v>17</v>
      </c>
      <c r="H1129">
        <v>21</v>
      </c>
      <c r="I1129" s="2">
        <v>53.28</v>
      </c>
      <c r="J1129" s="2">
        <v>33.299999999999997</v>
      </c>
      <c r="K1129" s="2">
        <v>1118.8800000000001</v>
      </c>
      <c r="L1129" s="2">
        <v>699.3</v>
      </c>
      <c r="M1129" s="2">
        <v>419.58</v>
      </c>
      <c r="N1129">
        <v>2</v>
      </c>
    </row>
    <row r="1130" spans="1:14" x14ac:dyDescent="0.3">
      <c r="A1130" s="1">
        <v>38012</v>
      </c>
      <c r="B1130">
        <v>10214</v>
      </c>
      <c r="C1130">
        <v>458</v>
      </c>
      <c r="D1130" t="s">
        <v>156</v>
      </c>
      <c r="E1130" t="s">
        <v>48</v>
      </c>
      <c r="F1130" t="s">
        <v>15</v>
      </c>
      <c r="G1130" t="s">
        <v>21</v>
      </c>
      <c r="H1130">
        <v>27</v>
      </c>
      <c r="I1130" s="2">
        <v>125.86</v>
      </c>
      <c r="J1130" s="2">
        <v>58.48</v>
      </c>
      <c r="K1130" s="2">
        <v>3398.22</v>
      </c>
      <c r="L1130" s="2">
        <v>1578.96</v>
      </c>
      <c r="M1130" s="2">
        <v>1819.26</v>
      </c>
      <c r="N1130">
        <v>2</v>
      </c>
    </row>
    <row r="1131" spans="1:14" x14ac:dyDescent="0.3">
      <c r="A1131" s="1">
        <v>38012</v>
      </c>
      <c r="B1131">
        <v>10214</v>
      </c>
      <c r="C1131">
        <v>458</v>
      </c>
      <c r="D1131" t="s">
        <v>156</v>
      </c>
      <c r="E1131" t="s">
        <v>48</v>
      </c>
      <c r="F1131" t="s">
        <v>15</v>
      </c>
      <c r="G1131" t="s">
        <v>22</v>
      </c>
      <c r="H1131">
        <v>50</v>
      </c>
      <c r="I1131" s="2">
        <v>167.06</v>
      </c>
      <c r="J1131" s="2">
        <v>72.56</v>
      </c>
      <c r="K1131" s="2">
        <v>8353</v>
      </c>
      <c r="L1131" s="2">
        <v>3628</v>
      </c>
      <c r="M1131" s="2">
        <v>4725</v>
      </c>
      <c r="N1131">
        <v>2</v>
      </c>
    </row>
    <row r="1132" spans="1:14" x14ac:dyDescent="0.3">
      <c r="A1132" s="1">
        <v>38012</v>
      </c>
      <c r="B1132">
        <v>10214</v>
      </c>
      <c r="C1132">
        <v>458</v>
      </c>
      <c r="D1132" t="s">
        <v>156</v>
      </c>
      <c r="E1132" t="s">
        <v>48</v>
      </c>
      <c r="F1132" t="s">
        <v>15</v>
      </c>
      <c r="G1132" t="s">
        <v>23</v>
      </c>
      <c r="H1132">
        <v>20</v>
      </c>
      <c r="I1132" s="2">
        <v>32.19</v>
      </c>
      <c r="J1132" s="2">
        <v>22.57</v>
      </c>
      <c r="K1132" s="2">
        <v>643.79999999999995</v>
      </c>
      <c r="L1132" s="2">
        <v>451.4</v>
      </c>
      <c r="M1132" s="2">
        <v>192.4</v>
      </c>
      <c r="N1132">
        <v>2</v>
      </c>
    </row>
    <row r="1133" spans="1:14" x14ac:dyDescent="0.3">
      <c r="A1133" s="1">
        <v>38012</v>
      </c>
      <c r="B1133">
        <v>10214</v>
      </c>
      <c r="C1133">
        <v>458</v>
      </c>
      <c r="D1133" t="s">
        <v>156</v>
      </c>
      <c r="E1133" t="s">
        <v>48</v>
      </c>
      <c r="F1133" t="s">
        <v>15</v>
      </c>
      <c r="G1133" t="s">
        <v>24</v>
      </c>
      <c r="H1133">
        <v>49</v>
      </c>
      <c r="I1133" s="2">
        <v>39.869999999999997</v>
      </c>
      <c r="J1133" s="2">
        <v>20.61</v>
      </c>
      <c r="K1133" s="2">
        <v>1953.63</v>
      </c>
      <c r="L1133" s="2">
        <v>1009.89</v>
      </c>
      <c r="M1133" s="2">
        <v>943.74</v>
      </c>
      <c r="N1133">
        <v>2</v>
      </c>
    </row>
    <row r="1134" spans="1:14" x14ac:dyDescent="0.3">
      <c r="A1134" s="1">
        <v>38012</v>
      </c>
      <c r="B1134">
        <v>10214</v>
      </c>
      <c r="C1134">
        <v>458</v>
      </c>
      <c r="D1134" t="s">
        <v>156</v>
      </c>
      <c r="E1134" t="s">
        <v>48</v>
      </c>
      <c r="F1134" t="s">
        <v>15</v>
      </c>
      <c r="G1134" t="s">
        <v>19</v>
      </c>
      <c r="H1134">
        <v>44</v>
      </c>
      <c r="I1134" s="2">
        <v>38.57</v>
      </c>
      <c r="J1134" s="2">
        <v>21.75</v>
      </c>
      <c r="K1134" s="2">
        <v>1697.08</v>
      </c>
      <c r="L1134" s="2">
        <v>957</v>
      </c>
      <c r="M1134" s="2">
        <v>740.08</v>
      </c>
      <c r="N1134">
        <v>2</v>
      </c>
    </row>
    <row r="1135" spans="1:14" x14ac:dyDescent="0.3">
      <c r="A1135" s="1">
        <v>38015</v>
      </c>
      <c r="B1135">
        <v>10215</v>
      </c>
      <c r="C1135">
        <v>475</v>
      </c>
      <c r="D1135" t="s">
        <v>233</v>
      </c>
      <c r="E1135" t="s">
        <v>14</v>
      </c>
      <c r="F1135" t="s">
        <v>29</v>
      </c>
      <c r="G1135" t="s">
        <v>30</v>
      </c>
      <c r="H1135">
        <v>35</v>
      </c>
      <c r="I1135" s="2">
        <v>205.73</v>
      </c>
      <c r="J1135" s="2">
        <v>98.58</v>
      </c>
      <c r="K1135" s="2">
        <v>7200.55</v>
      </c>
      <c r="L1135" s="2">
        <v>3450.3</v>
      </c>
      <c r="M1135" s="2">
        <v>3750.25</v>
      </c>
      <c r="N1135">
        <v>2</v>
      </c>
    </row>
    <row r="1136" spans="1:14" x14ac:dyDescent="0.3">
      <c r="A1136" s="1">
        <v>38015</v>
      </c>
      <c r="B1136">
        <v>10215</v>
      </c>
      <c r="C1136">
        <v>475</v>
      </c>
      <c r="D1136" t="s">
        <v>233</v>
      </c>
      <c r="E1136" t="s">
        <v>14</v>
      </c>
      <c r="F1136" t="s">
        <v>32</v>
      </c>
      <c r="G1136" t="s">
        <v>34</v>
      </c>
      <c r="H1136">
        <v>46</v>
      </c>
      <c r="I1136" s="2">
        <v>100.34</v>
      </c>
      <c r="J1136" s="2">
        <v>58.33</v>
      </c>
      <c r="K1136" s="2">
        <v>4615.6400000000003</v>
      </c>
      <c r="L1136" s="2">
        <v>2683.18</v>
      </c>
      <c r="M1136" s="2">
        <v>1932.46</v>
      </c>
      <c r="N1136">
        <v>2</v>
      </c>
    </row>
    <row r="1137" spans="1:14" x14ac:dyDescent="0.3">
      <c r="A1137" s="1">
        <v>38015</v>
      </c>
      <c r="B1137">
        <v>10215</v>
      </c>
      <c r="C1137">
        <v>475</v>
      </c>
      <c r="D1137" t="s">
        <v>233</v>
      </c>
      <c r="E1137" t="s">
        <v>14</v>
      </c>
      <c r="F1137" t="s">
        <v>15</v>
      </c>
      <c r="G1137" t="s">
        <v>25</v>
      </c>
      <c r="H1137">
        <v>27</v>
      </c>
      <c r="I1137" s="2">
        <v>92.47</v>
      </c>
      <c r="J1137" s="2">
        <v>60.62</v>
      </c>
      <c r="K1137" s="2">
        <v>2496.69</v>
      </c>
      <c r="L1137" s="2">
        <v>1636.74</v>
      </c>
      <c r="M1137" s="2">
        <v>859.95</v>
      </c>
      <c r="N1137">
        <v>2</v>
      </c>
    </row>
    <row r="1138" spans="1:14" x14ac:dyDescent="0.3">
      <c r="A1138" s="1">
        <v>38015</v>
      </c>
      <c r="B1138">
        <v>10215</v>
      </c>
      <c r="C1138">
        <v>475</v>
      </c>
      <c r="D1138" t="s">
        <v>233</v>
      </c>
      <c r="E1138" t="s">
        <v>14</v>
      </c>
      <c r="F1138" t="s">
        <v>15</v>
      </c>
      <c r="G1138" t="s">
        <v>26</v>
      </c>
      <c r="H1138">
        <v>33</v>
      </c>
      <c r="I1138" s="2">
        <v>53.91</v>
      </c>
      <c r="J1138" s="2">
        <v>24.26</v>
      </c>
      <c r="K1138" s="2">
        <v>1779.03</v>
      </c>
      <c r="L1138" s="2">
        <v>800.58</v>
      </c>
      <c r="M1138" s="2">
        <v>978.45</v>
      </c>
      <c r="N1138">
        <v>2</v>
      </c>
    </row>
    <row r="1139" spans="1:14" x14ac:dyDescent="0.3">
      <c r="A1139" s="1">
        <v>38015</v>
      </c>
      <c r="B1139">
        <v>10215</v>
      </c>
      <c r="C1139">
        <v>475</v>
      </c>
      <c r="D1139" t="s">
        <v>233</v>
      </c>
      <c r="E1139" t="s">
        <v>14</v>
      </c>
      <c r="F1139" t="s">
        <v>15</v>
      </c>
      <c r="G1139" t="s">
        <v>36</v>
      </c>
      <c r="H1139">
        <v>49</v>
      </c>
      <c r="I1139" s="2">
        <v>97.26</v>
      </c>
      <c r="J1139" s="2">
        <v>60.78</v>
      </c>
      <c r="K1139" s="2">
        <v>4765.74</v>
      </c>
      <c r="L1139" s="2">
        <v>2978.22</v>
      </c>
      <c r="M1139" s="2">
        <v>1787.52</v>
      </c>
      <c r="N1139">
        <v>2</v>
      </c>
    </row>
    <row r="1140" spans="1:14" x14ac:dyDescent="0.3">
      <c r="A1140" s="1">
        <v>38015</v>
      </c>
      <c r="B1140">
        <v>10215</v>
      </c>
      <c r="C1140">
        <v>475</v>
      </c>
      <c r="D1140" t="s">
        <v>233</v>
      </c>
      <c r="E1140" t="s">
        <v>14</v>
      </c>
      <c r="F1140" t="s">
        <v>15</v>
      </c>
      <c r="G1140" t="s">
        <v>37</v>
      </c>
      <c r="H1140">
        <v>31</v>
      </c>
      <c r="I1140" s="2">
        <v>56.21</v>
      </c>
      <c r="J1140" s="2">
        <v>34.35</v>
      </c>
      <c r="K1140" s="2">
        <v>1742.51</v>
      </c>
      <c r="L1140" s="2">
        <v>1064.8499999999999</v>
      </c>
      <c r="M1140" s="2">
        <v>677.66</v>
      </c>
      <c r="N1140">
        <v>2</v>
      </c>
    </row>
    <row r="1141" spans="1:14" x14ac:dyDescent="0.3">
      <c r="A1141" s="1">
        <v>38015</v>
      </c>
      <c r="B1141">
        <v>10215</v>
      </c>
      <c r="C1141">
        <v>475</v>
      </c>
      <c r="D1141" t="s">
        <v>233</v>
      </c>
      <c r="E1141" t="s">
        <v>14</v>
      </c>
      <c r="F1141" t="s">
        <v>15</v>
      </c>
      <c r="G1141" t="s">
        <v>38</v>
      </c>
      <c r="H1141">
        <v>49</v>
      </c>
      <c r="I1141" s="2">
        <v>89.01</v>
      </c>
      <c r="J1141" s="2">
        <v>60.74</v>
      </c>
      <c r="K1141" s="2">
        <v>4361.49</v>
      </c>
      <c r="L1141" s="2">
        <v>2976.26</v>
      </c>
      <c r="M1141" s="2">
        <v>1385.23</v>
      </c>
      <c r="N1141">
        <v>2</v>
      </c>
    </row>
    <row r="1142" spans="1:14" x14ac:dyDescent="0.3">
      <c r="A1142" s="1">
        <v>38015</v>
      </c>
      <c r="B1142">
        <v>10215</v>
      </c>
      <c r="C1142">
        <v>475</v>
      </c>
      <c r="D1142" t="s">
        <v>233</v>
      </c>
      <c r="E1142" t="s">
        <v>14</v>
      </c>
      <c r="F1142" t="s">
        <v>15</v>
      </c>
      <c r="G1142" t="s">
        <v>39</v>
      </c>
      <c r="H1142">
        <v>41</v>
      </c>
      <c r="I1142" s="2">
        <v>84.33</v>
      </c>
      <c r="J1142" s="2">
        <v>57.54</v>
      </c>
      <c r="K1142" s="2">
        <v>3457.53</v>
      </c>
      <c r="L1142" s="2">
        <v>2359.14</v>
      </c>
      <c r="M1142" s="2">
        <v>1098.3900000000001</v>
      </c>
      <c r="N1142">
        <v>2</v>
      </c>
    </row>
    <row r="1143" spans="1:14" x14ac:dyDescent="0.3">
      <c r="A1143" s="1">
        <v>38015</v>
      </c>
      <c r="B1143">
        <v>10215</v>
      </c>
      <c r="C1143">
        <v>475</v>
      </c>
      <c r="D1143" t="s">
        <v>233</v>
      </c>
      <c r="E1143" t="s">
        <v>14</v>
      </c>
      <c r="F1143" t="s">
        <v>15</v>
      </c>
      <c r="G1143" t="s">
        <v>41</v>
      </c>
      <c r="H1143">
        <v>46</v>
      </c>
      <c r="I1143" s="2">
        <v>42.76</v>
      </c>
      <c r="J1143" s="2">
        <v>23.14</v>
      </c>
      <c r="K1143" s="2">
        <v>1966.96</v>
      </c>
      <c r="L1143" s="2">
        <v>1064.44</v>
      </c>
      <c r="M1143" s="2">
        <v>902.52</v>
      </c>
      <c r="N1143">
        <v>2</v>
      </c>
    </row>
    <row r="1144" spans="1:14" x14ac:dyDescent="0.3">
      <c r="A1144" s="1">
        <v>38015</v>
      </c>
      <c r="B1144">
        <v>10215</v>
      </c>
      <c r="C1144">
        <v>475</v>
      </c>
      <c r="D1144" t="s">
        <v>233</v>
      </c>
      <c r="E1144" t="s">
        <v>14</v>
      </c>
      <c r="F1144" t="s">
        <v>15</v>
      </c>
      <c r="G1144" t="s">
        <v>43</v>
      </c>
      <c r="H1144">
        <v>39</v>
      </c>
      <c r="I1144" s="2">
        <v>94.47</v>
      </c>
      <c r="J1144" s="2">
        <v>57.46</v>
      </c>
      <c r="K1144" s="2">
        <v>3684.33</v>
      </c>
      <c r="L1144" s="2">
        <v>2240.94</v>
      </c>
      <c r="M1144" s="2">
        <v>1443.39</v>
      </c>
      <c r="N1144">
        <v>2</v>
      </c>
    </row>
    <row r="1145" spans="1:14" x14ac:dyDescent="0.3">
      <c r="A1145" s="1">
        <v>38019</v>
      </c>
      <c r="B1145">
        <v>10216</v>
      </c>
      <c r="C1145">
        <v>256</v>
      </c>
      <c r="D1145" t="s">
        <v>236</v>
      </c>
      <c r="E1145" t="s">
        <v>144</v>
      </c>
      <c r="F1145" t="s">
        <v>32</v>
      </c>
      <c r="G1145" t="s">
        <v>33</v>
      </c>
      <c r="H1145">
        <v>43</v>
      </c>
      <c r="I1145" s="2">
        <v>133.94</v>
      </c>
      <c r="J1145" s="2">
        <v>77.900000000000006</v>
      </c>
      <c r="K1145" s="2">
        <v>5759.42</v>
      </c>
      <c r="L1145" s="2">
        <v>3349.7</v>
      </c>
      <c r="M1145" s="2">
        <v>2409.7199999999998</v>
      </c>
      <c r="N1145">
        <v>1</v>
      </c>
    </row>
    <row r="1146" spans="1:14" x14ac:dyDescent="0.3">
      <c r="A1146" s="1">
        <v>38021</v>
      </c>
      <c r="B1146">
        <v>10217</v>
      </c>
      <c r="C1146">
        <v>166</v>
      </c>
      <c r="D1146" t="s">
        <v>187</v>
      </c>
      <c r="E1146" t="s">
        <v>147</v>
      </c>
      <c r="F1146" t="s">
        <v>29</v>
      </c>
      <c r="G1146" t="s">
        <v>31</v>
      </c>
      <c r="H1146">
        <v>48</v>
      </c>
      <c r="I1146" s="2">
        <v>132.97</v>
      </c>
      <c r="J1146" s="2">
        <v>103.42</v>
      </c>
      <c r="K1146" s="2">
        <v>6382.56</v>
      </c>
      <c r="L1146" s="2">
        <v>4964.16</v>
      </c>
      <c r="M1146" s="2">
        <v>1418.4</v>
      </c>
      <c r="N1146">
        <v>1</v>
      </c>
    </row>
    <row r="1147" spans="1:14" x14ac:dyDescent="0.3">
      <c r="A1147" s="1">
        <v>38021</v>
      </c>
      <c r="B1147">
        <v>10217</v>
      </c>
      <c r="C1147">
        <v>166</v>
      </c>
      <c r="D1147" t="s">
        <v>187</v>
      </c>
      <c r="E1147" t="s">
        <v>147</v>
      </c>
      <c r="F1147" t="s">
        <v>32</v>
      </c>
      <c r="G1147" t="s">
        <v>35</v>
      </c>
      <c r="H1147">
        <v>35</v>
      </c>
      <c r="I1147" s="2">
        <v>58.34</v>
      </c>
      <c r="J1147" s="2">
        <v>24.92</v>
      </c>
      <c r="K1147" s="2">
        <v>2041.9</v>
      </c>
      <c r="L1147" s="2">
        <v>872.2</v>
      </c>
      <c r="M1147" s="2">
        <v>1169.7</v>
      </c>
      <c r="N1147">
        <v>1</v>
      </c>
    </row>
    <row r="1148" spans="1:14" x14ac:dyDescent="0.3">
      <c r="A1148" s="1">
        <v>38021</v>
      </c>
      <c r="B1148">
        <v>10217</v>
      </c>
      <c r="C1148">
        <v>166</v>
      </c>
      <c r="D1148" t="s">
        <v>187</v>
      </c>
      <c r="E1148" t="s">
        <v>147</v>
      </c>
      <c r="F1148" t="s">
        <v>32</v>
      </c>
      <c r="G1148" t="s">
        <v>40</v>
      </c>
      <c r="H1148">
        <v>38</v>
      </c>
      <c r="I1148" s="2">
        <v>118.66</v>
      </c>
      <c r="J1148" s="2">
        <v>84.76</v>
      </c>
      <c r="K1148" s="2">
        <v>4509.08</v>
      </c>
      <c r="L1148" s="2">
        <v>3220.88</v>
      </c>
      <c r="M1148" s="2">
        <v>1288.2</v>
      </c>
      <c r="N1148">
        <v>1</v>
      </c>
    </row>
    <row r="1149" spans="1:14" x14ac:dyDescent="0.3">
      <c r="A1149" s="1">
        <v>38021</v>
      </c>
      <c r="B1149">
        <v>10217</v>
      </c>
      <c r="C1149">
        <v>166</v>
      </c>
      <c r="D1149" t="s">
        <v>187</v>
      </c>
      <c r="E1149" t="s">
        <v>147</v>
      </c>
      <c r="F1149" t="s">
        <v>32</v>
      </c>
      <c r="G1149" t="s">
        <v>42</v>
      </c>
      <c r="H1149">
        <v>28</v>
      </c>
      <c r="I1149" s="2">
        <v>103.51</v>
      </c>
      <c r="J1149" s="2">
        <v>61.34</v>
      </c>
      <c r="K1149" s="2">
        <v>2898.28</v>
      </c>
      <c r="L1149" s="2">
        <v>1717.52</v>
      </c>
      <c r="M1149" s="2">
        <v>1180.76</v>
      </c>
      <c r="N1149">
        <v>1</v>
      </c>
    </row>
    <row r="1150" spans="1:14" x14ac:dyDescent="0.3">
      <c r="A1150" s="1">
        <v>38021</v>
      </c>
      <c r="B1150">
        <v>10217</v>
      </c>
      <c r="C1150">
        <v>166</v>
      </c>
      <c r="D1150" t="s">
        <v>187</v>
      </c>
      <c r="E1150" t="s">
        <v>147</v>
      </c>
      <c r="F1150" t="s">
        <v>32</v>
      </c>
      <c r="G1150" t="s">
        <v>44</v>
      </c>
      <c r="H1150">
        <v>21</v>
      </c>
      <c r="I1150" s="2">
        <v>78.97</v>
      </c>
      <c r="J1150" s="2">
        <v>53.93</v>
      </c>
      <c r="K1150" s="2">
        <v>1658.37</v>
      </c>
      <c r="L1150" s="2">
        <v>1132.53</v>
      </c>
      <c r="M1150" s="2">
        <v>525.84</v>
      </c>
      <c r="N1150">
        <v>1</v>
      </c>
    </row>
    <row r="1151" spans="1:14" x14ac:dyDescent="0.3">
      <c r="A1151" s="1">
        <v>38021</v>
      </c>
      <c r="B1151">
        <v>10217</v>
      </c>
      <c r="C1151">
        <v>166</v>
      </c>
      <c r="D1151" t="s">
        <v>187</v>
      </c>
      <c r="E1151" t="s">
        <v>147</v>
      </c>
      <c r="F1151" t="s">
        <v>32</v>
      </c>
      <c r="G1151" t="s">
        <v>45</v>
      </c>
      <c r="H1151">
        <v>39</v>
      </c>
      <c r="I1151" s="2">
        <v>56.24</v>
      </c>
      <c r="J1151" s="2">
        <v>33.61</v>
      </c>
      <c r="K1151" s="2">
        <v>2193.36</v>
      </c>
      <c r="L1151" s="2">
        <v>1310.79</v>
      </c>
      <c r="M1151" s="2">
        <v>882.57</v>
      </c>
      <c r="N1151">
        <v>1</v>
      </c>
    </row>
    <row r="1152" spans="1:14" x14ac:dyDescent="0.3">
      <c r="A1152" s="1">
        <v>38021</v>
      </c>
      <c r="B1152">
        <v>10217</v>
      </c>
      <c r="C1152">
        <v>166</v>
      </c>
      <c r="D1152" t="s">
        <v>187</v>
      </c>
      <c r="E1152" t="s">
        <v>147</v>
      </c>
      <c r="F1152" t="s">
        <v>29</v>
      </c>
      <c r="G1152" t="s">
        <v>46</v>
      </c>
      <c r="H1152">
        <v>31</v>
      </c>
      <c r="I1152" s="2">
        <v>90.02</v>
      </c>
      <c r="J1152" s="2">
        <v>46.53</v>
      </c>
      <c r="K1152" s="2">
        <v>2790.62</v>
      </c>
      <c r="L1152" s="2">
        <v>1442.43</v>
      </c>
      <c r="M1152" s="2">
        <v>1348.19</v>
      </c>
      <c r="N1152">
        <v>1</v>
      </c>
    </row>
    <row r="1153" spans="1:14" x14ac:dyDescent="0.3">
      <c r="A1153" s="1">
        <v>38026</v>
      </c>
      <c r="B1153">
        <v>10218</v>
      </c>
      <c r="C1153">
        <v>473</v>
      </c>
      <c r="D1153" t="s">
        <v>167</v>
      </c>
      <c r="E1153" t="s">
        <v>82</v>
      </c>
      <c r="F1153" t="s">
        <v>32</v>
      </c>
      <c r="G1153" t="s">
        <v>52</v>
      </c>
      <c r="H1153">
        <v>22</v>
      </c>
      <c r="I1153" s="2">
        <v>110.46</v>
      </c>
      <c r="J1153" s="2">
        <v>74.86</v>
      </c>
      <c r="K1153" s="2">
        <v>2430.12</v>
      </c>
      <c r="L1153" s="2">
        <v>1646.92</v>
      </c>
      <c r="M1153" s="2">
        <v>783.2</v>
      </c>
      <c r="N1153">
        <v>2</v>
      </c>
    </row>
    <row r="1154" spans="1:14" x14ac:dyDescent="0.3">
      <c r="A1154" s="1">
        <v>38026</v>
      </c>
      <c r="B1154">
        <v>10218</v>
      </c>
      <c r="C1154">
        <v>473</v>
      </c>
      <c r="D1154" t="s">
        <v>167</v>
      </c>
      <c r="E1154" t="s">
        <v>82</v>
      </c>
      <c r="F1154" t="s">
        <v>29</v>
      </c>
      <c r="G1154" t="s">
        <v>53</v>
      </c>
      <c r="H1154">
        <v>34</v>
      </c>
      <c r="I1154" s="2">
        <v>152.41</v>
      </c>
      <c r="J1154" s="2">
        <v>77.900000000000006</v>
      </c>
      <c r="K1154" s="2">
        <v>5181.9399999999996</v>
      </c>
      <c r="L1154" s="2">
        <v>2648.6</v>
      </c>
      <c r="M1154" s="2">
        <v>2533.34</v>
      </c>
      <c r="N1154">
        <v>2</v>
      </c>
    </row>
    <row r="1155" spans="1:14" x14ac:dyDescent="0.3">
      <c r="A1155" s="1">
        <v>38027</v>
      </c>
      <c r="B1155">
        <v>10219</v>
      </c>
      <c r="C1155">
        <v>487</v>
      </c>
      <c r="D1155" t="s">
        <v>219</v>
      </c>
      <c r="E1155" t="s">
        <v>14</v>
      </c>
      <c r="F1155" t="s">
        <v>32</v>
      </c>
      <c r="G1155" t="s">
        <v>50</v>
      </c>
      <c r="H1155">
        <v>48</v>
      </c>
      <c r="I1155" s="2">
        <v>94.8</v>
      </c>
      <c r="J1155" s="2">
        <v>55.7</v>
      </c>
      <c r="K1155" s="2">
        <v>4550.3999999999996</v>
      </c>
      <c r="L1155" s="2">
        <v>2673.6</v>
      </c>
      <c r="M1155" s="2">
        <v>1876.8</v>
      </c>
      <c r="N1155">
        <v>2</v>
      </c>
    </row>
    <row r="1156" spans="1:14" x14ac:dyDescent="0.3">
      <c r="A1156" s="1">
        <v>38027</v>
      </c>
      <c r="B1156">
        <v>10219</v>
      </c>
      <c r="C1156">
        <v>487</v>
      </c>
      <c r="D1156" t="s">
        <v>219</v>
      </c>
      <c r="E1156" t="s">
        <v>14</v>
      </c>
      <c r="F1156" t="s">
        <v>29</v>
      </c>
      <c r="G1156" t="s">
        <v>51</v>
      </c>
      <c r="H1156">
        <v>43</v>
      </c>
      <c r="I1156" s="2">
        <v>132.62</v>
      </c>
      <c r="J1156" s="2">
        <v>101.51</v>
      </c>
      <c r="K1156" s="2">
        <v>5702.66</v>
      </c>
      <c r="L1156" s="2">
        <v>4364.93</v>
      </c>
      <c r="M1156" s="2">
        <v>1337.73</v>
      </c>
      <c r="N1156">
        <v>2</v>
      </c>
    </row>
    <row r="1157" spans="1:14" x14ac:dyDescent="0.3">
      <c r="A1157" s="1">
        <v>38027</v>
      </c>
      <c r="B1157">
        <v>10219</v>
      </c>
      <c r="C1157">
        <v>487</v>
      </c>
      <c r="D1157" t="s">
        <v>219</v>
      </c>
      <c r="E1157" t="s">
        <v>14</v>
      </c>
      <c r="F1157" t="s">
        <v>29</v>
      </c>
      <c r="G1157" t="s">
        <v>56</v>
      </c>
      <c r="H1157">
        <v>21</v>
      </c>
      <c r="I1157" s="2">
        <v>31.12</v>
      </c>
      <c r="J1157" s="2">
        <v>15.91</v>
      </c>
      <c r="K1157" s="2">
        <v>653.52</v>
      </c>
      <c r="L1157" s="2">
        <v>334.11</v>
      </c>
      <c r="M1157" s="2">
        <v>319.41000000000003</v>
      </c>
      <c r="N1157">
        <v>2</v>
      </c>
    </row>
    <row r="1158" spans="1:14" x14ac:dyDescent="0.3">
      <c r="A1158" s="1">
        <v>38027</v>
      </c>
      <c r="B1158">
        <v>10219</v>
      </c>
      <c r="C1158">
        <v>487</v>
      </c>
      <c r="D1158" t="s">
        <v>219</v>
      </c>
      <c r="E1158" t="s">
        <v>14</v>
      </c>
      <c r="F1158" t="s">
        <v>32</v>
      </c>
      <c r="G1158" t="s">
        <v>58</v>
      </c>
      <c r="H1158">
        <v>35</v>
      </c>
      <c r="I1158" s="2">
        <v>47.62</v>
      </c>
      <c r="J1158" s="2">
        <v>25.98</v>
      </c>
      <c r="K1158" s="2">
        <v>1666.7</v>
      </c>
      <c r="L1158" s="2">
        <v>909.3</v>
      </c>
      <c r="M1158" s="2">
        <v>757.4</v>
      </c>
      <c r="N1158">
        <v>2</v>
      </c>
    </row>
    <row r="1159" spans="1:14" x14ac:dyDescent="0.3">
      <c r="A1159" s="1">
        <v>38029</v>
      </c>
      <c r="B1159">
        <v>10220</v>
      </c>
      <c r="C1159">
        <v>189</v>
      </c>
      <c r="D1159" t="s">
        <v>237</v>
      </c>
      <c r="E1159" t="s">
        <v>188</v>
      </c>
      <c r="F1159" t="s">
        <v>29</v>
      </c>
      <c r="G1159" t="s">
        <v>66</v>
      </c>
      <c r="H1159">
        <v>32</v>
      </c>
      <c r="I1159" s="2">
        <v>189.1</v>
      </c>
      <c r="J1159" s="2">
        <v>95.59</v>
      </c>
      <c r="K1159" s="2">
        <v>6051.2</v>
      </c>
      <c r="L1159" s="2">
        <v>3058.88</v>
      </c>
      <c r="M1159" s="2">
        <v>2992.32</v>
      </c>
      <c r="N1159">
        <v>1</v>
      </c>
    </row>
    <row r="1160" spans="1:14" x14ac:dyDescent="0.3">
      <c r="A1160" s="1">
        <v>38029</v>
      </c>
      <c r="B1160">
        <v>10220</v>
      </c>
      <c r="C1160">
        <v>189</v>
      </c>
      <c r="D1160" t="s">
        <v>237</v>
      </c>
      <c r="E1160" t="s">
        <v>188</v>
      </c>
      <c r="F1160" t="s">
        <v>29</v>
      </c>
      <c r="G1160" t="s">
        <v>49</v>
      </c>
      <c r="H1160">
        <v>30</v>
      </c>
      <c r="I1160" s="2">
        <v>151.08000000000001</v>
      </c>
      <c r="J1160" s="2">
        <v>89.14</v>
      </c>
      <c r="K1160" s="2">
        <v>4532.3999999999996</v>
      </c>
      <c r="L1160" s="2">
        <v>2674.2</v>
      </c>
      <c r="M1160" s="2">
        <v>1858.2</v>
      </c>
      <c r="N1160">
        <v>1</v>
      </c>
    </row>
    <row r="1161" spans="1:14" x14ac:dyDescent="0.3">
      <c r="A1161" s="1">
        <v>38029</v>
      </c>
      <c r="B1161">
        <v>10220</v>
      </c>
      <c r="C1161">
        <v>189</v>
      </c>
      <c r="D1161" t="s">
        <v>237</v>
      </c>
      <c r="E1161" t="s">
        <v>188</v>
      </c>
      <c r="F1161" t="s">
        <v>29</v>
      </c>
      <c r="G1161" t="s">
        <v>67</v>
      </c>
      <c r="H1161">
        <v>27</v>
      </c>
      <c r="I1161" s="2">
        <v>166.1</v>
      </c>
      <c r="J1161" s="2">
        <v>83.05</v>
      </c>
      <c r="K1161" s="2">
        <v>4484.7</v>
      </c>
      <c r="L1161" s="2">
        <v>2242.35</v>
      </c>
      <c r="M1161" s="2">
        <v>2242.35</v>
      </c>
      <c r="N1161">
        <v>1</v>
      </c>
    </row>
    <row r="1162" spans="1:14" x14ac:dyDescent="0.3">
      <c r="A1162" s="1">
        <v>38029</v>
      </c>
      <c r="B1162">
        <v>10220</v>
      </c>
      <c r="C1162">
        <v>189</v>
      </c>
      <c r="D1162" t="s">
        <v>237</v>
      </c>
      <c r="E1162" t="s">
        <v>188</v>
      </c>
      <c r="F1162" t="s">
        <v>29</v>
      </c>
      <c r="G1162" t="s">
        <v>54</v>
      </c>
      <c r="H1162">
        <v>50</v>
      </c>
      <c r="I1162" s="2">
        <v>126.39</v>
      </c>
      <c r="J1162" s="2">
        <v>91.92</v>
      </c>
      <c r="K1162" s="2">
        <v>6319.5</v>
      </c>
      <c r="L1162" s="2">
        <v>4596</v>
      </c>
      <c r="M1162" s="2">
        <v>1723.5</v>
      </c>
      <c r="N1162">
        <v>1</v>
      </c>
    </row>
    <row r="1163" spans="1:14" x14ac:dyDescent="0.3">
      <c r="A1163" s="1">
        <v>38029</v>
      </c>
      <c r="B1163">
        <v>10220</v>
      </c>
      <c r="C1163">
        <v>189</v>
      </c>
      <c r="D1163" t="s">
        <v>237</v>
      </c>
      <c r="E1163" t="s">
        <v>188</v>
      </c>
      <c r="F1163" t="s">
        <v>29</v>
      </c>
      <c r="G1163" t="s">
        <v>55</v>
      </c>
      <c r="H1163">
        <v>26</v>
      </c>
      <c r="I1163" s="2">
        <v>48.55</v>
      </c>
      <c r="J1163" s="2">
        <v>32.369999999999997</v>
      </c>
      <c r="K1163" s="2">
        <v>1262.3</v>
      </c>
      <c r="L1163" s="2">
        <v>841.62</v>
      </c>
      <c r="M1163" s="2">
        <v>420.68</v>
      </c>
      <c r="N1163">
        <v>1</v>
      </c>
    </row>
    <row r="1164" spans="1:14" x14ac:dyDescent="0.3">
      <c r="A1164" s="1">
        <v>38029</v>
      </c>
      <c r="B1164">
        <v>10220</v>
      </c>
      <c r="C1164">
        <v>189</v>
      </c>
      <c r="D1164" t="s">
        <v>237</v>
      </c>
      <c r="E1164" t="s">
        <v>188</v>
      </c>
      <c r="F1164" t="s">
        <v>29</v>
      </c>
      <c r="G1164" t="s">
        <v>57</v>
      </c>
      <c r="H1164">
        <v>37</v>
      </c>
      <c r="I1164" s="2">
        <v>101.72</v>
      </c>
      <c r="J1164" s="2">
        <v>69.78</v>
      </c>
      <c r="K1164" s="2">
        <v>3763.64</v>
      </c>
      <c r="L1164" s="2">
        <v>2581.86</v>
      </c>
      <c r="M1164" s="2">
        <v>1181.78</v>
      </c>
      <c r="N1164">
        <v>1</v>
      </c>
    </row>
    <row r="1165" spans="1:14" x14ac:dyDescent="0.3">
      <c r="A1165" s="1">
        <v>38029</v>
      </c>
      <c r="B1165">
        <v>10220</v>
      </c>
      <c r="C1165">
        <v>189</v>
      </c>
      <c r="D1165" t="s">
        <v>237</v>
      </c>
      <c r="E1165" t="s">
        <v>188</v>
      </c>
      <c r="F1165" t="s">
        <v>59</v>
      </c>
      <c r="G1165" t="s">
        <v>60</v>
      </c>
      <c r="H1165">
        <v>20</v>
      </c>
      <c r="I1165" s="2">
        <v>49.71</v>
      </c>
      <c r="J1165" s="2">
        <v>26.72</v>
      </c>
      <c r="K1165" s="2">
        <v>994.2</v>
      </c>
      <c r="L1165" s="2">
        <v>534.4</v>
      </c>
      <c r="M1165" s="2">
        <v>459.8</v>
      </c>
      <c r="N1165">
        <v>1</v>
      </c>
    </row>
    <row r="1166" spans="1:14" x14ac:dyDescent="0.3">
      <c r="A1166" s="1">
        <v>38029</v>
      </c>
      <c r="B1166">
        <v>10220</v>
      </c>
      <c r="C1166">
        <v>189</v>
      </c>
      <c r="D1166" t="s">
        <v>237</v>
      </c>
      <c r="E1166" t="s">
        <v>188</v>
      </c>
      <c r="F1166" t="s">
        <v>32</v>
      </c>
      <c r="G1166" t="s">
        <v>61</v>
      </c>
      <c r="H1166">
        <v>37</v>
      </c>
      <c r="I1166" s="2">
        <v>92.6</v>
      </c>
      <c r="J1166" s="2">
        <v>68.290000000000006</v>
      </c>
      <c r="K1166" s="2">
        <v>3426.2</v>
      </c>
      <c r="L1166" s="2">
        <v>2526.73</v>
      </c>
      <c r="M1166" s="2">
        <v>899.47</v>
      </c>
      <c r="N1166">
        <v>1</v>
      </c>
    </row>
    <row r="1167" spans="1:14" x14ac:dyDescent="0.3">
      <c r="A1167" s="1">
        <v>38029</v>
      </c>
      <c r="B1167">
        <v>10220</v>
      </c>
      <c r="C1167">
        <v>189</v>
      </c>
      <c r="D1167" t="s">
        <v>237</v>
      </c>
      <c r="E1167" t="s">
        <v>188</v>
      </c>
      <c r="F1167" t="s">
        <v>59</v>
      </c>
      <c r="G1167" t="s">
        <v>62</v>
      </c>
      <c r="H1167">
        <v>30</v>
      </c>
      <c r="I1167" s="2">
        <v>56.82</v>
      </c>
      <c r="J1167" s="2">
        <v>37.49</v>
      </c>
      <c r="K1167" s="2">
        <v>1704.6</v>
      </c>
      <c r="L1167" s="2">
        <v>1124.7</v>
      </c>
      <c r="M1167" s="2">
        <v>579.9</v>
      </c>
      <c r="N1167">
        <v>1</v>
      </c>
    </row>
    <row r="1168" spans="1:14" x14ac:dyDescent="0.3">
      <c r="A1168" s="1">
        <v>38035</v>
      </c>
      <c r="B1168">
        <v>10221</v>
      </c>
      <c r="C1168">
        <v>314</v>
      </c>
      <c r="D1168" t="s">
        <v>189</v>
      </c>
      <c r="E1168" t="s">
        <v>146</v>
      </c>
      <c r="F1168" t="s">
        <v>15</v>
      </c>
      <c r="G1168" t="s">
        <v>68</v>
      </c>
      <c r="H1168">
        <v>33</v>
      </c>
      <c r="I1168" s="2">
        <v>133.86000000000001</v>
      </c>
      <c r="J1168" s="2">
        <v>68.3</v>
      </c>
      <c r="K1168" s="2">
        <v>4417.38</v>
      </c>
      <c r="L1168" s="2">
        <v>2253.9</v>
      </c>
      <c r="M1168" s="2">
        <v>2163.48</v>
      </c>
      <c r="N1168">
        <v>1</v>
      </c>
    </row>
    <row r="1169" spans="1:14" x14ac:dyDescent="0.3">
      <c r="A1169" s="1">
        <v>38035</v>
      </c>
      <c r="B1169">
        <v>10221</v>
      </c>
      <c r="C1169">
        <v>314</v>
      </c>
      <c r="D1169" t="s">
        <v>189</v>
      </c>
      <c r="E1169" t="s">
        <v>146</v>
      </c>
      <c r="F1169" t="s">
        <v>59</v>
      </c>
      <c r="G1169" t="s">
        <v>69</v>
      </c>
      <c r="H1169">
        <v>23</v>
      </c>
      <c r="I1169" s="2">
        <v>89.75</v>
      </c>
      <c r="J1169" s="2">
        <v>67.56</v>
      </c>
      <c r="K1169" s="2">
        <v>2064.25</v>
      </c>
      <c r="L1169" s="2">
        <v>1553.88</v>
      </c>
      <c r="M1169" s="2">
        <v>510.37</v>
      </c>
      <c r="N1169">
        <v>1</v>
      </c>
    </row>
    <row r="1170" spans="1:14" x14ac:dyDescent="0.3">
      <c r="A1170" s="1">
        <v>38035</v>
      </c>
      <c r="B1170">
        <v>10221</v>
      </c>
      <c r="C1170">
        <v>314</v>
      </c>
      <c r="D1170" t="s">
        <v>189</v>
      </c>
      <c r="E1170" t="s">
        <v>146</v>
      </c>
      <c r="F1170" t="s">
        <v>15</v>
      </c>
      <c r="G1170" t="s">
        <v>70</v>
      </c>
      <c r="H1170">
        <v>39</v>
      </c>
      <c r="I1170" s="2">
        <v>84.26</v>
      </c>
      <c r="J1170" s="2">
        <v>52.66</v>
      </c>
      <c r="K1170" s="2">
        <v>3286.14</v>
      </c>
      <c r="L1170" s="2">
        <v>2053.7399999999998</v>
      </c>
      <c r="M1170" s="2">
        <v>1232.4000000000001</v>
      </c>
      <c r="N1170">
        <v>1</v>
      </c>
    </row>
    <row r="1171" spans="1:14" x14ac:dyDescent="0.3">
      <c r="A1171" s="1">
        <v>38035</v>
      </c>
      <c r="B1171">
        <v>10221</v>
      </c>
      <c r="C1171">
        <v>314</v>
      </c>
      <c r="D1171" t="s">
        <v>189</v>
      </c>
      <c r="E1171" t="s">
        <v>146</v>
      </c>
      <c r="F1171" t="s">
        <v>71</v>
      </c>
      <c r="G1171" t="s">
        <v>72</v>
      </c>
      <c r="H1171">
        <v>49</v>
      </c>
      <c r="I1171" s="2">
        <v>113.06</v>
      </c>
      <c r="J1171" s="2">
        <v>82.34</v>
      </c>
      <c r="K1171" s="2">
        <v>5539.94</v>
      </c>
      <c r="L1171" s="2">
        <v>4034.66</v>
      </c>
      <c r="M1171" s="2">
        <v>1505.28</v>
      </c>
      <c r="N1171">
        <v>1</v>
      </c>
    </row>
    <row r="1172" spans="1:14" x14ac:dyDescent="0.3">
      <c r="A1172" s="1">
        <v>38035</v>
      </c>
      <c r="B1172">
        <v>10221</v>
      </c>
      <c r="C1172">
        <v>314</v>
      </c>
      <c r="D1172" t="s">
        <v>189</v>
      </c>
      <c r="E1172" t="s">
        <v>146</v>
      </c>
      <c r="F1172" t="s">
        <v>71</v>
      </c>
      <c r="G1172" t="s">
        <v>76</v>
      </c>
      <c r="H1172">
        <v>23</v>
      </c>
      <c r="I1172" s="2">
        <v>69.290000000000006</v>
      </c>
      <c r="J1172" s="2">
        <v>43.3</v>
      </c>
      <c r="K1172" s="2">
        <v>1593.67</v>
      </c>
      <c r="L1172" s="2">
        <v>995.9</v>
      </c>
      <c r="M1172" s="2">
        <v>597.77</v>
      </c>
      <c r="N1172">
        <v>1</v>
      </c>
    </row>
    <row r="1173" spans="1:14" x14ac:dyDescent="0.3">
      <c r="A1173" s="1">
        <v>38036</v>
      </c>
      <c r="B1173">
        <v>10222</v>
      </c>
      <c r="C1173">
        <v>239</v>
      </c>
      <c r="D1173" t="s">
        <v>238</v>
      </c>
      <c r="E1173" t="s">
        <v>14</v>
      </c>
      <c r="F1173" t="s">
        <v>29</v>
      </c>
      <c r="G1173" t="s">
        <v>65</v>
      </c>
      <c r="H1173">
        <v>49</v>
      </c>
      <c r="I1173" s="2">
        <v>133.28</v>
      </c>
      <c r="J1173" s="2">
        <v>85.68</v>
      </c>
      <c r="K1173" s="2">
        <v>6530.72</v>
      </c>
      <c r="L1173" s="2">
        <v>4198.32</v>
      </c>
      <c r="M1173" s="2">
        <v>2332.4</v>
      </c>
      <c r="N1173">
        <v>1</v>
      </c>
    </row>
    <row r="1174" spans="1:14" x14ac:dyDescent="0.3">
      <c r="A1174" s="1">
        <v>38036</v>
      </c>
      <c r="B1174">
        <v>10222</v>
      </c>
      <c r="C1174">
        <v>239</v>
      </c>
      <c r="D1174" t="s">
        <v>238</v>
      </c>
      <c r="E1174" t="s">
        <v>14</v>
      </c>
      <c r="F1174" t="s">
        <v>83</v>
      </c>
      <c r="G1174" t="s">
        <v>84</v>
      </c>
      <c r="H1174">
        <v>49</v>
      </c>
      <c r="I1174" s="2">
        <v>137.19</v>
      </c>
      <c r="J1174" s="2">
        <v>77.27</v>
      </c>
      <c r="K1174" s="2">
        <v>6722.31</v>
      </c>
      <c r="L1174" s="2">
        <v>3786.23</v>
      </c>
      <c r="M1174" s="2">
        <v>2936.08</v>
      </c>
      <c r="N1174">
        <v>1</v>
      </c>
    </row>
    <row r="1175" spans="1:14" x14ac:dyDescent="0.3">
      <c r="A1175" s="1">
        <v>38036</v>
      </c>
      <c r="B1175">
        <v>10222</v>
      </c>
      <c r="C1175">
        <v>239</v>
      </c>
      <c r="D1175" t="s">
        <v>238</v>
      </c>
      <c r="E1175" t="s">
        <v>14</v>
      </c>
      <c r="F1175" t="s">
        <v>71</v>
      </c>
      <c r="G1175" t="s">
        <v>86</v>
      </c>
      <c r="H1175">
        <v>49</v>
      </c>
      <c r="I1175" s="2">
        <v>79.14</v>
      </c>
      <c r="J1175" s="2">
        <v>51.61</v>
      </c>
      <c r="K1175" s="2">
        <v>3877.86</v>
      </c>
      <c r="L1175" s="2">
        <v>2528.89</v>
      </c>
      <c r="M1175" s="2">
        <v>1348.97</v>
      </c>
      <c r="N1175">
        <v>1</v>
      </c>
    </row>
    <row r="1176" spans="1:14" x14ac:dyDescent="0.3">
      <c r="A1176" s="1">
        <v>38036</v>
      </c>
      <c r="B1176">
        <v>10222</v>
      </c>
      <c r="C1176">
        <v>239</v>
      </c>
      <c r="D1176" t="s">
        <v>238</v>
      </c>
      <c r="E1176" t="s">
        <v>14</v>
      </c>
      <c r="F1176" t="s">
        <v>15</v>
      </c>
      <c r="G1176" t="s">
        <v>87</v>
      </c>
      <c r="H1176">
        <v>45</v>
      </c>
      <c r="I1176" s="2">
        <v>88.93</v>
      </c>
      <c r="J1176" s="2">
        <v>64.58</v>
      </c>
      <c r="K1176" s="2">
        <v>4001.85</v>
      </c>
      <c r="L1176" s="2">
        <v>2906.1</v>
      </c>
      <c r="M1176" s="2">
        <v>1095.75</v>
      </c>
      <c r="N1176">
        <v>1</v>
      </c>
    </row>
    <row r="1177" spans="1:14" x14ac:dyDescent="0.3">
      <c r="A1177" s="1">
        <v>38036</v>
      </c>
      <c r="B1177">
        <v>10222</v>
      </c>
      <c r="C1177">
        <v>239</v>
      </c>
      <c r="D1177" t="s">
        <v>238</v>
      </c>
      <c r="E1177" t="s">
        <v>14</v>
      </c>
      <c r="F1177" t="s">
        <v>83</v>
      </c>
      <c r="G1177" t="s">
        <v>89</v>
      </c>
      <c r="H1177">
        <v>32</v>
      </c>
      <c r="I1177" s="2">
        <v>56.86</v>
      </c>
      <c r="J1177" s="2">
        <v>34.25</v>
      </c>
      <c r="K1177" s="2">
        <v>1819.52</v>
      </c>
      <c r="L1177" s="2">
        <v>1096</v>
      </c>
      <c r="M1177" s="2">
        <v>723.52</v>
      </c>
      <c r="N1177">
        <v>1</v>
      </c>
    </row>
    <row r="1178" spans="1:14" x14ac:dyDescent="0.3">
      <c r="A1178" s="1">
        <v>38036</v>
      </c>
      <c r="B1178">
        <v>10222</v>
      </c>
      <c r="C1178">
        <v>239</v>
      </c>
      <c r="D1178" t="s">
        <v>238</v>
      </c>
      <c r="E1178" t="s">
        <v>14</v>
      </c>
      <c r="F1178" t="s">
        <v>15</v>
      </c>
      <c r="G1178" t="s">
        <v>73</v>
      </c>
      <c r="H1178">
        <v>47</v>
      </c>
      <c r="I1178" s="2">
        <v>74.349999999999994</v>
      </c>
      <c r="J1178" s="2">
        <v>46.91</v>
      </c>
      <c r="K1178" s="2">
        <v>3494.45</v>
      </c>
      <c r="L1178" s="2">
        <v>2204.77</v>
      </c>
      <c r="M1178" s="2">
        <v>1289.68</v>
      </c>
      <c r="N1178">
        <v>1</v>
      </c>
    </row>
    <row r="1179" spans="1:14" x14ac:dyDescent="0.3">
      <c r="A1179" s="1">
        <v>38036</v>
      </c>
      <c r="B1179">
        <v>10222</v>
      </c>
      <c r="C1179">
        <v>239</v>
      </c>
      <c r="D1179" t="s">
        <v>238</v>
      </c>
      <c r="E1179" t="s">
        <v>14</v>
      </c>
      <c r="F1179" t="s">
        <v>15</v>
      </c>
      <c r="G1179" t="s">
        <v>90</v>
      </c>
      <c r="H1179">
        <v>43</v>
      </c>
      <c r="I1179" s="2">
        <v>61.15</v>
      </c>
      <c r="J1179" s="2">
        <v>26.3</v>
      </c>
      <c r="K1179" s="2">
        <v>2629.45</v>
      </c>
      <c r="L1179" s="2">
        <v>1130.9000000000001</v>
      </c>
      <c r="M1179" s="2">
        <v>1498.55</v>
      </c>
      <c r="N1179">
        <v>1</v>
      </c>
    </row>
    <row r="1180" spans="1:14" x14ac:dyDescent="0.3">
      <c r="A1180" s="1">
        <v>38036</v>
      </c>
      <c r="B1180">
        <v>10222</v>
      </c>
      <c r="C1180">
        <v>239</v>
      </c>
      <c r="D1180" t="s">
        <v>238</v>
      </c>
      <c r="E1180" t="s">
        <v>14</v>
      </c>
      <c r="F1180" t="s">
        <v>15</v>
      </c>
      <c r="G1180" t="s">
        <v>74</v>
      </c>
      <c r="H1180">
        <v>46</v>
      </c>
      <c r="I1180" s="2">
        <v>77.989999999999995</v>
      </c>
      <c r="J1180" s="2">
        <v>48.64</v>
      </c>
      <c r="K1180" s="2">
        <v>3587.54</v>
      </c>
      <c r="L1180" s="2">
        <v>2237.44</v>
      </c>
      <c r="M1180" s="2">
        <v>1350.1</v>
      </c>
      <c r="N1180">
        <v>1</v>
      </c>
    </row>
    <row r="1181" spans="1:14" x14ac:dyDescent="0.3">
      <c r="A1181" s="1">
        <v>38036</v>
      </c>
      <c r="B1181">
        <v>10222</v>
      </c>
      <c r="C1181">
        <v>239</v>
      </c>
      <c r="D1181" t="s">
        <v>238</v>
      </c>
      <c r="E1181" t="s">
        <v>14</v>
      </c>
      <c r="F1181" t="s">
        <v>83</v>
      </c>
      <c r="G1181" t="s">
        <v>91</v>
      </c>
      <c r="H1181">
        <v>48</v>
      </c>
      <c r="I1181" s="2">
        <v>55.27</v>
      </c>
      <c r="J1181" s="2">
        <v>29.34</v>
      </c>
      <c r="K1181" s="2">
        <v>2652.96</v>
      </c>
      <c r="L1181" s="2">
        <v>1408.32</v>
      </c>
      <c r="M1181" s="2">
        <v>1244.6400000000001</v>
      </c>
      <c r="N1181">
        <v>1</v>
      </c>
    </row>
    <row r="1182" spans="1:14" x14ac:dyDescent="0.3">
      <c r="A1182" s="1">
        <v>38036</v>
      </c>
      <c r="B1182">
        <v>10222</v>
      </c>
      <c r="C1182">
        <v>239</v>
      </c>
      <c r="D1182" t="s">
        <v>238</v>
      </c>
      <c r="E1182" t="s">
        <v>14</v>
      </c>
      <c r="F1182" t="s">
        <v>71</v>
      </c>
      <c r="G1182" t="s">
        <v>75</v>
      </c>
      <c r="H1182">
        <v>31</v>
      </c>
      <c r="I1182" s="2">
        <v>58.67</v>
      </c>
      <c r="J1182" s="2">
        <v>34</v>
      </c>
      <c r="K1182" s="2">
        <v>1818.77</v>
      </c>
      <c r="L1182" s="2">
        <v>1054</v>
      </c>
      <c r="M1182" s="2">
        <v>764.77</v>
      </c>
      <c r="N1182">
        <v>1</v>
      </c>
    </row>
    <row r="1183" spans="1:14" x14ac:dyDescent="0.3">
      <c r="A1183" s="1">
        <v>38036</v>
      </c>
      <c r="B1183">
        <v>10222</v>
      </c>
      <c r="C1183">
        <v>239</v>
      </c>
      <c r="D1183" t="s">
        <v>238</v>
      </c>
      <c r="E1183" t="s">
        <v>14</v>
      </c>
      <c r="F1183" t="s">
        <v>71</v>
      </c>
      <c r="G1183" t="s">
        <v>96</v>
      </c>
      <c r="H1183">
        <v>26</v>
      </c>
      <c r="I1183" s="2">
        <v>80.56</v>
      </c>
      <c r="J1183" s="2">
        <v>39.83</v>
      </c>
      <c r="K1183" s="2">
        <v>2094.56</v>
      </c>
      <c r="L1183" s="2">
        <v>1035.58</v>
      </c>
      <c r="M1183" s="2">
        <v>1058.98</v>
      </c>
      <c r="N1183">
        <v>1</v>
      </c>
    </row>
    <row r="1184" spans="1:14" x14ac:dyDescent="0.3">
      <c r="A1184" s="1">
        <v>38036</v>
      </c>
      <c r="B1184">
        <v>10222</v>
      </c>
      <c r="C1184">
        <v>239</v>
      </c>
      <c r="D1184" t="s">
        <v>238</v>
      </c>
      <c r="E1184" t="s">
        <v>14</v>
      </c>
      <c r="F1184" t="s">
        <v>83</v>
      </c>
      <c r="G1184" t="s">
        <v>97</v>
      </c>
      <c r="H1184">
        <v>37</v>
      </c>
      <c r="I1184" s="2">
        <v>90.75</v>
      </c>
      <c r="J1184" s="2">
        <v>68.8</v>
      </c>
      <c r="K1184" s="2">
        <v>3357.75</v>
      </c>
      <c r="L1184" s="2">
        <v>2545.6</v>
      </c>
      <c r="M1184" s="2">
        <v>812.15</v>
      </c>
      <c r="N1184">
        <v>1</v>
      </c>
    </row>
    <row r="1185" spans="1:14" x14ac:dyDescent="0.3">
      <c r="A1185" s="1">
        <v>38036</v>
      </c>
      <c r="B1185">
        <v>10222</v>
      </c>
      <c r="C1185">
        <v>239</v>
      </c>
      <c r="D1185" t="s">
        <v>238</v>
      </c>
      <c r="E1185" t="s">
        <v>14</v>
      </c>
      <c r="F1185" t="s">
        <v>71</v>
      </c>
      <c r="G1185" t="s">
        <v>77</v>
      </c>
      <c r="H1185">
        <v>36</v>
      </c>
      <c r="I1185" s="2">
        <v>69.39</v>
      </c>
      <c r="J1185" s="2">
        <v>33.97</v>
      </c>
      <c r="K1185" s="2">
        <v>2498.04</v>
      </c>
      <c r="L1185" s="2">
        <v>1222.92</v>
      </c>
      <c r="M1185" s="2">
        <v>1275.1199999999999</v>
      </c>
      <c r="N1185">
        <v>1</v>
      </c>
    </row>
    <row r="1186" spans="1:14" x14ac:dyDescent="0.3">
      <c r="A1186" s="1">
        <v>38036</v>
      </c>
      <c r="B1186">
        <v>10222</v>
      </c>
      <c r="C1186">
        <v>239</v>
      </c>
      <c r="D1186" t="s">
        <v>238</v>
      </c>
      <c r="E1186" t="s">
        <v>14</v>
      </c>
      <c r="F1186" t="s">
        <v>71</v>
      </c>
      <c r="G1186" t="s">
        <v>78</v>
      </c>
      <c r="H1186">
        <v>38</v>
      </c>
      <c r="I1186" s="2">
        <v>84.14</v>
      </c>
      <c r="J1186" s="2">
        <v>51.09</v>
      </c>
      <c r="K1186" s="2">
        <v>3197.32</v>
      </c>
      <c r="L1186" s="2">
        <v>1941.42</v>
      </c>
      <c r="M1186" s="2">
        <v>1255.9000000000001</v>
      </c>
      <c r="N1186">
        <v>1</v>
      </c>
    </row>
    <row r="1187" spans="1:14" x14ac:dyDescent="0.3">
      <c r="A1187" s="1">
        <v>38036</v>
      </c>
      <c r="B1187">
        <v>10222</v>
      </c>
      <c r="C1187">
        <v>239</v>
      </c>
      <c r="D1187" t="s">
        <v>238</v>
      </c>
      <c r="E1187" t="s">
        <v>14</v>
      </c>
      <c r="F1187" t="s">
        <v>71</v>
      </c>
      <c r="G1187" t="s">
        <v>79</v>
      </c>
      <c r="H1187">
        <v>31</v>
      </c>
      <c r="I1187" s="2">
        <v>81.430000000000007</v>
      </c>
      <c r="J1187" s="2">
        <v>53.63</v>
      </c>
      <c r="K1187" s="2">
        <v>2524.33</v>
      </c>
      <c r="L1187" s="2">
        <v>1662.53</v>
      </c>
      <c r="M1187" s="2">
        <v>861.8</v>
      </c>
      <c r="N1187">
        <v>1</v>
      </c>
    </row>
    <row r="1188" spans="1:14" x14ac:dyDescent="0.3">
      <c r="A1188" s="1">
        <v>38036</v>
      </c>
      <c r="B1188">
        <v>10222</v>
      </c>
      <c r="C1188">
        <v>239</v>
      </c>
      <c r="D1188" t="s">
        <v>238</v>
      </c>
      <c r="E1188" t="s">
        <v>14</v>
      </c>
      <c r="F1188" t="s">
        <v>83</v>
      </c>
      <c r="G1188" t="s">
        <v>100</v>
      </c>
      <c r="H1188">
        <v>43</v>
      </c>
      <c r="I1188" s="2">
        <v>66.63</v>
      </c>
      <c r="J1188" s="2">
        <v>36.270000000000003</v>
      </c>
      <c r="K1188" s="2">
        <v>2865.09</v>
      </c>
      <c r="L1188" s="2">
        <v>1559.61</v>
      </c>
      <c r="M1188" s="2">
        <v>1305.48</v>
      </c>
      <c r="N1188">
        <v>1</v>
      </c>
    </row>
    <row r="1189" spans="1:14" x14ac:dyDescent="0.3">
      <c r="A1189" s="1">
        <v>38036</v>
      </c>
      <c r="B1189">
        <v>10222</v>
      </c>
      <c r="C1189">
        <v>239</v>
      </c>
      <c r="D1189" t="s">
        <v>238</v>
      </c>
      <c r="E1189" t="s">
        <v>14</v>
      </c>
      <c r="F1189" t="s">
        <v>83</v>
      </c>
      <c r="G1189" t="s">
        <v>101</v>
      </c>
      <c r="H1189">
        <v>31</v>
      </c>
      <c r="I1189" s="2">
        <v>45.19</v>
      </c>
      <c r="J1189" s="2">
        <v>32.770000000000003</v>
      </c>
      <c r="K1189" s="2">
        <v>1400.89</v>
      </c>
      <c r="L1189" s="2">
        <v>1015.87</v>
      </c>
      <c r="M1189" s="2">
        <v>385.02</v>
      </c>
      <c r="N1189">
        <v>1</v>
      </c>
    </row>
    <row r="1190" spans="1:14" x14ac:dyDescent="0.3">
      <c r="A1190" s="1">
        <v>38036</v>
      </c>
      <c r="B1190">
        <v>10222</v>
      </c>
      <c r="C1190">
        <v>239</v>
      </c>
      <c r="D1190" t="s">
        <v>238</v>
      </c>
      <c r="E1190" t="s">
        <v>14</v>
      </c>
      <c r="F1190" t="s">
        <v>71</v>
      </c>
      <c r="G1190" t="s">
        <v>80</v>
      </c>
      <c r="H1190">
        <v>36</v>
      </c>
      <c r="I1190" s="2">
        <v>48.59</v>
      </c>
      <c r="J1190" s="2">
        <v>33.299999999999997</v>
      </c>
      <c r="K1190" s="2">
        <v>1749.24</v>
      </c>
      <c r="L1190" s="2">
        <v>1198.8</v>
      </c>
      <c r="M1190" s="2">
        <v>550.44000000000005</v>
      </c>
      <c r="N1190">
        <v>1</v>
      </c>
    </row>
    <row r="1191" spans="1:14" x14ac:dyDescent="0.3">
      <c r="A1191" s="1">
        <v>38037</v>
      </c>
      <c r="B1191">
        <v>10223</v>
      </c>
      <c r="C1191">
        <v>114</v>
      </c>
      <c r="D1191" t="s">
        <v>210</v>
      </c>
      <c r="E1191" t="s">
        <v>151</v>
      </c>
      <c r="F1191" t="s">
        <v>102</v>
      </c>
      <c r="G1191" t="s">
        <v>103</v>
      </c>
      <c r="H1191">
        <v>37</v>
      </c>
      <c r="I1191" s="2">
        <v>80.39</v>
      </c>
      <c r="J1191" s="2">
        <v>48.81</v>
      </c>
      <c r="K1191" s="2">
        <v>2974.43</v>
      </c>
      <c r="L1191" s="2">
        <v>1805.97</v>
      </c>
      <c r="M1191" s="2">
        <v>1168.46</v>
      </c>
      <c r="N1191">
        <v>3</v>
      </c>
    </row>
    <row r="1192" spans="1:14" x14ac:dyDescent="0.3">
      <c r="A1192" s="1">
        <v>38037</v>
      </c>
      <c r="B1192">
        <v>10223</v>
      </c>
      <c r="C1192">
        <v>114</v>
      </c>
      <c r="D1192" t="s">
        <v>210</v>
      </c>
      <c r="E1192" t="s">
        <v>151</v>
      </c>
      <c r="F1192" t="s">
        <v>102</v>
      </c>
      <c r="G1192" t="s">
        <v>104</v>
      </c>
      <c r="H1192">
        <v>47</v>
      </c>
      <c r="I1192" s="2">
        <v>110.61</v>
      </c>
      <c r="J1192" s="2">
        <v>68.989999999999995</v>
      </c>
      <c r="K1192" s="2">
        <v>5198.67</v>
      </c>
      <c r="L1192" s="2">
        <v>3242.53</v>
      </c>
      <c r="M1192" s="2">
        <v>1956.14</v>
      </c>
      <c r="N1192">
        <v>3</v>
      </c>
    </row>
    <row r="1193" spans="1:14" x14ac:dyDescent="0.3">
      <c r="A1193" s="1">
        <v>38037</v>
      </c>
      <c r="B1193">
        <v>10223</v>
      </c>
      <c r="C1193">
        <v>114</v>
      </c>
      <c r="D1193" t="s">
        <v>210</v>
      </c>
      <c r="E1193" t="s">
        <v>151</v>
      </c>
      <c r="F1193" t="s">
        <v>102</v>
      </c>
      <c r="G1193" t="s">
        <v>105</v>
      </c>
      <c r="H1193">
        <v>49</v>
      </c>
      <c r="I1193" s="2">
        <v>189.79</v>
      </c>
      <c r="J1193" s="2">
        <v>91.02</v>
      </c>
      <c r="K1193" s="2">
        <v>9299.7099999999991</v>
      </c>
      <c r="L1193" s="2">
        <v>4459.9799999999996</v>
      </c>
      <c r="M1193" s="2">
        <v>4839.7299999999996</v>
      </c>
      <c r="N1193">
        <v>3</v>
      </c>
    </row>
    <row r="1194" spans="1:14" x14ac:dyDescent="0.3">
      <c r="A1194" s="1">
        <v>38037</v>
      </c>
      <c r="B1194">
        <v>10223</v>
      </c>
      <c r="C1194">
        <v>114</v>
      </c>
      <c r="D1194" t="s">
        <v>210</v>
      </c>
      <c r="E1194" t="s">
        <v>151</v>
      </c>
      <c r="F1194" t="s">
        <v>83</v>
      </c>
      <c r="G1194" t="s">
        <v>85</v>
      </c>
      <c r="H1194">
        <v>47</v>
      </c>
      <c r="I1194" s="2">
        <v>67.58</v>
      </c>
      <c r="J1194" s="2">
        <v>49</v>
      </c>
      <c r="K1194" s="2">
        <v>3176.26</v>
      </c>
      <c r="L1194" s="2">
        <v>2303</v>
      </c>
      <c r="M1194" s="2">
        <v>873.26</v>
      </c>
      <c r="N1194">
        <v>3</v>
      </c>
    </row>
    <row r="1195" spans="1:14" x14ac:dyDescent="0.3">
      <c r="A1195" s="1">
        <v>38037</v>
      </c>
      <c r="B1195">
        <v>10223</v>
      </c>
      <c r="C1195">
        <v>114</v>
      </c>
      <c r="D1195" t="s">
        <v>210</v>
      </c>
      <c r="E1195" t="s">
        <v>151</v>
      </c>
      <c r="F1195" t="s">
        <v>102</v>
      </c>
      <c r="G1195" t="s">
        <v>107</v>
      </c>
      <c r="H1195">
        <v>28</v>
      </c>
      <c r="I1195" s="2">
        <v>58.75</v>
      </c>
      <c r="J1195" s="2">
        <v>24.23</v>
      </c>
      <c r="K1195" s="2">
        <v>1645</v>
      </c>
      <c r="L1195" s="2">
        <v>678.44</v>
      </c>
      <c r="M1195" s="2">
        <v>966.56</v>
      </c>
      <c r="N1195">
        <v>3</v>
      </c>
    </row>
    <row r="1196" spans="1:14" x14ac:dyDescent="0.3">
      <c r="A1196" s="1">
        <v>38037</v>
      </c>
      <c r="B1196">
        <v>10223</v>
      </c>
      <c r="C1196">
        <v>114</v>
      </c>
      <c r="D1196" t="s">
        <v>210</v>
      </c>
      <c r="E1196" t="s">
        <v>151</v>
      </c>
      <c r="F1196" t="s">
        <v>102</v>
      </c>
      <c r="G1196" t="s">
        <v>108</v>
      </c>
      <c r="H1196">
        <v>32</v>
      </c>
      <c r="I1196" s="2">
        <v>104.81</v>
      </c>
      <c r="J1196" s="2">
        <v>60.86</v>
      </c>
      <c r="K1196" s="2">
        <v>3353.92</v>
      </c>
      <c r="L1196" s="2">
        <v>1947.52</v>
      </c>
      <c r="M1196" s="2">
        <v>1406.4</v>
      </c>
      <c r="N1196">
        <v>3</v>
      </c>
    </row>
    <row r="1197" spans="1:14" x14ac:dyDescent="0.3">
      <c r="A1197" s="1">
        <v>38037</v>
      </c>
      <c r="B1197">
        <v>10223</v>
      </c>
      <c r="C1197">
        <v>114</v>
      </c>
      <c r="D1197" t="s">
        <v>210</v>
      </c>
      <c r="E1197" t="s">
        <v>151</v>
      </c>
      <c r="F1197" t="s">
        <v>83</v>
      </c>
      <c r="G1197" t="s">
        <v>88</v>
      </c>
      <c r="H1197">
        <v>34</v>
      </c>
      <c r="I1197" s="2">
        <v>87.54</v>
      </c>
      <c r="J1197" s="2">
        <v>66.739999999999995</v>
      </c>
      <c r="K1197" s="2">
        <v>2976.36</v>
      </c>
      <c r="L1197" s="2">
        <v>2269.16</v>
      </c>
      <c r="M1197" s="2">
        <v>707.2</v>
      </c>
      <c r="N1197">
        <v>3</v>
      </c>
    </row>
    <row r="1198" spans="1:14" x14ac:dyDescent="0.3">
      <c r="A1198" s="1">
        <v>38037</v>
      </c>
      <c r="B1198">
        <v>10223</v>
      </c>
      <c r="C1198">
        <v>114</v>
      </c>
      <c r="D1198" t="s">
        <v>210</v>
      </c>
      <c r="E1198" t="s">
        <v>151</v>
      </c>
      <c r="F1198" t="s">
        <v>102</v>
      </c>
      <c r="G1198" t="s">
        <v>109</v>
      </c>
      <c r="H1198">
        <v>38</v>
      </c>
      <c r="I1198" s="2">
        <v>60.94</v>
      </c>
      <c r="J1198" s="2">
        <v>37.32</v>
      </c>
      <c r="K1198" s="2">
        <v>2315.7199999999998</v>
      </c>
      <c r="L1198" s="2">
        <v>1418.16</v>
      </c>
      <c r="M1198" s="2">
        <v>897.56</v>
      </c>
      <c r="N1198">
        <v>3</v>
      </c>
    </row>
    <row r="1199" spans="1:14" x14ac:dyDescent="0.3">
      <c r="A1199" s="1">
        <v>38037</v>
      </c>
      <c r="B1199">
        <v>10223</v>
      </c>
      <c r="C1199">
        <v>114</v>
      </c>
      <c r="D1199" t="s">
        <v>210</v>
      </c>
      <c r="E1199" t="s">
        <v>151</v>
      </c>
      <c r="F1199" t="s">
        <v>83</v>
      </c>
      <c r="G1199" t="s">
        <v>92</v>
      </c>
      <c r="H1199">
        <v>23</v>
      </c>
      <c r="I1199" s="2">
        <v>68.099999999999994</v>
      </c>
      <c r="J1199" s="2">
        <v>36.229999999999997</v>
      </c>
      <c r="K1199" s="2">
        <v>1566.3</v>
      </c>
      <c r="L1199" s="2">
        <v>833.29</v>
      </c>
      <c r="M1199" s="2">
        <v>733.01</v>
      </c>
      <c r="N1199">
        <v>3</v>
      </c>
    </row>
    <row r="1200" spans="1:14" x14ac:dyDescent="0.3">
      <c r="A1200" s="1">
        <v>38037</v>
      </c>
      <c r="B1200">
        <v>10223</v>
      </c>
      <c r="C1200">
        <v>114</v>
      </c>
      <c r="D1200" t="s">
        <v>210</v>
      </c>
      <c r="E1200" t="s">
        <v>151</v>
      </c>
      <c r="F1200" t="s">
        <v>102</v>
      </c>
      <c r="G1200" t="s">
        <v>110</v>
      </c>
      <c r="H1200">
        <v>21</v>
      </c>
      <c r="I1200" s="2">
        <v>90.9</v>
      </c>
      <c r="J1200" s="2">
        <v>66.92</v>
      </c>
      <c r="K1200" s="2">
        <v>1908.9</v>
      </c>
      <c r="L1200" s="2">
        <v>1405.32</v>
      </c>
      <c r="M1200" s="2">
        <v>503.58</v>
      </c>
      <c r="N1200">
        <v>3</v>
      </c>
    </row>
    <row r="1201" spans="1:14" x14ac:dyDescent="0.3">
      <c r="A1201" s="1">
        <v>38037</v>
      </c>
      <c r="B1201">
        <v>10223</v>
      </c>
      <c r="C1201">
        <v>114</v>
      </c>
      <c r="D1201" t="s">
        <v>210</v>
      </c>
      <c r="E1201" t="s">
        <v>151</v>
      </c>
      <c r="F1201" t="s">
        <v>15</v>
      </c>
      <c r="G1201" t="s">
        <v>93</v>
      </c>
      <c r="H1201">
        <v>20</v>
      </c>
      <c r="I1201" s="2">
        <v>66.73</v>
      </c>
      <c r="J1201" s="2">
        <v>33.020000000000003</v>
      </c>
      <c r="K1201" s="2">
        <v>1334.6</v>
      </c>
      <c r="L1201" s="2">
        <v>660.4</v>
      </c>
      <c r="M1201" s="2">
        <v>674.2</v>
      </c>
      <c r="N1201">
        <v>3</v>
      </c>
    </row>
    <row r="1202" spans="1:14" x14ac:dyDescent="0.3">
      <c r="A1202" s="1">
        <v>38037</v>
      </c>
      <c r="B1202">
        <v>10223</v>
      </c>
      <c r="C1202">
        <v>114</v>
      </c>
      <c r="D1202" t="s">
        <v>210</v>
      </c>
      <c r="E1202" t="s">
        <v>151</v>
      </c>
      <c r="F1202" t="s">
        <v>15</v>
      </c>
      <c r="G1202" t="s">
        <v>94</v>
      </c>
      <c r="H1202">
        <v>41</v>
      </c>
      <c r="I1202" s="2">
        <v>41.02</v>
      </c>
      <c r="J1202" s="2">
        <v>27.06</v>
      </c>
      <c r="K1202" s="2">
        <v>1681.82</v>
      </c>
      <c r="L1202" s="2">
        <v>1109.46</v>
      </c>
      <c r="M1202" s="2">
        <v>572.36</v>
      </c>
      <c r="N1202">
        <v>3</v>
      </c>
    </row>
    <row r="1203" spans="1:14" x14ac:dyDescent="0.3">
      <c r="A1203" s="1">
        <v>38037</v>
      </c>
      <c r="B1203">
        <v>10223</v>
      </c>
      <c r="C1203">
        <v>114</v>
      </c>
      <c r="D1203" t="s">
        <v>210</v>
      </c>
      <c r="E1203" t="s">
        <v>151</v>
      </c>
      <c r="F1203" t="s">
        <v>83</v>
      </c>
      <c r="G1203" t="s">
        <v>95</v>
      </c>
      <c r="H1203">
        <v>25</v>
      </c>
      <c r="I1203" s="2">
        <v>84.03</v>
      </c>
      <c r="J1203" s="2">
        <v>51.15</v>
      </c>
      <c r="K1203" s="2">
        <v>2100.75</v>
      </c>
      <c r="L1203" s="2">
        <v>1278.75</v>
      </c>
      <c r="M1203" s="2">
        <v>822</v>
      </c>
      <c r="N1203">
        <v>3</v>
      </c>
    </row>
    <row r="1204" spans="1:14" x14ac:dyDescent="0.3">
      <c r="A1204" s="1">
        <v>38037</v>
      </c>
      <c r="B1204">
        <v>10223</v>
      </c>
      <c r="C1204">
        <v>114</v>
      </c>
      <c r="D1204" t="s">
        <v>210</v>
      </c>
      <c r="E1204" t="s">
        <v>151</v>
      </c>
      <c r="F1204" t="s">
        <v>83</v>
      </c>
      <c r="G1204" t="s">
        <v>98</v>
      </c>
      <c r="H1204">
        <v>29</v>
      </c>
      <c r="I1204" s="2">
        <v>113.9</v>
      </c>
      <c r="J1204" s="2">
        <v>59.33</v>
      </c>
      <c r="K1204" s="2">
        <v>3303.1</v>
      </c>
      <c r="L1204" s="2">
        <v>1720.57</v>
      </c>
      <c r="M1204" s="2">
        <v>1582.53</v>
      </c>
      <c r="N1204">
        <v>3</v>
      </c>
    </row>
    <row r="1205" spans="1:14" x14ac:dyDescent="0.3">
      <c r="A1205" s="1">
        <v>38037</v>
      </c>
      <c r="B1205">
        <v>10223</v>
      </c>
      <c r="C1205">
        <v>114</v>
      </c>
      <c r="D1205" t="s">
        <v>210</v>
      </c>
      <c r="E1205" t="s">
        <v>151</v>
      </c>
      <c r="F1205" t="s">
        <v>83</v>
      </c>
      <c r="G1205" t="s">
        <v>99</v>
      </c>
      <c r="H1205">
        <v>26</v>
      </c>
      <c r="I1205" s="2">
        <v>79.2</v>
      </c>
      <c r="J1205" s="2">
        <v>54.4</v>
      </c>
      <c r="K1205" s="2">
        <v>2059.1999999999998</v>
      </c>
      <c r="L1205" s="2">
        <v>1414.4</v>
      </c>
      <c r="M1205" s="2">
        <v>644.79999999999995</v>
      </c>
      <c r="N1205">
        <v>3</v>
      </c>
    </row>
    <row r="1206" spans="1:14" x14ac:dyDescent="0.3">
      <c r="A1206" s="1">
        <v>38038</v>
      </c>
      <c r="B1206">
        <v>10224</v>
      </c>
      <c r="C1206">
        <v>171</v>
      </c>
      <c r="D1206" t="s">
        <v>175</v>
      </c>
      <c r="E1206" t="s">
        <v>144</v>
      </c>
      <c r="F1206" t="s">
        <v>102</v>
      </c>
      <c r="G1206" t="s">
        <v>106</v>
      </c>
      <c r="H1206">
        <v>43</v>
      </c>
      <c r="I1206" s="2">
        <v>141.58000000000001</v>
      </c>
      <c r="J1206" s="2">
        <v>66.27</v>
      </c>
      <c r="K1206" s="2">
        <v>6087.94</v>
      </c>
      <c r="L1206" s="2">
        <v>2849.61</v>
      </c>
      <c r="M1206" s="2">
        <v>3238.33</v>
      </c>
      <c r="N1206">
        <v>2</v>
      </c>
    </row>
    <row r="1207" spans="1:14" x14ac:dyDescent="0.3">
      <c r="A1207" s="1">
        <v>38038</v>
      </c>
      <c r="B1207">
        <v>10224</v>
      </c>
      <c r="C1207">
        <v>171</v>
      </c>
      <c r="D1207" t="s">
        <v>175</v>
      </c>
      <c r="E1207" t="s">
        <v>144</v>
      </c>
      <c r="F1207" t="s">
        <v>102</v>
      </c>
      <c r="G1207" t="s">
        <v>119</v>
      </c>
      <c r="H1207">
        <v>38</v>
      </c>
      <c r="I1207" s="2">
        <v>57.2</v>
      </c>
      <c r="J1207" s="2">
        <v>32.950000000000003</v>
      </c>
      <c r="K1207" s="2">
        <v>2173.6</v>
      </c>
      <c r="L1207" s="2">
        <v>1252.0999999999999</v>
      </c>
      <c r="M1207" s="2">
        <v>921.5</v>
      </c>
      <c r="N1207">
        <v>2</v>
      </c>
    </row>
    <row r="1208" spans="1:14" x14ac:dyDescent="0.3">
      <c r="A1208" s="1">
        <v>38038</v>
      </c>
      <c r="B1208">
        <v>10224</v>
      </c>
      <c r="C1208">
        <v>171</v>
      </c>
      <c r="D1208" t="s">
        <v>175</v>
      </c>
      <c r="E1208" t="s">
        <v>144</v>
      </c>
      <c r="F1208" t="s">
        <v>102</v>
      </c>
      <c r="G1208" t="s">
        <v>121</v>
      </c>
      <c r="H1208">
        <v>37</v>
      </c>
      <c r="I1208" s="2">
        <v>60.26</v>
      </c>
      <c r="J1208" s="2">
        <v>47.1</v>
      </c>
      <c r="K1208" s="2">
        <v>2229.62</v>
      </c>
      <c r="L1208" s="2">
        <v>1742.7</v>
      </c>
      <c r="M1208" s="2">
        <v>486.92</v>
      </c>
      <c r="N1208">
        <v>2</v>
      </c>
    </row>
    <row r="1209" spans="1:14" x14ac:dyDescent="0.3">
      <c r="A1209" s="1">
        <v>38038</v>
      </c>
      <c r="B1209">
        <v>10224</v>
      </c>
      <c r="C1209">
        <v>171</v>
      </c>
      <c r="D1209" t="s">
        <v>175</v>
      </c>
      <c r="E1209" t="s">
        <v>144</v>
      </c>
      <c r="F1209" t="s">
        <v>102</v>
      </c>
      <c r="G1209" t="s">
        <v>125</v>
      </c>
      <c r="H1209">
        <v>43</v>
      </c>
      <c r="I1209" s="2">
        <v>37.01</v>
      </c>
      <c r="J1209" s="2">
        <v>24.14</v>
      </c>
      <c r="K1209" s="2">
        <v>1591.43</v>
      </c>
      <c r="L1209" s="2">
        <v>1038.02</v>
      </c>
      <c r="M1209" s="2">
        <v>553.41</v>
      </c>
      <c r="N1209">
        <v>2</v>
      </c>
    </row>
    <row r="1210" spans="1:14" x14ac:dyDescent="0.3">
      <c r="A1210" s="1">
        <v>38038</v>
      </c>
      <c r="B1210">
        <v>10224</v>
      </c>
      <c r="C1210">
        <v>171</v>
      </c>
      <c r="D1210" t="s">
        <v>175</v>
      </c>
      <c r="E1210" t="s">
        <v>144</v>
      </c>
      <c r="F1210" t="s">
        <v>102</v>
      </c>
      <c r="G1210" t="s">
        <v>126</v>
      </c>
      <c r="H1210">
        <v>30</v>
      </c>
      <c r="I1210" s="2">
        <v>94.91</v>
      </c>
      <c r="J1210" s="2">
        <v>56.13</v>
      </c>
      <c r="K1210" s="2">
        <v>2847.3</v>
      </c>
      <c r="L1210" s="2">
        <v>1683.9</v>
      </c>
      <c r="M1210" s="2">
        <v>1163.4000000000001</v>
      </c>
      <c r="N1210">
        <v>2</v>
      </c>
    </row>
    <row r="1211" spans="1:14" x14ac:dyDescent="0.3">
      <c r="A1211" s="1">
        <v>38038</v>
      </c>
      <c r="B1211">
        <v>10224</v>
      </c>
      <c r="C1211">
        <v>171</v>
      </c>
      <c r="D1211" t="s">
        <v>175</v>
      </c>
      <c r="E1211" t="s">
        <v>144</v>
      </c>
      <c r="F1211" t="s">
        <v>102</v>
      </c>
      <c r="G1211" t="s">
        <v>127</v>
      </c>
      <c r="H1211">
        <v>50</v>
      </c>
      <c r="I1211" s="2">
        <v>81.36</v>
      </c>
      <c r="J1211" s="2">
        <v>34.17</v>
      </c>
      <c r="K1211" s="2">
        <v>4068</v>
      </c>
      <c r="L1211" s="2">
        <v>1708.5</v>
      </c>
      <c r="M1211" s="2">
        <v>2359.5</v>
      </c>
      <c r="N1211">
        <v>2</v>
      </c>
    </row>
    <row r="1212" spans="1:14" x14ac:dyDescent="0.3">
      <c r="A1212" s="1">
        <v>38039</v>
      </c>
      <c r="B1212">
        <v>10225</v>
      </c>
      <c r="C1212">
        <v>298</v>
      </c>
      <c r="D1212" t="s">
        <v>190</v>
      </c>
      <c r="E1212" t="s">
        <v>191</v>
      </c>
      <c r="F1212" t="s">
        <v>29</v>
      </c>
      <c r="G1212" t="s">
        <v>112</v>
      </c>
      <c r="H1212">
        <v>27</v>
      </c>
      <c r="I1212" s="2">
        <v>157.6</v>
      </c>
      <c r="J1212" s="2">
        <v>95.34</v>
      </c>
      <c r="K1212" s="2">
        <v>4255.2</v>
      </c>
      <c r="L1212" s="2">
        <v>2574.1799999999998</v>
      </c>
      <c r="M1212" s="2">
        <v>1681.02</v>
      </c>
      <c r="N1212">
        <v>1</v>
      </c>
    </row>
    <row r="1213" spans="1:14" x14ac:dyDescent="0.3">
      <c r="A1213" s="1">
        <v>38039</v>
      </c>
      <c r="B1213">
        <v>10225</v>
      </c>
      <c r="C1213">
        <v>298</v>
      </c>
      <c r="D1213" t="s">
        <v>190</v>
      </c>
      <c r="E1213" t="s">
        <v>191</v>
      </c>
      <c r="F1213" t="s">
        <v>29</v>
      </c>
      <c r="G1213" t="s">
        <v>113</v>
      </c>
      <c r="H1213">
        <v>25</v>
      </c>
      <c r="I1213" s="2">
        <v>101</v>
      </c>
      <c r="J1213" s="2">
        <v>75.16</v>
      </c>
      <c r="K1213" s="2">
        <v>2525</v>
      </c>
      <c r="L1213" s="2">
        <v>1879</v>
      </c>
      <c r="M1213" s="2">
        <v>646</v>
      </c>
      <c r="N1213">
        <v>1</v>
      </c>
    </row>
    <row r="1214" spans="1:14" x14ac:dyDescent="0.3">
      <c r="A1214" s="1">
        <v>38039</v>
      </c>
      <c r="B1214">
        <v>10225</v>
      </c>
      <c r="C1214">
        <v>298</v>
      </c>
      <c r="D1214" t="s">
        <v>190</v>
      </c>
      <c r="E1214" t="s">
        <v>191</v>
      </c>
      <c r="F1214" t="s">
        <v>29</v>
      </c>
      <c r="G1214" t="s">
        <v>114</v>
      </c>
      <c r="H1214">
        <v>37</v>
      </c>
      <c r="I1214" s="2">
        <v>64.64</v>
      </c>
      <c r="J1214" s="2">
        <v>31.92</v>
      </c>
      <c r="K1214" s="2">
        <v>2391.6799999999998</v>
      </c>
      <c r="L1214" s="2">
        <v>1181.04</v>
      </c>
      <c r="M1214" s="2">
        <v>1210.6400000000001</v>
      </c>
      <c r="N1214">
        <v>1</v>
      </c>
    </row>
    <row r="1215" spans="1:14" x14ac:dyDescent="0.3">
      <c r="A1215" s="1">
        <v>38039</v>
      </c>
      <c r="B1215">
        <v>10225</v>
      </c>
      <c r="C1215">
        <v>298</v>
      </c>
      <c r="D1215" t="s">
        <v>190</v>
      </c>
      <c r="E1215" t="s">
        <v>191</v>
      </c>
      <c r="F1215" t="s">
        <v>29</v>
      </c>
      <c r="G1215" t="s">
        <v>115</v>
      </c>
      <c r="H1215">
        <v>21</v>
      </c>
      <c r="I1215" s="2">
        <v>100.19</v>
      </c>
      <c r="J1215" s="2">
        <v>58.73</v>
      </c>
      <c r="K1215" s="2">
        <v>2103.9899999999998</v>
      </c>
      <c r="L1215" s="2">
        <v>1233.33</v>
      </c>
      <c r="M1215" s="2">
        <v>870.66</v>
      </c>
      <c r="N1215">
        <v>1</v>
      </c>
    </row>
    <row r="1216" spans="1:14" x14ac:dyDescent="0.3">
      <c r="A1216" s="1">
        <v>38039</v>
      </c>
      <c r="B1216">
        <v>10225</v>
      </c>
      <c r="C1216">
        <v>298</v>
      </c>
      <c r="D1216" t="s">
        <v>190</v>
      </c>
      <c r="E1216" t="s">
        <v>191</v>
      </c>
      <c r="F1216" t="s">
        <v>29</v>
      </c>
      <c r="G1216" t="s">
        <v>128</v>
      </c>
      <c r="H1216">
        <v>32</v>
      </c>
      <c r="I1216" s="2">
        <v>116.06</v>
      </c>
      <c r="J1216" s="2">
        <v>83.51</v>
      </c>
      <c r="K1216" s="2">
        <v>3713.92</v>
      </c>
      <c r="L1216" s="2">
        <v>2672.32</v>
      </c>
      <c r="M1216" s="2">
        <v>1041.5999999999999</v>
      </c>
      <c r="N1216">
        <v>1</v>
      </c>
    </row>
    <row r="1217" spans="1:14" x14ac:dyDescent="0.3">
      <c r="A1217" s="1">
        <v>38039</v>
      </c>
      <c r="B1217">
        <v>10225</v>
      </c>
      <c r="C1217">
        <v>298</v>
      </c>
      <c r="D1217" t="s">
        <v>190</v>
      </c>
      <c r="E1217" t="s">
        <v>191</v>
      </c>
      <c r="F1217" t="s">
        <v>29</v>
      </c>
      <c r="G1217" t="s">
        <v>116</v>
      </c>
      <c r="H1217">
        <v>47</v>
      </c>
      <c r="I1217" s="2">
        <v>71.61</v>
      </c>
      <c r="J1217" s="2">
        <v>53.9</v>
      </c>
      <c r="K1217" s="2">
        <v>3365.67</v>
      </c>
      <c r="L1217" s="2">
        <v>2533.3000000000002</v>
      </c>
      <c r="M1217" s="2">
        <v>832.37</v>
      </c>
      <c r="N1217">
        <v>1</v>
      </c>
    </row>
    <row r="1218" spans="1:14" x14ac:dyDescent="0.3">
      <c r="A1218" s="1">
        <v>38039</v>
      </c>
      <c r="B1218">
        <v>10225</v>
      </c>
      <c r="C1218">
        <v>298</v>
      </c>
      <c r="D1218" t="s">
        <v>190</v>
      </c>
      <c r="E1218" t="s">
        <v>191</v>
      </c>
      <c r="F1218" t="s">
        <v>29</v>
      </c>
      <c r="G1218" t="s">
        <v>53</v>
      </c>
      <c r="H1218">
        <v>43</v>
      </c>
      <c r="I1218" s="2">
        <v>162.57</v>
      </c>
      <c r="J1218" s="2">
        <v>77.900000000000006</v>
      </c>
      <c r="K1218" s="2">
        <v>6990.51</v>
      </c>
      <c r="L1218" s="2">
        <v>3349.7</v>
      </c>
      <c r="M1218" s="2">
        <v>3640.81</v>
      </c>
      <c r="N1218">
        <v>1</v>
      </c>
    </row>
    <row r="1219" spans="1:14" x14ac:dyDescent="0.3">
      <c r="A1219" s="1">
        <v>38039</v>
      </c>
      <c r="B1219">
        <v>10225</v>
      </c>
      <c r="C1219">
        <v>298</v>
      </c>
      <c r="D1219" t="s">
        <v>190</v>
      </c>
      <c r="E1219" t="s">
        <v>191</v>
      </c>
      <c r="F1219" t="s">
        <v>29</v>
      </c>
      <c r="G1219" t="s">
        <v>117</v>
      </c>
      <c r="H1219">
        <v>37</v>
      </c>
      <c r="I1219" s="2">
        <v>69.959999999999994</v>
      </c>
      <c r="J1219" s="2">
        <v>49.05</v>
      </c>
      <c r="K1219" s="2">
        <v>2588.52</v>
      </c>
      <c r="L1219" s="2">
        <v>1814.85</v>
      </c>
      <c r="M1219" s="2">
        <v>773.67</v>
      </c>
      <c r="N1219">
        <v>1</v>
      </c>
    </row>
    <row r="1220" spans="1:14" x14ac:dyDescent="0.3">
      <c r="A1220" s="1">
        <v>38039</v>
      </c>
      <c r="B1220">
        <v>10225</v>
      </c>
      <c r="C1220">
        <v>298</v>
      </c>
      <c r="D1220" t="s">
        <v>190</v>
      </c>
      <c r="E1220" t="s">
        <v>191</v>
      </c>
      <c r="F1220" t="s">
        <v>29</v>
      </c>
      <c r="G1220" t="s">
        <v>118</v>
      </c>
      <c r="H1220">
        <v>27</v>
      </c>
      <c r="I1220" s="2">
        <v>119.06</v>
      </c>
      <c r="J1220" s="2">
        <v>73.489999999999995</v>
      </c>
      <c r="K1220" s="2">
        <v>3214.62</v>
      </c>
      <c r="L1220" s="2">
        <v>1984.23</v>
      </c>
      <c r="M1220" s="2">
        <v>1230.3900000000001</v>
      </c>
      <c r="N1220">
        <v>1</v>
      </c>
    </row>
    <row r="1221" spans="1:14" x14ac:dyDescent="0.3">
      <c r="A1221" s="1">
        <v>38039</v>
      </c>
      <c r="B1221">
        <v>10225</v>
      </c>
      <c r="C1221">
        <v>298</v>
      </c>
      <c r="D1221" t="s">
        <v>190</v>
      </c>
      <c r="E1221" t="s">
        <v>191</v>
      </c>
      <c r="F1221" t="s">
        <v>29</v>
      </c>
      <c r="G1221" t="s">
        <v>120</v>
      </c>
      <c r="H1221">
        <v>35</v>
      </c>
      <c r="I1221" s="2">
        <v>135.41</v>
      </c>
      <c r="J1221" s="2">
        <v>69.930000000000007</v>
      </c>
      <c r="K1221" s="2">
        <v>4739.3500000000004</v>
      </c>
      <c r="L1221" s="2">
        <v>2447.5500000000002</v>
      </c>
      <c r="M1221" s="2">
        <v>2291.8000000000002</v>
      </c>
      <c r="N1221">
        <v>1</v>
      </c>
    </row>
    <row r="1222" spans="1:14" x14ac:dyDescent="0.3">
      <c r="A1222" s="1">
        <v>38039</v>
      </c>
      <c r="B1222">
        <v>10225</v>
      </c>
      <c r="C1222">
        <v>298</v>
      </c>
      <c r="D1222" t="s">
        <v>190</v>
      </c>
      <c r="E1222" t="s">
        <v>191</v>
      </c>
      <c r="F1222" t="s">
        <v>29</v>
      </c>
      <c r="G1222" t="s">
        <v>132</v>
      </c>
      <c r="H1222">
        <v>42</v>
      </c>
      <c r="I1222" s="2">
        <v>34.74</v>
      </c>
      <c r="J1222" s="2">
        <v>16.239999999999998</v>
      </c>
      <c r="K1222" s="2">
        <v>1459.08</v>
      </c>
      <c r="L1222" s="2">
        <v>682.08</v>
      </c>
      <c r="M1222" s="2">
        <v>777</v>
      </c>
      <c r="N1222">
        <v>1</v>
      </c>
    </row>
    <row r="1223" spans="1:14" x14ac:dyDescent="0.3">
      <c r="A1223" s="1">
        <v>38039</v>
      </c>
      <c r="B1223">
        <v>10225</v>
      </c>
      <c r="C1223">
        <v>298</v>
      </c>
      <c r="D1223" t="s">
        <v>190</v>
      </c>
      <c r="E1223" t="s">
        <v>191</v>
      </c>
      <c r="F1223" t="s">
        <v>29</v>
      </c>
      <c r="G1223" t="s">
        <v>122</v>
      </c>
      <c r="H1223">
        <v>24</v>
      </c>
      <c r="I1223" s="2">
        <v>51.43</v>
      </c>
      <c r="J1223" s="2">
        <v>38.58</v>
      </c>
      <c r="K1223" s="2">
        <v>1234.32</v>
      </c>
      <c r="L1223" s="2">
        <v>925.92</v>
      </c>
      <c r="M1223" s="2">
        <v>308.39999999999998</v>
      </c>
      <c r="N1223">
        <v>1</v>
      </c>
    </row>
    <row r="1224" spans="1:14" x14ac:dyDescent="0.3">
      <c r="A1224" s="1">
        <v>38039</v>
      </c>
      <c r="B1224">
        <v>10225</v>
      </c>
      <c r="C1224">
        <v>298</v>
      </c>
      <c r="D1224" t="s">
        <v>190</v>
      </c>
      <c r="E1224" t="s">
        <v>191</v>
      </c>
      <c r="F1224" t="s">
        <v>29</v>
      </c>
      <c r="G1224" t="s">
        <v>123</v>
      </c>
      <c r="H1224">
        <v>40</v>
      </c>
      <c r="I1224" s="2">
        <v>130.6</v>
      </c>
      <c r="J1224" s="2">
        <v>98.3</v>
      </c>
      <c r="K1224" s="2">
        <v>5224</v>
      </c>
      <c r="L1224" s="2">
        <v>3932</v>
      </c>
      <c r="M1224" s="2">
        <v>1292</v>
      </c>
      <c r="N1224">
        <v>1</v>
      </c>
    </row>
    <row r="1225" spans="1:14" x14ac:dyDescent="0.3">
      <c r="A1225" s="1">
        <v>38039</v>
      </c>
      <c r="B1225">
        <v>10225</v>
      </c>
      <c r="C1225">
        <v>298</v>
      </c>
      <c r="D1225" t="s">
        <v>190</v>
      </c>
      <c r="E1225" t="s">
        <v>191</v>
      </c>
      <c r="F1225" t="s">
        <v>29</v>
      </c>
      <c r="G1225" t="s">
        <v>124</v>
      </c>
      <c r="H1225">
        <v>46</v>
      </c>
      <c r="I1225" s="2">
        <v>77.61</v>
      </c>
      <c r="J1225" s="2">
        <v>32.33</v>
      </c>
      <c r="K1225" s="2">
        <v>3570.06</v>
      </c>
      <c r="L1225" s="2">
        <v>1487.18</v>
      </c>
      <c r="M1225" s="2">
        <v>2082.88</v>
      </c>
      <c r="N1225">
        <v>1</v>
      </c>
    </row>
    <row r="1226" spans="1:14" x14ac:dyDescent="0.3">
      <c r="A1226" s="1">
        <v>38043</v>
      </c>
      <c r="B1226">
        <v>10226</v>
      </c>
      <c r="C1226">
        <v>239</v>
      </c>
      <c r="D1226" t="s">
        <v>238</v>
      </c>
      <c r="E1226" t="s">
        <v>14</v>
      </c>
      <c r="F1226" t="s">
        <v>29</v>
      </c>
      <c r="G1226" t="s">
        <v>134</v>
      </c>
      <c r="H1226">
        <v>38</v>
      </c>
      <c r="I1226" s="2">
        <v>108.26</v>
      </c>
      <c r="J1226" s="2">
        <v>65.959999999999994</v>
      </c>
      <c r="K1226" s="2">
        <v>4113.88</v>
      </c>
      <c r="L1226" s="2">
        <v>2506.48</v>
      </c>
      <c r="M1226" s="2">
        <v>1607.4</v>
      </c>
      <c r="N1226">
        <v>2</v>
      </c>
    </row>
    <row r="1227" spans="1:14" x14ac:dyDescent="0.3">
      <c r="A1227" s="1">
        <v>38043</v>
      </c>
      <c r="B1227">
        <v>10226</v>
      </c>
      <c r="C1227">
        <v>239</v>
      </c>
      <c r="D1227" t="s">
        <v>238</v>
      </c>
      <c r="E1227" t="s">
        <v>14</v>
      </c>
      <c r="F1227" t="s">
        <v>29</v>
      </c>
      <c r="G1227" t="s">
        <v>129</v>
      </c>
      <c r="H1227">
        <v>24</v>
      </c>
      <c r="I1227" s="2">
        <v>129.44999999999999</v>
      </c>
      <c r="J1227" s="2">
        <v>93.89</v>
      </c>
      <c r="K1227" s="2">
        <v>3106.8</v>
      </c>
      <c r="L1227" s="2">
        <v>2253.36</v>
      </c>
      <c r="M1227" s="2">
        <v>853.44</v>
      </c>
      <c r="N1227">
        <v>2</v>
      </c>
    </row>
    <row r="1228" spans="1:14" x14ac:dyDescent="0.3">
      <c r="A1228" s="1">
        <v>38043</v>
      </c>
      <c r="B1228">
        <v>10226</v>
      </c>
      <c r="C1228">
        <v>239</v>
      </c>
      <c r="D1228" t="s">
        <v>238</v>
      </c>
      <c r="E1228" t="s">
        <v>14</v>
      </c>
      <c r="F1228" t="s">
        <v>29</v>
      </c>
      <c r="G1228" t="s">
        <v>130</v>
      </c>
      <c r="H1228">
        <v>24</v>
      </c>
      <c r="I1228" s="2">
        <v>125.4</v>
      </c>
      <c r="J1228" s="2">
        <v>56.76</v>
      </c>
      <c r="K1228" s="2">
        <v>3009.6</v>
      </c>
      <c r="L1228" s="2">
        <v>1362.24</v>
      </c>
      <c r="M1228" s="2">
        <v>1647.36</v>
      </c>
      <c r="N1228">
        <v>2</v>
      </c>
    </row>
    <row r="1229" spans="1:14" x14ac:dyDescent="0.3">
      <c r="A1229" s="1">
        <v>38043</v>
      </c>
      <c r="B1229">
        <v>10226</v>
      </c>
      <c r="C1229">
        <v>239</v>
      </c>
      <c r="D1229" t="s">
        <v>238</v>
      </c>
      <c r="E1229" t="s">
        <v>14</v>
      </c>
      <c r="F1229" t="s">
        <v>29</v>
      </c>
      <c r="G1229" t="s">
        <v>131</v>
      </c>
      <c r="H1229">
        <v>46</v>
      </c>
      <c r="I1229" s="2">
        <v>122.91</v>
      </c>
      <c r="J1229" s="2">
        <v>62.16</v>
      </c>
      <c r="K1229" s="2">
        <v>5653.86</v>
      </c>
      <c r="L1229" s="2">
        <v>2859.36</v>
      </c>
      <c r="M1229" s="2">
        <v>2794.5</v>
      </c>
      <c r="N1229">
        <v>2</v>
      </c>
    </row>
    <row r="1230" spans="1:14" x14ac:dyDescent="0.3">
      <c r="A1230" s="1">
        <v>38043</v>
      </c>
      <c r="B1230">
        <v>10226</v>
      </c>
      <c r="C1230">
        <v>239</v>
      </c>
      <c r="D1230" t="s">
        <v>238</v>
      </c>
      <c r="E1230" t="s">
        <v>14</v>
      </c>
      <c r="F1230" t="s">
        <v>29</v>
      </c>
      <c r="G1230" t="s">
        <v>136</v>
      </c>
      <c r="H1230">
        <v>21</v>
      </c>
      <c r="I1230" s="2">
        <v>65.41</v>
      </c>
      <c r="J1230" s="2">
        <v>49.24</v>
      </c>
      <c r="K1230" s="2">
        <v>1373.61</v>
      </c>
      <c r="L1230" s="2">
        <v>1034.04</v>
      </c>
      <c r="M1230" s="2">
        <v>339.57</v>
      </c>
      <c r="N1230">
        <v>2</v>
      </c>
    </row>
    <row r="1231" spans="1:14" x14ac:dyDescent="0.3">
      <c r="A1231" s="1">
        <v>38043</v>
      </c>
      <c r="B1231">
        <v>10226</v>
      </c>
      <c r="C1231">
        <v>239</v>
      </c>
      <c r="D1231" t="s">
        <v>238</v>
      </c>
      <c r="E1231" t="s">
        <v>14</v>
      </c>
      <c r="F1231" t="s">
        <v>29</v>
      </c>
      <c r="G1231" t="s">
        <v>137</v>
      </c>
      <c r="H1231">
        <v>36</v>
      </c>
      <c r="I1231" s="2">
        <v>47.79</v>
      </c>
      <c r="J1231" s="2">
        <v>29.18</v>
      </c>
      <c r="K1231" s="2">
        <v>1720.44</v>
      </c>
      <c r="L1231" s="2">
        <v>1050.48</v>
      </c>
      <c r="M1231" s="2">
        <v>669.96</v>
      </c>
      <c r="N1231">
        <v>2</v>
      </c>
    </row>
    <row r="1232" spans="1:14" x14ac:dyDescent="0.3">
      <c r="A1232" s="1">
        <v>38043</v>
      </c>
      <c r="B1232">
        <v>10226</v>
      </c>
      <c r="C1232">
        <v>239</v>
      </c>
      <c r="D1232" t="s">
        <v>238</v>
      </c>
      <c r="E1232" t="s">
        <v>14</v>
      </c>
      <c r="F1232" t="s">
        <v>29</v>
      </c>
      <c r="G1232" t="s">
        <v>141</v>
      </c>
      <c r="H1232">
        <v>48</v>
      </c>
      <c r="I1232" s="2">
        <v>95.3</v>
      </c>
      <c r="J1232" s="2">
        <v>62.11</v>
      </c>
      <c r="K1232" s="2">
        <v>4574.3999999999996</v>
      </c>
      <c r="L1232" s="2">
        <v>2981.28</v>
      </c>
      <c r="M1232" s="2">
        <v>1593.12</v>
      </c>
      <c r="N1232">
        <v>2</v>
      </c>
    </row>
    <row r="1233" spans="1:14" x14ac:dyDescent="0.3">
      <c r="A1233" s="1">
        <v>38048</v>
      </c>
      <c r="B1233">
        <v>10227</v>
      </c>
      <c r="C1233">
        <v>146</v>
      </c>
      <c r="D1233" t="s">
        <v>231</v>
      </c>
      <c r="E1233" t="s">
        <v>144</v>
      </c>
      <c r="F1233" t="s">
        <v>15</v>
      </c>
      <c r="G1233" t="s">
        <v>25</v>
      </c>
      <c r="H1233">
        <v>25</v>
      </c>
      <c r="I1233" s="2">
        <v>85.27</v>
      </c>
      <c r="J1233" s="2">
        <v>60.62</v>
      </c>
      <c r="K1233" s="2">
        <v>2131.75</v>
      </c>
      <c r="L1233" s="2">
        <v>1515.5</v>
      </c>
      <c r="M1233" s="2">
        <v>616.25</v>
      </c>
      <c r="N1233">
        <v>3</v>
      </c>
    </row>
    <row r="1234" spans="1:14" x14ac:dyDescent="0.3">
      <c r="A1234" s="1">
        <v>38048</v>
      </c>
      <c r="B1234">
        <v>10227</v>
      </c>
      <c r="C1234">
        <v>146</v>
      </c>
      <c r="D1234" t="s">
        <v>231</v>
      </c>
      <c r="E1234" t="s">
        <v>144</v>
      </c>
      <c r="F1234" t="s">
        <v>15</v>
      </c>
      <c r="G1234" t="s">
        <v>26</v>
      </c>
      <c r="H1234">
        <v>31</v>
      </c>
      <c r="I1234" s="2">
        <v>50.14</v>
      </c>
      <c r="J1234" s="2">
        <v>24.26</v>
      </c>
      <c r="K1234" s="2">
        <v>1554.34</v>
      </c>
      <c r="L1234" s="2">
        <v>752.06</v>
      </c>
      <c r="M1234" s="2">
        <v>802.28</v>
      </c>
      <c r="N1234">
        <v>3</v>
      </c>
    </row>
    <row r="1235" spans="1:14" x14ac:dyDescent="0.3">
      <c r="A1235" s="1">
        <v>38048</v>
      </c>
      <c r="B1235">
        <v>10227</v>
      </c>
      <c r="C1235">
        <v>146</v>
      </c>
      <c r="D1235" t="s">
        <v>231</v>
      </c>
      <c r="E1235" t="s">
        <v>144</v>
      </c>
      <c r="F1235" t="s">
        <v>15</v>
      </c>
      <c r="G1235" t="s">
        <v>16</v>
      </c>
      <c r="H1235">
        <v>26</v>
      </c>
      <c r="I1235" s="2">
        <v>136</v>
      </c>
      <c r="J1235" s="2">
        <v>86.7</v>
      </c>
      <c r="K1235" s="2">
        <v>3536</v>
      </c>
      <c r="L1235" s="2">
        <v>2254.1999999999998</v>
      </c>
      <c r="M1235" s="2">
        <v>1281.8</v>
      </c>
      <c r="N1235">
        <v>3</v>
      </c>
    </row>
    <row r="1236" spans="1:14" x14ac:dyDescent="0.3">
      <c r="A1236" s="1">
        <v>38048</v>
      </c>
      <c r="B1236">
        <v>10227</v>
      </c>
      <c r="C1236">
        <v>146</v>
      </c>
      <c r="D1236" t="s">
        <v>231</v>
      </c>
      <c r="E1236" t="s">
        <v>144</v>
      </c>
      <c r="F1236" t="s">
        <v>15</v>
      </c>
      <c r="G1236" t="s">
        <v>17</v>
      </c>
      <c r="H1236">
        <v>28</v>
      </c>
      <c r="I1236" s="2">
        <v>59.93</v>
      </c>
      <c r="J1236" s="2">
        <v>33.299999999999997</v>
      </c>
      <c r="K1236" s="2">
        <v>1678.04</v>
      </c>
      <c r="L1236" s="2">
        <v>932.4</v>
      </c>
      <c r="M1236" s="2">
        <v>745.64</v>
      </c>
      <c r="N1236">
        <v>3</v>
      </c>
    </row>
    <row r="1237" spans="1:14" x14ac:dyDescent="0.3">
      <c r="A1237" s="1">
        <v>38048</v>
      </c>
      <c r="B1237">
        <v>10227</v>
      </c>
      <c r="C1237">
        <v>146</v>
      </c>
      <c r="D1237" t="s">
        <v>231</v>
      </c>
      <c r="E1237" t="s">
        <v>144</v>
      </c>
      <c r="F1237" t="s">
        <v>15</v>
      </c>
      <c r="G1237" t="s">
        <v>21</v>
      </c>
      <c r="H1237">
        <v>46</v>
      </c>
      <c r="I1237" s="2">
        <v>118.23</v>
      </c>
      <c r="J1237" s="2">
        <v>58.48</v>
      </c>
      <c r="K1237" s="2">
        <v>5438.58</v>
      </c>
      <c r="L1237" s="2">
        <v>2690.08</v>
      </c>
      <c r="M1237" s="2">
        <v>2748.5</v>
      </c>
      <c r="N1237">
        <v>3</v>
      </c>
    </row>
    <row r="1238" spans="1:14" x14ac:dyDescent="0.3">
      <c r="A1238" s="1">
        <v>38048</v>
      </c>
      <c r="B1238">
        <v>10227</v>
      </c>
      <c r="C1238">
        <v>146</v>
      </c>
      <c r="D1238" t="s">
        <v>231</v>
      </c>
      <c r="E1238" t="s">
        <v>144</v>
      </c>
      <c r="F1238" t="s">
        <v>15</v>
      </c>
      <c r="G1238" t="s">
        <v>22</v>
      </c>
      <c r="H1238">
        <v>29</v>
      </c>
      <c r="I1238" s="2">
        <v>146.81</v>
      </c>
      <c r="J1238" s="2">
        <v>72.56</v>
      </c>
      <c r="K1238" s="2">
        <v>4257.49</v>
      </c>
      <c r="L1238" s="2">
        <v>2104.2399999999998</v>
      </c>
      <c r="M1238" s="2">
        <v>2153.25</v>
      </c>
      <c r="N1238">
        <v>3</v>
      </c>
    </row>
    <row r="1239" spans="1:14" x14ac:dyDescent="0.3">
      <c r="A1239" s="1">
        <v>38048</v>
      </c>
      <c r="B1239">
        <v>10227</v>
      </c>
      <c r="C1239">
        <v>146</v>
      </c>
      <c r="D1239" t="s">
        <v>231</v>
      </c>
      <c r="E1239" t="s">
        <v>144</v>
      </c>
      <c r="F1239" t="s">
        <v>15</v>
      </c>
      <c r="G1239" t="s">
        <v>39</v>
      </c>
      <c r="H1239">
        <v>33</v>
      </c>
      <c r="I1239" s="2">
        <v>99.21</v>
      </c>
      <c r="J1239" s="2">
        <v>57.54</v>
      </c>
      <c r="K1239" s="2">
        <v>3273.93</v>
      </c>
      <c r="L1239" s="2">
        <v>1898.82</v>
      </c>
      <c r="M1239" s="2">
        <v>1375.11</v>
      </c>
      <c r="N1239">
        <v>3</v>
      </c>
    </row>
    <row r="1240" spans="1:14" x14ac:dyDescent="0.3">
      <c r="A1240" s="1">
        <v>38048</v>
      </c>
      <c r="B1240">
        <v>10227</v>
      </c>
      <c r="C1240">
        <v>146</v>
      </c>
      <c r="D1240" t="s">
        <v>231</v>
      </c>
      <c r="E1240" t="s">
        <v>144</v>
      </c>
      <c r="F1240" t="s">
        <v>15</v>
      </c>
      <c r="G1240" t="s">
        <v>18</v>
      </c>
      <c r="H1240">
        <v>34</v>
      </c>
      <c r="I1240" s="2">
        <v>87.43</v>
      </c>
      <c r="J1240" s="2">
        <v>43.26</v>
      </c>
      <c r="K1240" s="2">
        <v>2972.62</v>
      </c>
      <c r="L1240" s="2">
        <v>1470.84</v>
      </c>
      <c r="M1240" s="2">
        <v>1501.78</v>
      </c>
      <c r="N1240">
        <v>3</v>
      </c>
    </row>
    <row r="1241" spans="1:14" x14ac:dyDescent="0.3">
      <c r="A1241" s="1">
        <v>38048</v>
      </c>
      <c r="B1241">
        <v>10227</v>
      </c>
      <c r="C1241">
        <v>146</v>
      </c>
      <c r="D1241" t="s">
        <v>231</v>
      </c>
      <c r="E1241" t="s">
        <v>144</v>
      </c>
      <c r="F1241" t="s">
        <v>29</v>
      </c>
      <c r="G1241" t="s">
        <v>135</v>
      </c>
      <c r="H1241">
        <v>37</v>
      </c>
      <c r="I1241" s="2">
        <v>70.56</v>
      </c>
      <c r="J1241" s="2">
        <v>34.21</v>
      </c>
      <c r="K1241" s="2">
        <v>2610.7199999999998</v>
      </c>
      <c r="L1241" s="2">
        <v>1265.77</v>
      </c>
      <c r="M1241" s="2">
        <v>1344.95</v>
      </c>
      <c r="N1241">
        <v>3</v>
      </c>
    </row>
    <row r="1242" spans="1:14" x14ac:dyDescent="0.3">
      <c r="A1242" s="1">
        <v>38048</v>
      </c>
      <c r="B1242">
        <v>10227</v>
      </c>
      <c r="C1242">
        <v>146</v>
      </c>
      <c r="D1242" t="s">
        <v>231</v>
      </c>
      <c r="E1242" t="s">
        <v>144</v>
      </c>
      <c r="F1242" t="s">
        <v>15</v>
      </c>
      <c r="G1242" t="s">
        <v>23</v>
      </c>
      <c r="H1242">
        <v>42</v>
      </c>
      <c r="I1242" s="2">
        <v>27.22</v>
      </c>
      <c r="J1242" s="2">
        <v>22.57</v>
      </c>
      <c r="K1242" s="2">
        <v>1143.24</v>
      </c>
      <c r="L1242" s="2">
        <v>947.94</v>
      </c>
      <c r="M1242" s="2">
        <v>195.3</v>
      </c>
      <c r="N1242">
        <v>3</v>
      </c>
    </row>
    <row r="1243" spans="1:14" x14ac:dyDescent="0.3">
      <c r="A1243" s="1">
        <v>38048</v>
      </c>
      <c r="B1243">
        <v>10227</v>
      </c>
      <c r="C1243">
        <v>146</v>
      </c>
      <c r="D1243" t="s">
        <v>231</v>
      </c>
      <c r="E1243" t="s">
        <v>144</v>
      </c>
      <c r="F1243" t="s">
        <v>15</v>
      </c>
      <c r="G1243" t="s">
        <v>24</v>
      </c>
      <c r="H1243">
        <v>24</v>
      </c>
      <c r="I1243" s="2">
        <v>39.42</v>
      </c>
      <c r="J1243" s="2">
        <v>20.61</v>
      </c>
      <c r="K1243" s="2">
        <v>946.08</v>
      </c>
      <c r="L1243" s="2">
        <v>494.64</v>
      </c>
      <c r="M1243" s="2">
        <v>451.44</v>
      </c>
      <c r="N1243">
        <v>3</v>
      </c>
    </row>
    <row r="1244" spans="1:14" x14ac:dyDescent="0.3">
      <c r="A1244" s="1">
        <v>38048</v>
      </c>
      <c r="B1244">
        <v>10227</v>
      </c>
      <c r="C1244">
        <v>146</v>
      </c>
      <c r="D1244" t="s">
        <v>231</v>
      </c>
      <c r="E1244" t="s">
        <v>144</v>
      </c>
      <c r="F1244" t="s">
        <v>29</v>
      </c>
      <c r="G1244" t="s">
        <v>138</v>
      </c>
      <c r="H1244">
        <v>47</v>
      </c>
      <c r="I1244" s="2">
        <v>84.51</v>
      </c>
      <c r="J1244" s="2">
        <v>47.25</v>
      </c>
      <c r="K1244" s="2">
        <v>3971.97</v>
      </c>
      <c r="L1244" s="2">
        <v>2220.75</v>
      </c>
      <c r="M1244" s="2">
        <v>1751.22</v>
      </c>
      <c r="N1244">
        <v>3</v>
      </c>
    </row>
    <row r="1245" spans="1:14" x14ac:dyDescent="0.3">
      <c r="A1245" s="1">
        <v>38048</v>
      </c>
      <c r="B1245">
        <v>10227</v>
      </c>
      <c r="C1245">
        <v>146</v>
      </c>
      <c r="D1245" t="s">
        <v>231</v>
      </c>
      <c r="E1245" t="s">
        <v>144</v>
      </c>
      <c r="F1245" t="s">
        <v>29</v>
      </c>
      <c r="G1245" t="s">
        <v>139</v>
      </c>
      <c r="H1245">
        <v>33</v>
      </c>
      <c r="I1245" s="2">
        <v>102.17</v>
      </c>
      <c r="J1245" s="2">
        <v>72.819999999999993</v>
      </c>
      <c r="K1245" s="2">
        <v>3371.61</v>
      </c>
      <c r="L1245" s="2">
        <v>2403.06</v>
      </c>
      <c r="M1245" s="2">
        <v>968.55</v>
      </c>
      <c r="N1245">
        <v>3</v>
      </c>
    </row>
    <row r="1246" spans="1:14" x14ac:dyDescent="0.3">
      <c r="A1246" s="1">
        <v>38048</v>
      </c>
      <c r="B1246">
        <v>10227</v>
      </c>
      <c r="C1246">
        <v>146</v>
      </c>
      <c r="D1246" t="s">
        <v>231</v>
      </c>
      <c r="E1246" t="s">
        <v>144</v>
      </c>
      <c r="F1246" t="s">
        <v>29</v>
      </c>
      <c r="G1246" t="s">
        <v>140</v>
      </c>
      <c r="H1246">
        <v>40</v>
      </c>
      <c r="I1246" s="2">
        <v>78.760000000000005</v>
      </c>
      <c r="J1246" s="2">
        <v>50.51</v>
      </c>
      <c r="K1246" s="2">
        <v>3150.4</v>
      </c>
      <c r="L1246" s="2">
        <v>2020.4</v>
      </c>
      <c r="M1246" s="2">
        <v>1130</v>
      </c>
      <c r="N1246">
        <v>3</v>
      </c>
    </row>
    <row r="1247" spans="1:14" x14ac:dyDescent="0.3">
      <c r="A1247" s="1">
        <v>38048</v>
      </c>
      <c r="B1247">
        <v>10227</v>
      </c>
      <c r="C1247">
        <v>146</v>
      </c>
      <c r="D1247" t="s">
        <v>231</v>
      </c>
      <c r="E1247" t="s">
        <v>144</v>
      </c>
      <c r="F1247" t="s">
        <v>15</v>
      </c>
      <c r="G1247" t="s">
        <v>19</v>
      </c>
      <c r="H1247">
        <v>27</v>
      </c>
      <c r="I1247" s="2">
        <v>34.880000000000003</v>
      </c>
      <c r="J1247" s="2">
        <v>21.75</v>
      </c>
      <c r="K1247" s="2">
        <v>941.76</v>
      </c>
      <c r="L1247" s="2">
        <v>587.25</v>
      </c>
      <c r="M1247" s="2">
        <v>354.51</v>
      </c>
      <c r="N1247">
        <v>3</v>
      </c>
    </row>
    <row r="1248" spans="1:14" x14ac:dyDescent="0.3">
      <c r="A1248" s="1">
        <v>38056</v>
      </c>
      <c r="B1248">
        <v>10228</v>
      </c>
      <c r="C1248">
        <v>173</v>
      </c>
      <c r="D1248" t="s">
        <v>239</v>
      </c>
      <c r="E1248" t="s">
        <v>14</v>
      </c>
      <c r="F1248" t="s">
        <v>29</v>
      </c>
      <c r="G1248" t="s">
        <v>30</v>
      </c>
      <c r="H1248">
        <v>29</v>
      </c>
      <c r="I1248" s="2">
        <v>214.3</v>
      </c>
      <c r="J1248" s="2">
        <v>98.58</v>
      </c>
      <c r="K1248" s="2">
        <v>6214.7</v>
      </c>
      <c r="L1248" s="2">
        <v>2858.82</v>
      </c>
      <c r="M1248" s="2">
        <v>3355.88</v>
      </c>
      <c r="N1248">
        <v>1</v>
      </c>
    </row>
    <row r="1249" spans="1:14" x14ac:dyDescent="0.3">
      <c r="A1249" s="1">
        <v>38056</v>
      </c>
      <c r="B1249">
        <v>10228</v>
      </c>
      <c r="C1249">
        <v>173</v>
      </c>
      <c r="D1249" t="s">
        <v>239</v>
      </c>
      <c r="E1249" t="s">
        <v>14</v>
      </c>
      <c r="F1249" t="s">
        <v>32</v>
      </c>
      <c r="G1249" t="s">
        <v>34</v>
      </c>
      <c r="H1249">
        <v>32</v>
      </c>
      <c r="I1249" s="2">
        <v>100.34</v>
      </c>
      <c r="J1249" s="2">
        <v>58.33</v>
      </c>
      <c r="K1249" s="2">
        <v>3210.88</v>
      </c>
      <c r="L1249" s="2">
        <v>1866.56</v>
      </c>
      <c r="M1249" s="2">
        <v>1344.32</v>
      </c>
      <c r="N1249">
        <v>1</v>
      </c>
    </row>
    <row r="1250" spans="1:14" x14ac:dyDescent="0.3">
      <c r="A1250" s="1">
        <v>38056</v>
      </c>
      <c r="B1250">
        <v>10228</v>
      </c>
      <c r="C1250">
        <v>173</v>
      </c>
      <c r="D1250" t="s">
        <v>239</v>
      </c>
      <c r="E1250" t="s">
        <v>14</v>
      </c>
      <c r="F1250" t="s">
        <v>15</v>
      </c>
      <c r="G1250" t="s">
        <v>36</v>
      </c>
      <c r="H1250">
        <v>24</v>
      </c>
      <c r="I1250" s="2">
        <v>101.31</v>
      </c>
      <c r="J1250" s="2">
        <v>60.78</v>
      </c>
      <c r="K1250" s="2">
        <v>2431.44</v>
      </c>
      <c r="L1250" s="2">
        <v>1458.72</v>
      </c>
      <c r="M1250" s="2">
        <v>972.72</v>
      </c>
      <c r="N1250">
        <v>1</v>
      </c>
    </row>
    <row r="1251" spans="1:14" x14ac:dyDescent="0.3">
      <c r="A1251" s="1">
        <v>38056</v>
      </c>
      <c r="B1251">
        <v>10228</v>
      </c>
      <c r="C1251">
        <v>173</v>
      </c>
      <c r="D1251" t="s">
        <v>239</v>
      </c>
      <c r="E1251" t="s">
        <v>14</v>
      </c>
      <c r="F1251" t="s">
        <v>15</v>
      </c>
      <c r="G1251" t="s">
        <v>37</v>
      </c>
      <c r="H1251">
        <v>45</v>
      </c>
      <c r="I1251" s="2">
        <v>57.46</v>
      </c>
      <c r="J1251" s="2">
        <v>34.35</v>
      </c>
      <c r="K1251" s="2">
        <v>2585.6999999999998</v>
      </c>
      <c r="L1251" s="2">
        <v>1545.75</v>
      </c>
      <c r="M1251" s="2">
        <v>1039.95</v>
      </c>
      <c r="N1251">
        <v>1</v>
      </c>
    </row>
    <row r="1252" spans="1:14" x14ac:dyDescent="0.3">
      <c r="A1252" s="1">
        <v>38056</v>
      </c>
      <c r="B1252">
        <v>10228</v>
      </c>
      <c r="C1252">
        <v>173</v>
      </c>
      <c r="D1252" t="s">
        <v>239</v>
      </c>
      <c r="E1252" t="s">
        <v>14</v>
      </c>
      <c r="F1252" t="s">
        <v>15</v>
      </c>
      <c r="G1252" t="s">
        <v>38</v>
      </c>
      <c r="H1252">
        <v>31</v>
      </c>
      <c r="I1252" s="2">
        <v>100.53</v>
      </c>
      <c r="J1252" s="2">
        <v>60.74</v>
      </c>
      <c r="K1252" s="2">
        <v>3116.43</v>
      </c>
      <c r="L1252" s="2">
        <v>1882.94</v>
      </c>
      <c r="M1252" s="2">
        <v>1233.49</v>
      </c>
      <c r="N1252">
        <v>1</v>
      </c>
    </row>
    <row r="1253" spans="1:14" x14ac:dyDescent="0.3">
      <c r="A1253" s="1">
        <v>38056</v>
      </c>
      <c r="B1253">
        <v>10228</v>
      </c>
      <c r="C1253">
        <v>173</v>
      </c>
      <c r="D1253" t="s">
        <v>239</v>
      </c>
      <c r="E1253" t="s">
        <v>14</v>
      </c>
      <c r="F1253" t="s">
        <v>15</v>
      </c>
      <c r="G1253" t="s">
        <v>43</v>
      </c>
      <c r="H1253">
        <v>33</v>
      </c>
      <c r="I1253" s="2">
        <v>84.73</v>
      </c>
      <c r="J1253" s="2">
        <v>57.46</v>
      </c>
      <c r="K1253" s="2">
        <v>2796.09</v>
      </c>
      <c r="L1253" s="2">
        <v>1896.18</v>
      </c>
      <c r="M1253" s="2">
        <v>899.91</v>
      </c>
      <c r="N1253">
        <v>1</v>
      </c>
    </row>
    <row r="1254" spans="1:14" x14ac:dyDescent="0.3">
      <c r="A1254" s="1">
        <v>38057</v>
      </c>
      <c r="B1254">
        <v>10229</v>
      </c>
      <c r="C1254">
        <v>124</v>
      </c>
      <c r="D1254" t="s">
        <v>206</v>
      </c>
      <c r="E1254" t="s">
        <v>14</v>
      </c>
      <c r="F1254" t="s">
        <v>29</v>
      </c>
      <c r="G1254" t="s">
        <v>31</v>
      </c>
      <c r="H1254">
        <v>50</v>
      </c>
      <c r="I1254" s="2">
        <v>138.88</v>
      </c>
      <c r="J1254" s="2">
        <v>103.42</v>
      </c>
      <c r="K1254" s="2">
        <v>6944</v>
      </c>
      <c r="L1254" s="2">
        <v>5171</v>
      </c>
      <c r="M1254" s="2">
        <v>1773</v>
      </c>
      <c r="N1254">
        <v>5</v>
      </c>
    </row>
    <row r="1255" spans="1:14" x14ac:dyDescent="0.3">
      <c r="A1255" s="1">
        <v>38057</v>
      </c>
      <c r="B1255">
        <v>10229</v>
      </c>
      <c r="C1255">
        <v>124</v>
      </c>
      <c r="D1255" t="s">
        <v>206</v>
      </c>
      <c r="E1255" t="s">
        <v>14</v>
      </c>
      <c r="F1255" t="s">
        <v>32</v>
      </c>
      <c r="G1255" t="s">
        <v>33</v>
      </c>
      <c r="H1255">
        <v>25</v>
      </c>
      <c r="I1255" s="2">
        <v>110.7</v>
      </c>
      <c r="J1255" s="2">
        <v>77.900000000000006</v>
      </c>
      <c r="K1255" s="2">
        <v>2767.5</v>
      </c>
      <c r="L1255" s="2">
        <v>1947.5</v>
      </c>
      <c r="M1255" s="2">
        <v>820</v>
      </c>
      <c r="N1255">
        <v>5</v>
      </c>
    </row>
    <row r="1256" spans="1:14" x14ac:dyDescent="0.3">
      <c r="A1256" s="1">
        <v>38057</v>
      </c>
      <c r="B1256">
        <v>10229</v>
      </c>
      <c r="C1256">
        <v>124</v>
      </c>
      <c r="D1256" t="s">
        <v>206</v>
      </c>
      <c r="E1256" t="s">
        <v>14</v>
      </c>
      <c r="F1256" t="s">
        <v>32</v>
      </c>
      <c r="G1256" t="s">
        <v>50</v>
      </c>
      <c r="H1256">
        <v>36</v>
      </c>
      <c r="I1256" s="2">
        <v>95.99</v>
      </c>
      <c r="J1256" s="2">
        <v>55.7</v>
      </c>
      <c r="K1256" s="2">
        <v>3455.64</v>
      </c>
      <c r="L1256" s="2">
        <v>2005.2</v>
      </c>
      <c r="M1256" s="2">
        <v>1450.44</v>
      </c>
      <c r="N1256">
        <v>5</v>
      </c>
    </row>
    <row r="1257" spans="1:14" x14ac:dyDescent="0.3">
      <c r="A1257" s="1">
        <v>38057</v>
      </c>
      <c r="B1257">
        <v>10229</v>
      </c>
      <c r="C1257">
        <v>124</v>
      </c>
      <c r="D1257" t="s">
        <v>206</v>
      </c>
      <c r="E1257" t="s">
        <v>14</v>
      </c>
      <c r="F1257" t="s">
        <v>32</v>
      </c>
      <c r="G1257" t="s">
        <v>52</v>
      </c>
      <c r="H1257">
        <v>26</v>
      </c>
      <c r="I1257" s="2">
        <v>104.32</v>
      </c>
      <c r="J1257" s="2">
        <v>74.86</v>
      </c>
      <c r="K1257" s="2">
        <v>2712.32</v>
      </c>
      <c r="L1257" s="2">
        <v>1946.36</v>
      </c>
      <c r="M1257" s="2">
        <v>765.96</v>
      </c>
      <c r="N1257">
        <v>5</v>
      </c>
    </row>
    <row r="1258" spans="1:14" x14ac:dyDescent="0.3">
      <c r="A1258" s="1">
        <v>38057</v>
      </c>
      <c r="B1258">
        <v>10229</v>
      </c>
      <c r="C1258">
        <v>124</v>
      </c>
      <c r="D1258" t="s">
        <v>206</v>
      </c>
      <c r="E1258" t="s">
        <v>14</v>
      </c>
      <c r="F1258" t="s">
        <v>32</v>
      </c>
      <c r="G1258" t="s">
        <v>35</v>
      </c>
      <c r="H1258">
        <v>28</v>
      </c>
      <c r="I1258" s="2">
        <v>53.48</v>
      </c>
      <c r="J1258" s="2">
        <v>24.92</v>
      </c>
      <c r="K1258" s="2">
        <v>1497.44</v>
      </c>
      <c r="L1258" s="2">
        <v>697.76</v>
      </c>
      <c r="M1258" s="2">
        <v>799.68</v>
      </c>
      <c r="N1258">
        <v>5</v>
      </c>
    </row>
    <row r="1259" spans="1:14" x14ac:dyDescent="0.3">
      <c r="A1259" s="1">
        <v>38057</v>
      </c>
      <c r="B1259">
        <v>10229</v>
      </c>
      <c r="C1259">
        <v>124</v>
      </c>
      <c r="D1259" t="s">
        <v>206</v>
      </c>
      <c r="E1259" t="s">
        <v>14</v>
      </c>
      <c r="F1259" t="s">
        <v>29</v>
      </c>
      <c r="G1259" t="s">
        <v>53</v>
      </c>
      <c r="H1259">
        <v>22</v>
      </c>
      <c r="I1259" s="2">
        <v>157.49</v>
      </c>
      <c r="J1259" s="2">
        <v>77.900000000000006</v>
      </c>
      <c r="K1259" s="2">
        <v>3464.78</v>
      </c>
      <c r="L1259" s="2">
        <v>1713.8</v>
      </c>
      <c r="M1259" s="2">
        <v>1750.98</v>
      </c>
      <c r="N1259">
        <v>5</v>
      </c>
    </row>
    <row r="1260" spans="1:14" x14ac:dyDescent="0.3">
      <c r="A1260" s="1">
        <v>38057</v>
      </c>
      <c r="B1260">
        <v>10229</v>
      </c>
      <c r="C1260">
        <v>124</v>
      </c>
      <c r="D1260" t="s">
        <v>206</v>
      </c>
      <c r="E1260" t="s">
        <v>14</v>
      </c>
      <c r="F1260" t="s">
        <v>32</v>
      </c>
      <c r="G1260" t="s">
        <v>40</v>
      </c>
      <c r="H1260">
        <v>41</v>
      </c>
      <c r="I1260" s="2">
        <v>119.87</v>
      </c>
      <c r="J1260" s="2">
        <v>84.76</v>
      </c>
      <c r="K1260" s="2">
        <v>4914.67</v>
      </c>
      <c r="L1260" s="2">
        <v>3475.16</v>
      </c>
      <c r="M1260" s="2">
        <v>1439.51</v>
      </c>
      <c r="N1260">
        <v>5</v>
      </c>
    </row>
    <row r="1261" spans="1:14" x14ac:dyDescent="0.3">
      <c r="A1261" s="1">
        <v>38057</v>
      </c>
      <c r="B1261">
        <v>10229</v>
      </c>
      <c r="C1261">
        <v>124</v>
      </c>
      <c r="D1261" t="s">
        <v>206</v>
      </c>
      <c r="E1261" t="s">
        <v>14</v>
      </c>
      <c r="F1261" t="s">
        <v>15</v>
      </c>
      <c r="G1261" t="s">
        <v>41</v>
      </c>
      <c r="H1261">
        <v>39</v>
      </c>
      <c r="I1261" s="2">
        <v>43.77</v>
      </c>
      <c r="J1261" s="2">
        <v>23.14</v>
      </c>
      <c r="K1261" s="2">
        <v>1707.03</v>
      </c>
      <c r="L1261" s="2">
        <v>902.46</v>
      </c>
      <c r="M1261" s="2">
        <v>804.57</v>
      </c>
      <c r="N1261">
        <v>5</v>
      </c>
    </row>
    <row r="1262" spans="1:14" x14ac:dyDescent="0.3">
      <c r="A1262" s="1">
        <v>38057</v>
      </c>
      <c r="B1262">
        <v>10229</v>
      </c>
      <c r="C1262">
        <v>124</v>
      </c>
      <c r="D1262" t="s">
        <v>206</v>
      </c>
      <c r="E1262" t="s">
        <v>14</v>
      </c>
      <c r="F1262" t="s">
        <v>32</v>
      </c>
      <c r="G1262" t="s">
        <v>42</v>
      </c>
      <c r="H1262">
        <v>48</v>
      </c>
      <c r="I1262" s="2">
        <v>115.01</v>
      </c>
      <c r="J1262" s="2">
        <v>61.34</v>
      </c>
      <c r="K1262" s="2">
        <v>5520.48</v>
      </c>
      <c r="L1262" s="2">
        <v>2944.32</v>
      </c>
      <c r="M1262" s="2">
        <v>2576.16</v>
      </c>
      <c r="N1262">
        <v>5</v>
      </c>
    </row>
    <row r="1263" spans="1:14" x14ac:dyDescent="0.3">
      <c r="A1263" s="1">
        <v>38057</v>
      </c>
      <c r="B1263">
        <v>10229</v>
      </c>
      <c r="C1263">
        <v>124</v>
      </c>
      <c r="D1263" t="s">
        <v>206</v>
      </c>
      <c r="E1263" t="s">
        <v>14</v>
      </c>
      <c r="F1263" t="s">
        <v>29</v>
      </c>
      <c r="G1263" t="s">
        <v>56</v>
      </c>
      <c r="H1263">
        <v>33</v>
      </c>
      <c r="I1263" s="2">
        <v>34.65</v>
      </c>
      <c r="J1263" s="2">
        <v>15.91</v>
      </c>
      <c r="K1263" s="2">
        <v>1143.45</v>
      </c>
      <c r="L1263" s="2">
        <v>525.03</v>
      </c>
      <c r="M1263" s="2">
        <v>618.41999999999996</v>
      </c>
      <c r="N1263">
        <v>5</v>
      </c>
    </row>
    <row r="1264" spans="1:14" x14ac:dyDescent="0.3">
      <c r="A1264" s="1">
        <v>38057</v>
      </c>
      <c r="B1264">
        <v>10229</v>
      </c>
      <c r="C1264">
        <v>124</v>
      </c>
      <c r="D1264" t="s">
        <v>206</v>
      </c>
      <c r="E1264" t="s">
        <v>14</v>
      </c>
      <c r="F1264" t="s">
        <v>32</v>
      </c>
      <c r="G1264" t="s">
        <v>44</v>
      </c>
      <c r="H1264">
        <v>25</v>
      </c>
      <c r="I1264" s="2">
        <v>78.97</v>
      </c>
      <c r="J1264" s="2">
        <v>53.93</v>
      </c>
      <c r="K1264" s="2">
        <v>1974.25</v>
      </c>
      <c r="L1264" s="2">
        <v>1348.25</v>
      </c>
      <c r="M1264" s="2">
        <v>626</v>
      </c>
      <c r="N1264">
        <v>5</v>
      </c>
    </row>
    <row r="1265" spans="1:14" x14ac:dyDescent="0.3">
      <c r="A1265" s="1">
        <v>38057</v>
      </c>
      <c r="B1265">
        <v>10229</v>
      </c>
      <c r="C1265">
        <v>124</v>
      </c>
      <c r="D1265" t="s">
        <v>206</v>
      </c>
      <c r="E1265" t="s">
        <v>14</v>
      </c>
      <c r="F1265" t="s">
        <v>32</v>
      </c>
      <c r="G1265" t="s">
        <v>58</v>
      </c>
      <c r="H1265">
        <v>23</v>
      </c>
      <c r="I1265" s="2">
        <v>49.78</v>
      </c>
      <c r="J1265" s="2">
        <v>25.98</v>
      </c>
      <c r="K1265" s="2">
        <v>1144.94</v>
      </c>
      <c r="L1265" s="2">
        <v>597.54</v>
      </c>
      <c r="M1265" s="2">
        <v>547.4</v>
      </c>
      <c r="N1265">
        <v>5</v>
      </c>
    </row>
    <row r="1266" spans="1:14" x14ac:dyDescent="0.3">
      <c r="A1266" s="1">
        <v>38057</v>
      </c>
      <c r="B1266">
        <v>10229</v>
      </c>
      <c r="C1266">
        <v>124</v>
      </c>
      <c r="D1266" t="s">
        <v>206</v>
      </c>
      <c r="E1266" t="s">
        <v>14</v>
      </c>
      <c r="F1266" t="s">
        <v>32</v>
      </c>
      <c r="G1266" t="s">
        <v>45</v>
      </c>
      <c r="H1266">
        <v>30</v>
      </c>
      <c r="I1266" s="2">
        <v>52.36</v>
      </c>
      <c r="J1266" s="2">
        <v>33.61</v>
      </c>
      <c r="K1266" s="2">
        <v>1570.8</v>
      </c>
      <c r="L1266" s="2">
        <v>1008.3</v>
      </c>
      <c r="M1266" s="2">
        <v>562.5</v>
      </c>
      <c r="N1266">
        <v>5</v>
      </c>
    </row>
    <row r="1267" spans="1:14" x14ac:dyDescent="0.3">
      <c r="A1267" s="1">
        <v>38057</v>
      </c>
      <c r="B1267">
        <v>10229</v>
      </c>
      <c r="C1267">
        <v>124</v>
      </c>
      <c r="D1267" t="s">
        <v>206</v>
      </c>
      <c r="E1267" t="s">
        <v>14</v>
      </c>
      <c r="F1267" t="s">
        <v>29</v>
      </c>
      <c r="G1267" t="s">
        <v>46</v>
      </c>
      <c r="H1267">
        <v>50</v>
      </c>
      <c r="I1267" s="2">
        <v>91.04</v>
      </c>
      <c r="J1267" s="2">
        <v>46.53</v>
      </c>
      <c r="K1267" s="2">
        <v>4552</v>
      </c>
      <c r="L1267" s="2">
        <v>2326.5</v>
      </c>
      <c r="M1267" s="2">
        <v>2225.5</v>
      </c>
      <c r="N1267">
        <v>5</v>
      </c>
    </row>
    <row r="1268" spans="1:14" x14ac:dyDescent="0.3">
      <c r="A1268" s="1">
        <v>38061</v>
      </c>
      <c r="B1268">
        <v>10230</v>
      </c>
      <c r="C1268">
        <v>128</v>
      </c>
      <c r="D1268" t="s">
        <v>199</v>
      </c>
      <c r="E1268" t="s">
        <v>20</v>
      </c>
      <c r="F1268" t="s">
        <v>29</v>
      </c>
      <c r="G1268" t="s">
        <v>49</v>
      </c>
      <c r="H1268">
        <v>43</v>
      </c>
      <c r="I1268" s="2">
        <v>128.41999999999999</v>
      </c>
      <c r="J1268" s="2">
        <v>89.14</v>
      </c>
      <c r="K1268" s="2">
        <v>5522.06</v>
      </c>
      <c r="L1268" s="2">
        <v>3833.02</v>
      </c>
      <c r="M1268" s="2">
        <v>1689.04</v>
      </c>
      <c r="N1268">
        <v>3</v>
      </c>
    </row>
    <row r="1269" spans="1:14" x14ac:dyDescent="0.3">
      <c r="A1269" s="1">
        <v>38061</v>
      </c>
      <c r="B1269">
        <v>10230</v>
      </c>
      <c r="C1269">
        <v>128</v>
      </c>
      <c r="D1269" t="s">
        <v>199</v>
      </c>
      <c r="E1269" t="s">
        <v>20</v>
      </c>
      <c r="F1269" t="s">
        <v>29</v>
      </c>
      <c r="G1269" t="s">
        <v>51</v>
      </c>
      <c r="H1269">
        <v>49</v>
      </c>
      <c r="I1269" s="2">
        <v>153.91</v>
      </c>
      <c r="J1269" s="2">
        <v>101.51</v>
      </c>
      <c r="K1269" s="2">
        <v>7541.59</v>
      </c>
      <c r="L1269" s="2">
        <v>4973.99</v>
      </c>
      <c r="M1269" s="2">
        <v>2567.6</v>
      </c>
      <c r="N1269">
        <v>3</v>
      </c>
    </row>
    <row r="1270" spans="1:14" x14ac:dyDescent="0.3">
      <c r="A1270" s="1">
        <v>38061</v>
      </c>
      <c r="B1270">
        <v>10230</v>
      </c>
      <c r="C1270">
        <v>128</v>
      </c>
      <c r="D1270" t="s">
        <v>199</v>
      </c>
      <c r="E1270" t="s">
        <v>20</v>
      </c>
      <c r="F1270" t="s">
        <v>29</v>
      </c>
      <c r="G1270" t="s">
        <v>54</v>
      </c>
      <c r="H1270">
        <v>42</v>
      </c>
      <c r="I1270" s="2">
        <v>142.18</v>
      </c>
      <c r="J1270" s="2">
        <v>91.92</v>
      </c>
      <c r="K1270" s="2">
        <v>5971.56</v>
      </c>
      <c r="L1270" s="2">
        <v>3860.64</v>
      </c>
      <c r="M1270" s="2">
        <v>2110.92</v>
      </c>
      <c r="N1270">
        <v>3</v>
      </c>
    </row>
    <row r="1271" spans="1:14" x14ac:dyDescent="0.3">
      <c r="A1271" s="1">
        <v>38061</v>
      </c>
      <c r="B1271">
        <v>10230</v>
      </c>
      <c r="C1271">
        <v>128</v>
      </c>
      <c r="D1271" t="s">
        <v>199</v>
      </c>
      <c r="E1271" t="s">
        <v>20</v>
      </c>
      <c r="F1271" t="s">
        <v>29</v>
      </c>
      <c r="G1271" t="s">
        <v>55</v>
      </c>
      <c r="H1271">
        <v>36</v>
      </c>
      <c r="I1271" s="2">
        <v>47.4</v>
      </c>
      <c r="J1271" s="2">
        <v>32.369999999999997</v>
      </c>
      <c r="K1271" s="2">
        <v>1706.4</v>
      </c>
      <c r="L1271" s="2">
        <v>1165.32</v>
      </c>
      <c r="M1271" s="2">
        <v>541.08000000000004</v>
      </c>
      <c r="N1271">
        <v>3</v>
      </c>
    </row>
    <row r="1272" spans="1:14" x14ac:dyDescent="0.3">
      <c r="A1272" s="1">
        <v>38061</v>
      </c>
      <c r="B1272">
        <v>10230</v>
      </c>
      <c r="C1272">
        <v>128</v>
      </c>
      <c r="D1272" t="s">
        <v>199</v>
      </c>
      <c r="E1272" t="s">
        <v>20</v>
      </c>
      <c r="F1272" t="s">
        <v>29</v>
      </c>
      <c r="G1272" t="s">
        <v>57</v>
      </c>
      <c r="H1272">
        <v>45</v>
      </c>
      <c r="I1272" s="2">
        <v>99.36</v>
      </c>
      <c r="J1272" s="2">
        <v>69.78</v>
      </c>
      <c r="K1272" s="2">
        <v>4471.2</v>
      </c>
      <c r="L1272" s="2">
        <v>3140.1</v>
      </c>
      <c r="M1272" s="2">
        <v>1331.1</v>
      </c>
      <c r="N1272">
        <v>3</v>
      </c>
    </row>
    <row r="1273" spans="1:14" x14ac:dyDescent="0.3">
      <c r="A1273" s="1">
        <v>38061</v>
      </c>
      <c r="B1273">
        <v>10230</v>
      </c>
      <c r="C1273">
        <v>128</v>
      </c>
      <c r="D1273" t="s">
        <v>199</v>
      </c>
      <c r="E1273" t="s">
        <v>20</v>
      </c>
      <c r="F1273" t="s">
        <v>59</v>
      </c>
      <c r="G1273" t="s">
        <v>60</v>
      </c>
      <c r="H1273">
        <v>46</v>
      </c>
      <c r="I1273" s="2">
        <v>59.03</v>
      </c>
      <c r="J1273" s="2">
        <v>26.72</v>
      </c>
      <c r="K1273" s="2">
        <v>2715.38</v>
      </c>
      <c r="L1273" s="2">
        <v>1229.1199999999999</v>
      </c>
      <c r="M1273" s="2">
        <v>1486.26</v>
      </c>
      <c r="N1273">
        <v>3</v>
      </c>
    </row>
    <row r="1274" spans="1:14" x14ac:dyDescent="0.3">
      <c r="A1274" s="1">
        <v>38061</v>
      </c>
      <c r="B1274">
        <v>10230</v>
      </c>
      <c r="C1274">
        <v>128</v>
      </c>
      <c r="D1274" t="s">
        <v>199</v>
      </c>
      <c r="E1274" t="s">
        <v>20</v>
      </c>
      <c r="F1274" t="s">
        <v>32</v>
      </c>
      <c r="G1274" t="s">
        <v>61</v>
      </c>
      <c r="H1274">
        <v>34</v>
      </c>
      <c r="I1274" s="2">
        <v>100.7</v>
      </c>
      <c r="J1274" s="2">
        <v>68.290000000000006</v>
      </c>
      <c r="K1274" s="2">
        <v>3423.8</v>
      </c>
      <c r="L1274" s="2">
        <v>2321.86</v>
      </c>
      <c r="M1274" s="2">
        <v>1101.94</v>
      </c>
      <c r="N1274">
        <v>3</v>
      </c>
    </row>
    <row r="1275" spans="1:14" x14ac:dyDescent="0.3">
      <c r="A1275" s="1">
        <v>38061</v>
      </c>
      <c r="B1275">
        <v>10230</v>
      </c>
      <c r="C1275">
        <v>128</v>
      </c>
      <c r="D1275" t="s">
        <v>199</v>
      </c>
      <c r="E1275" t="s">
        <v>20</v>
      </c>
      <c r="F1275" t="s">
        <v>59</v>
      </c>
      <c r="G1275" t="s">
        <v>62</v>
      </c>
      <c r="H1275">
        <v>43</v>
      </c>
      <c r="I1275" s="2">
        <v>57.41</v>
      </c>
      <c r="J1275" s="2">
        <v>37.49</v>
      </c>
      <c r="K1275" s="2">
        <v>2468.63</v>
      </c>
      <c r="L1275" s="2">
        <v>1612.07</v>
      </c>
      <c r="M1275" s="2">
        <v>856.56</v>
      </c>
      <c r="N1275">
        <v>3</v>
      </c>
    </row>
    <row r="1276" spans="1:14" x14ac:dyDescent="0.3">
      <c r="A1276" s="1">
        <v>38065</v>
      </c>
      <c r="B1276">
        <v>10231</v>
      </c>
      <c r="C1276">
        <v>344</v>
      </c>
      <c r="D1276" t="s">
        <v>174</v>
      </c>
      <c r="E1276" t="s">
        <v>48</v>
      </c>
      <c r="F1276" t="s">
        <v>29</v>
      </c>
      <c r="G1276" t="s">
        <v>66</v>
      </c>
      <c r="H1276">
        <v>42</v>
      </c>
      <c r="I1276" s="2">
        <v>193.25</v>
      </c>
      <c r="J1276" s="2">
        <v>95.59</v>
      </c>
      <c r="K1276" s="2">
        <v>8116.5</v>
      </c>
      <c r="L1276" s="2">
        <v>4014.78</v>
      </c>
      <c r="M1276" s="2">
        <v>4101.72</v>
      </c>
      <c r="N1276">
        <v>2</v>
      </c>
    </row>
    <row r="1277" spans="1:14" x14ac:dyDescent="0.3">
      <c r="A1277" s="1">
        <v>38065</v>
      </c>
      <c r="B1277">
        <v>10231</v>
      </c>
      <c r="C1277">
        <v>344</v>
      </c>
      <c r="D1277" t="s">
        <v>174</v>
      </c>
      <c r="E1277" t="s">
        <v>48</v>
      </c>
      <c r="F1277" t="s">
        <v>29</v>
      </c>
      <c r="G1277" t="s">
        <v>67</v>
      </c>
      <c r="H1277">
        <v>49</v>
      </c>
      <c r="I1277" s="2">
        <v>147.07</v>
      </c>
      <c r="J1277" s="2">
        <v>83.05</v>
      </c>
      <c r="K1277" s="2">
        <v>7206.43</v>
      </c>
      <c r="L1277" s="2">
        <v>4069.45</v>
      </c>
      <c r="M1277" s="2">
        <v>3136.98</v>
      </c>
      <c r="N1277">
        <v>2</v>
      </c>
    </row>
    <row r="1278" spans="1:14" x14ac:dyDescent="0.3">
      <c r="A1278" s="1">
        <v>38066</v>
      </c>
      <c r="B1278">
        <v>10232</v>
      </c>
      <c r="C1278">
        <v>240</v>
      </c>
      <c r="D1278" t="s">
        <v>240</v>
      </c>
      <c r="E1278" t="s">
        <v>133</v>
      </c>
      <c r="F1278" t="s">
        <v>15</v>
      </c>
      <c r="G1278" t="s">
        <v>68</v>
      </c>
      <c r="H1278">
        <v>22</v>
      </c>
      <c r="I1278" s="2">
        <v>133.86000000000001</v>
      </c>
      <c r="J1278" s="2">
        <v>68.3</v>
      </c>
      <c r="K1278" s="2">
        <v>2944.92</v>
      </c>
      <c r="L1278" s="2">
        <v>1502.6</v>
      </c>
      <c r="M1278" s="2">
        <v>1442.32</v>
      </c>
      <c r="N1278">
        <v>1</v>
      </c>
    </row>
    <row r="1279" spans="1:14" x14ac:dyDescent="0.3">
      <c r="A1279" s="1">
        <v>38066</v>
      </c>
      <c r="B1279">
        <v>10232</v>
      </c>
      <c r="C1279">
        <v>240</v>
      </c>
      <c r="D1279" t="s">
        <v>240</v>
      </c>
      <c r="E1279" t="s">
        <v>133</v>
      </c>
      <c r="F1279" t="s">
        <v>59</v>
      </c>
      <c r="G1279" t="s">
        <v>69</v>
      </c>
      <c r="H1279">
        <v>48</v>
      </c>
      <c r="I1279" s="2">
        <v>97.81</v>
      </c>
      <c r="J1279" s="2">
        <v>67.56</v>
      </c>
      <c r="K1279" s="2">
        <v>4694.88</v>
      </c>
      <c r="L1279" s="2">
        <v>3242.88</v>
      </c>
      <c r="M1279" s="2">
        <v>1452</v>
      </c>
      <c r="N1279">
        <v>1</v>
      </c>
    </row>
    <row r="1280" spans="1:14" x14ac:dyDescent="0.3">
      <c r="A1280" s="1">
        <v>38066</v>
      </c>
      <c r="B1280">
        <v>10232</v>
      </c>
      <c r="C1280">
        <v>240</v>
      </c>
      <c r="D1280" t="s">
        <v>240</v>
      </c>
      <c r="E1280" t="s">
        <v>133</v>
      </c>
      <c r="F1280" t="s">
        <v>15</v>
      </c>
      <c r="G1280" t="s">
        <v>70</v>
      </c>
      <c r="H1280">
        <v>23</v>
      </c>
      <c r="I1280" s="2">
        <v>78.12</v>
      </c>
      <c r="J1280" s="2">
        <v>52.66</v>
      </c>
      <c r="K1280" s="2">
        <v>1796.76</v>
      </c>
      <c r="L1280" s="2">
        <v>1211.18</v>
      </c>
      <c r="M1280" s="2">
        <v>585.58000000000004</v>
      </c>
      <c r="N1280">
        <v>1</v>
      </c>
    </row>
    <row r="1281" spans="1:14" x14ac:dyDescent="0.3">
      <c r="A1281" s="1">
        <v>38066</v>
      </c>
      <c r="B1281">
        <v>10232</v>
      </c>
      <c r="C1281">
        <v>240</v>
      </c>
      <c r="D1281" t="s">
        <v>240</v>
      </c>
      <c r="E1281" t="s">
        <v>133</v>
      </c>
      <c r="F1281" t="s">
        <v>71</v>
      </c>
      <c r="G1281" t="s">
        <v>72</v>
      </c>
      <c r="H1281">
        <v>46</v>
      </c>
      <c r="I1281" s="2">
        <v>113.06</v>
      </c>
      <c r="J1281" s="2">
        <v>82.34</v>
      </c>
      <c r="K1281" s="2">
        <v>5200.76</v>
      </c>
      <c r="L1281" s="2">
        <v>3787.64</v>
      </c>
      <c r="M1281" s="2">
        <v>1413.12</v>
      </c>
      <c r="N1281">
        <v>1</v>
      </c>
    </row>
    <row r="1282" spans="1:14" x14ac:dyDescent="0.3">
      <c r="A1282" s="1">
        <v>38066</v>
      </c>
      <c r="B1282">
        <v>10232</v>
      </c>
      <c r="C1282">
        <v>240</v>
      </c>
      <c r="D1282" t="s">
        <v>240</v>
      </c>
      <c r="E1282" t="s">
        <v>133</v>
      </c>
      <c r="F1282" t="s">
        <v>71</v>
      </c>
      <c r="G1282" t="s">
        <v>76</v>
      </c>
      <c r="H1282">
        <v>26</v>
      </c>
      <c r="I1282" s="2">
        <v>84.88</v>
      </c>
      <c r="J1282" s="2">
        <v>43.3</v>
      </c>
      <c r="K1282" s="2">
        <v>2206.88</v>
      </c>
      <c r="L1282" s="2">
        <v>1125.8</v>
      </c>
      <c r="M1282" s="2">
        <v>1081.08</v>
      </c>
      <c r="N1282">
        <v>1</v>
      </c>
    </row>
    <row r="1283" spans="1:14" x14ac:dyDescent="0.3">
      <c r="A1283" s="1">
        <v>38066</v>
      </c>
      <c r="B1283">
        <v>10232</v>
      </c>
      <c r="C1283">
        <v>240</v>
      </c>
      <c r="D1283" t="s">
        <v>240</v>
      </c>
      <c r="E1283" t="s">
        <v>133</v>
      </c>
      <c r="F1283" t="s">
        <v>71</v>
      </c>
      <c r="G1283" t="s">
        <v>78</v>
      </c>
      <c r="H1283">
        <v>48</v>
      </c>
      <c r="I1283" s="2">
        <v>86.15</v>
      </c>
      <c r="J1283" s="2">
        <v>51.09</v>
      </c>
      <c r="K1283" s="2">
        <v>4135.2</v>
      </c>
      <c r="L1283" s="2">
        <v>2452.3200000000002</v>
      </c>
      <c r="M1283" s="2">
        <v>1682.88</v>
      </c>
      <c r="N1283">
        <v>1</v>
      </c>
    </row>
    <row r="1284" spans="1:14" x14ac:dyDescent="0.3">
      <c r="A1284" s="1">
        <v>38066</v>
      </c>
      <c r="B1284">
        <v>10232</v>
      </c>
      <c r="C1284">
        <v>240</v>
      </c>
      <c r="D1284" t="s">
        <v>240</v>
      </c>
      <c r="E1284" t="s">
        <v>133</v>
      </c>
      <c r="F1284" t="s">
        <v>71</v>
      </c>
      <c r="G1284" t="s">
        <v>79</v>
      </c>
      <c r="H1284">
        <v>35</v>
      </c>
      <c r="I1284" s="2">
        <v>81.430000000000007</v>
      </c>
      <c r="J1284" s="2">
        <v>53.63</v>
      </c>
      <c r="K1284" s="2">
        <v>2850.05</v>
      </c>
      <c r="L1284" s="2">
        <v>1877.05</v>
      </c>
      <c r="M1284" s="2">
        <v>973</v>
      </c>
      <c r="N1284">
        <v>1</v>
      </c>
    </row>
    <row r="1285" spans="1:14" x14ac:dyDescent="0.3">
      <c r="A1285" s="1">
        <v>38066</v>
      </c>
      <c r="B1285">
        <v>10232</v>
      </c>
      <c r="C1285">
        <v>240</v>
      </c>
      <c r="D1285" t="s">
        <v>240</v>
      </c>
      <c r="E1285" t="s">
        <v>133</v>
      </c>
      <c r="F1285" t="s">
        <v>71</v>
      </c>
      <c r="G1285" t="s">
        <v>80</v>
      </c>
      <c r="H1285">
        <v>24</v>
      </c>
      <c r="I1285" s="2">
        <v>48.59</v>
      </c>
      <c r="J1285" s="2">
        <v>33.299999999999997</v>
      </c>
      <c r="K1285" s="2">
        <v>1166.1600000000001</v>
      </c>
      <c r="L1285" s="2">
        <v>799.2</v>
      </c>
      <c r="M1285" s="2">
        <v>366.96</v>
      </c>
      <c r="N1285">
        <v>1</v>
      </c>
    </row>
    <row r="1286" spans="1:14" x14ac:dyDescent="0.3">
      <c r="A1286" s="1">
        <v>38075</v>
      </c>
      <c r="B1286">
        <v>10233</v>
      </c>
      <c r="C1286">
        <v>328</v>
      </c>
      <c r="D1286" t="s">
        <v>241</v>
      </c>
      <c r="E1286" t="s">
        <v>14</v>
      </c>
      <c r="F1286" t="s">
        <v>15</v>
      </c>
      <c r="G1286" t="s">
        <v>73</v>
      </c>
      <c r="H1286">
        <v>40</v>
      </c>
      <c r="I1286" s="2">
        <v>70.81</v>
      </c>
      <c r="J1286" s="2">
        <v>46.91</v>
      </c>
      <c r="K1286" s="2">
        <v>2832.4</v>
      </c>
      <c r="L1286" s="2">
        <v>1876.4</v>
      </c>
      <c r="M1286" s="2">
        <v>956</v>
      </c>
      <c r="N1286">
        <v>1</v>
      </c>
    </row>
    <row r="1287" spans="1:14" x14ac:dyDescent="0.3">
      <c r="A1287" s="1">
        <v>38075</v>
      </c>
      <c r="B1287">
        <v>10233</v>
      </c>
      <c r="C1287">
        <v>328</v>
      </c>
      <c r="D1287" t="s">
        <v>241</v>
      </c>
      <c r="E1287" t="s">
        <v>14</v>
      </c>
      <c r="F1287" t="s">
        <v>71</v>
      </c>
      <c r="G1287" t="s">
        <v>75</v>
      </c>
      <c r="H1287">
        <v>36</v>
      </c>
      <c r="I1287" s="2">
        <v>66</v>
      </c>
      <c r="J1287" s="2">
        <v>34</v>
      </c>
      <c r="K1287" s="2">
        <v>2376</v>
      </c>
      <c r="L1287" s="2">
        <v>1224</v>
      </c>
      <c r="M1287" s="2">
        <v>1152</v>
      </c>
      <c r="N1287">
        <v>1</v>
      </c>
    </row>
    <row r="1288" spans="1:14" x14ac:dyDescent="0.3">
      <c r="A1288" s="1">
        <v>38075</v>
      </c>
      <c r="B1288">
        <v>10233</v>
      </c>
      <c r="C1288">
        <v>328</v>
      </c>
      <c r="D1288" t="s">
        <v>241</v>
      </c>
      <c r="E1288" t="s">
        <v>14</v>
      </c>
      <c r="F1288" t="s">
        <v>71</v>
      </c>
      <c r="G1288" t="s">
        <v>77</v>
      </c>
      <c r="H1288">
        <v>29</v>
      </c>
      <c r="I1288" s="2">
        <v>67.94</v>
      </c>
      <c r="J1288" s="2">
        <v>33.97</v>
      </c>
      <c r="K1288" s="2">
        <v>1970.26</v>
      </c>
      <c r="L1288" s="2">
        <v>985.13</v>
      </c>
      <c r="M1288" s="2">
        <v>985.13</v>
      </c>
      <c r="N1288">
        <v>1</v>
      </c>
    </row>
    <row r="1289" spans="1:14" x14ac:dyDescent="0.3">
      <c r="A1289" s="1">
        <v>38076</v>
      </c>
      <c r="B1289">
        <v>10234</v>
      </c>
      <c r="C1289">
        <v>412</v>
      </c>
      <c r="D1289" t="s">
        <v>192</v>
      </c>
      <c r="E1289" t="s">
        <v>159</v>
      </c>
      <c r="F1289" t="s">
        <v>29</v>
      </c>
      <c r="G1289" t="s">
        <v>65</v>
      </c>
      <c r="H1289">
        <v>48</v>
      </c>
      <c r="I1289" s="2">
        <v>118.32</v>
      </c>
      <c r="J1289" s="2">
        <v>85.68</v>
      </c>
      <c r="K1289" s="2">
        <v>5679.36</v>
      </c>
      <c r="L1289" s="2">
        <v>4112.6400000000003</v>
      </c>
      <c r="M1289" s="2">
        <v>1566.72</v>
      </c>
      <c r="N1289">
        <v>1</v>
      </c>
    </row>
    <row r="1290" spans="1:14" x14ac:dyDescent="0.3">
      <c r="A1290" s="1">
        <v>38076</v>
      </c>
      <c r="B1290">
        <v>10234</v>
      </c>
      <c r="C1290">
        <v>412</v>
      </c>
      <c r="D1290" t="s">
        <v>192</v>
      </c>
      <c r="E1290" t="s">
        <v>159</v>
      </c>
      <c r="F1290" t="s">
        <v>83</v>
      </c>
      <c r="G1290" t="s">
        <v>84</v>
      </c>
      <c r="H1290">
        <v>50</v>
      </c>
      <c r="I1290" s="2">
        <v>146.65</v>
      </c>
      <c r="J1290" s="2">
        <v>77.27</v>
      </c>
      <c r="K1290" s="2">
        <v>7332.5</v>
      </c>
      <c r="L1290" s="2">
        <v>3863.5</v>
      </c>
      <c r="M1290" s="2">
        <v>3469</v>
      </c>
      <c r="N1290">
        <v>1</v>
      </c>
    </row>
    <row r="1291" spans="1:14" x14ac:dyDescent="0.3">
      <c r="A1291" s="1">
        <v>38076</v>
      </c>
      <c r="B1291">
        <v>10234</v>
      </c>
      <c r="C1291">
        <v>412</v>
      </c>
      <c r="D1291" t="s">
        <v>192</v>
      </c>
      <c r="E1291" t="s">
        <v>159</v>
      </c>
      <c r="F1291" t="s">
        <v>71</v>
      </c>
      <c r="G1291" t="s">
        <v>86</v>
      </c>
      <c r="H1291">
        <v>48</v>
      </c>
      <c r="I1291" s="2">
        <v>84.3</v>
      </c>
      <c r="J1291" s="2">
        <v>51.61</v>
      </c>
      <c r="K1291" s="2">
        <v>4046.4</v>
      </c>
      <c r="L1291" s="2">
        <v>2477.2800000000002</v>
      </c>
      <c r="M1291" s="2">
        <v>1569.12</v>
      </c>
      <c r="N1291">
        <v>1</v>
      </c>
    </row>
    <row r="1292" spans="1:14" x14ac:dyDescent="0.3">
      <c r="A1292" s="1">
        <v>38076</v>
      </c>
      <c r="B1292">
        <v>10234</v>
      </c>
      <c r="C1292">
        <v>412</v>
      </c>
      <c r="D1292" t="s">
        <v>192</v>
      </c>
      <c r="E1292" t="s">
        <v>159</v>
      </c>
      <c r="F1292" t="s">
        <v>15</v>
      </c>
      <c r="G1292" t="s">
        <v>87</v>
      </c>
      <c r="H1292">
        <v>39</v>
      </c>
      <c r="I1292" s="2">
        <v>85.75</v>
      </c>
      <c r="J1292" s="2">
        <v>64.58</v>
      </c>
      <c r="K1292" s="2">
        <v>3344.25</v>
      </c>
      <c r="L1292" s="2">
        <v>2518.62</v>
      </c>
      <c r="M1292" s="2">
        <v>825.63</v>
      </c>
      <c r="N1292">
        <v>1</v>
      </c>
    </row>
    <row r="1293" spans="1:14" x14ac:dyDescent="0.3">
      <c r="A1293" s="1">
        <v>38076</v>
      </c>
      <c r="B1293">
        <v>10234</v>
      </c>
      <c r="C1293">
        <v>412</v>
      </c>
      <c r="D1293" t="s">
        <v>192</v>
      </c>
      <c r="E1293" t="s">
        <v>159</v>
      </c>
      <c r="F1293" t="s">
        <v>83</v>
      </c>
      <c r="G1293" t="s">
        <v>89</v>
      </c>
      <c r="H1293">
        <v>44</v>
      </c>
      <c r="I1293" s="2">
        <v>67.14</v>
      </c>
      <c r="J1293" s="2">
        <v>34.25</v>
      </c>
      <c r="K1293" s="2">
        <v>2954.16</v>
      </c>
      <c r="L1293" s="2">
        <v>1507</v>
      </c>
      <c r="M1293" s="2">
        <v>1447.16</v>
      </c>
      <c r="N1293">
        <v>1</v>
      </c>
    </row>
    <row r="1294" spans="1:14" x14ac:dyDescent="0.3">
      <c r="A1294" s="1">
        <v>38076</v>
      </c>
      <c r="B1294">
        <v>10234</v>
      </c>
      <c r="C1294">
        <v>412</v>
      </c>
      <c r="D1294" t="s">
        <v>192</v>
      </c>
      <c r="E1294" t="s">
        <v>159</v>
      </c>
      <c r="F1294" t="s">
        <v>15</v>
      </c>
      <c r="G1294" t="s">
        <v>90</v>
      </c>
      <c r="H1294">
        <v>25</v>
      </c>
      <c r="I1294" s="2">
        <v>65.09</v>
      </c>
      <c r="J1294" s="2">
        <v>26.3</v>
      </c>
      <c r="K1294" s="2">
        <v>1627.25</v>
      </c>
      <c r="L1294" s="2">
        <v>657.5</v>
      </c>
      <c r="M1294" s="2">
        <v>969.75</v>
      </c>
      <c r="N1294">
        <v>1</v>
      </c>
    </row>
    <row r="1295" spans="1:14" x14ac:dyDescent="0.3">
      <c r="A1295" s="1">
        <v>38076</v>
      </c>
      <c r="B1295">
        <v>10234</v>
      </c>
      <c r="C1295">
        <v>412</v>
      </c>
      <c r="D1295" t="s">
        <v>192</v>
      </c>
      <c r="E1295" t="s">
        <v>159</v>
      </c>
      <c r="F1295" t="s">
        <v>15</v>
      </c>
      <c r="G1295" t="s">
        <v>74</v>
      </c>
      <c r="H1295">
        <v>31</v>
      </c>
      <c r="I1295" s="2">
        <v>78.83</v>
      </c>
      <c r="J1295" s="2">
        <v>48.64</v>
      </c>
      <c r="K1295" s="2">
        <v>2443.73</v>
      </c>
      <c r="L1295" s="2">
        <v>1507.84</v>
      </c>
      <c r="M1295" s="2">
        <v>935.89</v>
      </c>
      <c r="N1295">
        <v>1</v>
      </c>
    </row>
    <row r="1296" spans="1:14" x14ac:dyDescent="0.3">
      <c r="A1296" s="1">
        <v>38076</v>
      </c>
      <c r="B1296">
        <v>10234</v>
      </c>
      <c r="C1296">
        <v>412</v>
      </c>
      <c r="D1296" t="s">
        <v>192</v>
      </c>
      <c r="E1296" t="s">
        <v>159</v>
      </c>
      <c r="F1296" t="s">
        <v>71</v>
      </c>
      <c r="G1296" t="s">
        <v>96</v>
      </c>
      <c r="H1296">
        <v>29</v>
      </c>
      <c r="I1296" s="2">
        <v>83.28</v>
      </c>
      <c r="J1296" s="2">
        <v>39.83</v>
      </c>
      <c r="K1296" s="2">
        <v>2415.12</v>
      </c>
      <c r="L1296" s="2">
        <v>1155.07</v>
      </c>
      <c r="M1296" s="2">
        <v>1260.05</v>
      </c>
      <c r="N1296">
        <v>1</v>
      </c>
    </row>
    <row r="1297" spans="1:14" x14ac:dyDescent="0.3">
      <c r="A1297" s="1">
        <v>38076</v>
      </c>
      <c r="B1297">
        <v>10234</v>
      </c>
      <c r="C1297">
        <v>412</v>
      </c>
      <c r="D1297" t="s">
        <v>192</v>
      </c>
      <c r="E1297" t="s">
        <v>159</v>
      </c>
      <c r="F1297" t="s">
        <v>83</v>
      </c>
      <c r="G1297" t="s">
        <v>101</v>
      </c>
      <c r="H1297">
        <v>40</v>
      </c>
      <c r="I1297" s="2">
        <v>45.69</v>
      </c>
      <c r="J1297" s="2">
        <v>32.770000000000003</v>
      </c>
      <c r="K1297" s="2">
        <v>1827.6</v>
      </c>
      <c r="L1297" s="2">
        <v>1310.8</v>
      </c>
      <c r="M1297" s="2">
        <v>516.79999999999995</v>
      </c>
      <c r="N1297">
        <v>1</v>
      </c>
    </row>
    <row r="1298" spans="1:14" x14ac:dyDescent="0.3">
      <c r="A1298" s="1">
        <v>38079</v>
      </c>
      <c r="B1298">
        <v>10235</v>
      </c>
      <c r="C1298">
        <v>260</v>
      </c>
      <c r="D1298" t="s">
        <v>242</v>
      </c>
      <c r="E1298" t="s">
        <v>172</v>
      </c>
      <c r="F1298" t="s">
        <v>83</v>
      </c>
      <c r="G1298" t="s">
        <v>85</v>
      </c>
      <c r="H1298">
        <v>24</v>
      </c>
      <c r="I1298" s="2">
        <v>81.95</v>
      </c>
      <c r="J1298" s="2">
        <v>49</v>
      </c>
      <c r="K1298" s="2">
        <v>1966.8</v>
      </c>
      <c r="L1298" s="2">
        <v>1176</v>
      </c>
      <c r="M1298" s="2">
        <v>790.8</v>
      </c>
      <c r="N1298">
        <v>1</v>
      </c>
    </row>
    <row r="1299" spans="1:14" x14ac:dyDescent="0.3">
      <c r="A1299" s="1">
        <v>38079</v>
      </c>
      <c r="B1299">
        <v>10235</v>
      </c>
      <c r="C1299">
        <v>260</v>
      </c>
      <c r="D1299" t="s">
        <v>242</v>
      </c>
      <c r="E1299" t="s">
        <v>172</v>
      </c>
      <c r="F1299" t="s">
        <v>83</v>
      </c>
      <c r="G1299" t="s">
        <v>88</v>
      </c>
      <c r="H1299">
        <v>23</v>
      </c>
      <c r="I1299" s="2">
        <v>89.72</v>
      </c>
      <c r="J1299" s="2">
        <v>66.739999999999995</v>
      </c>
      <c r="K1299" s="2">
        <v>2063.56</v>
      </c>
      <c r="L1299" s="2">
        <v>1535.02</v>
      </c>
      <c r="M1299" s="2">
        <v>528.54</v>
      </c>
      <c r="N1299">
        <v>1</v>
      </c>
    </row>
    <row r="1300" spans="1:14" x14ac:dyDescent="0.3">
      <c r="A1300" s="1">
        <v>38079</v>
      </c>
      <c r="B1300">
        <v>10235</v>
      </c>
      <c r="C1300">
        <v>260</v>
      </c>
      <c r="D1300" t="s">
        <v>242</v>
      </c>
      <c r="E1300" t="s">
        <v>172</v>
      </c>
      <c r="F1300" t="s">
        <v>83</v>
      </c>
      <c r="G1300" t="s">
        <v>91</v>
      </c>
      <c r="H1300">
        <v>33</v>
      </c>
      <c r="I1300" s="2">
        <v>55.27</v>
      </c>
      <c r="J1300" s="2">
        <v>29.34</v>
      </c>
      <c r="K1300" s="2">
        <v>1823.91</v>
      </c>
      <c r="L1300" s="2">
        <v>968.22</v>
      </c>
      <c r="M1300" s="2">
        <v>855.69</v>
      </c>
      <c r="N1300">
        <v>1</v>
      </c>
    </row>
    <row r="1301" spans="1:14" x14ac:dyDescent="0.3">
      <c r="A1301" s="1">
        <v>38079</v>
      </c>
      <c r="B1301">
        <v>10235</v>
      </c>
      <c r="C1301">
        <v>260</v>
      </c>
      <c r="D1301" t="s">
        <v>242</v>
      </c>
      <c r="E1301" t="s">
        <v>172</v>
      </c>
      <c r="F1301" t="s">
        <v>83</v>
      </c>
      <c r="G1301" t="s">
        <v>92</v>
      </c>
      <c r="H1301">
        <v>40</v>
      </c>
      <c r="I1301" s="2">
        <v>63.03</v>
      </c>
      <c r="J1301" s="2">
        <v>36.229999999999997</v>
      </c>
      <c r="K1301" s="2">
        <v>2521.1999999999998</v>
      </c>
      <c r="L1301" s="2">
        <v>1449.2</v>
      </c>
      <c r="M1301" s="2">
        <v>1072</v>
      </c>
      <c r="N1301">
        <v>1</v>
      </c>
    </row>
    <row r="1302" spans="1:14" x14ac:dyDescent="0.3">
      <c r="A1302" s="1">
        <v>38079</v>
      </c>
      <c r="B1302">
        <v>10235</v>
      </c>
      <c r="C1302">
        <v>260</v>
      </c>
      <c r="D1302" t="s">
        <v>242</v>
      </c>
      <c r="E1302" t="s">
        <v>172</v>
      </c>
      <c r="F1302" t="s">
        <v>102</v>
      </c>
      <c r="G1302" t="s">
        <v>110</v>
      </c>
      <c r="H1302">
        <v>41</v>
      </c>
      <c r="I1302" s="2">
        <v>90.9</v>
      </c>
      <c r="J1302" s="2">
        <v>66.92</v>
      </c>
      <c r="K1302" s="2">
        <v>3726.9</v>
      </c>
      <c r="L1302" s="2">
        <v>2743.72</v>
      </c>
      <c r="M1302" s="2">
        <v>983.18</v>
      </c>
      <c r="N1302">
        <v>1</v>
      </c>
    </row>
    <row r="1303" spans="1:14" x14ac:dyDescent="0.3">
      <c r="A1303" s="1">
        <v>38079</v>
      </c>
      <c r="B1303">
        <v>10235</v>
      </c>
      <c r="C1303">
        <v>260</v>
      </c>
      <c r="D1303" t="s">
        <v>242</v>
      </c>
      <c r="E1303" t="s">
        <v>172</v>
      </c>
      <c r="F1303" t="s">
        <v>15</v>
      </c>
      <c r="G1303" t="s">
        <v>93</v>
      </c>
      <c r="H1303">
        <v>34</v>
      </c>
      <c r="I1303" s="2">
        <v>66.73</v>
      </c>
      <c r="J1303" s="2">
        <v>33.020000000000003</v>
      </c>
      <c r="K1303" s="2">
        <v>2268.8200000000002</v>
      </c>
      <c r="L1303" s="2">
        <v>1122.68</v>
      </c>
      <c r="M1303" s="2">
        <v>1146.1400000000001</v>
      </c>
      <c r="N1303">
        <v>1</v>
      </c>
    </row>
    <row r="1304" spans="1:14" x14ac:dyDescent="0.3">
      <c r="A1304" s="1">
        <v>38079</v>
      </c>
      <c r="B1304">
        <v>10235</v>
      </c>
      <c r="C1304">
        <v>260</v>
      </c>
      <c r="D1304" t="s">
        <v>242</v>
      </c>
      <c r="E1304" t="s">
        <v>172</v>
      </c>
      <c r="F1304" t="s">
        <v>15</v>
      </c>
      <c r="G1304" t="s">
        <v>94</v>
      </c>
      <c r="H1304">
        <v>41</v>
      </c>
      <c r="I1304" s="2">
        <v>37.090000000000003</v>
      </c>
      <c r="J1304" s="2">
        <v>27.06</v>
      </c>
      <c r="K1304" s="2">
        <v>1520.69</v>
      </c>
      <c r="L1304" s="2">
        <v>1109.46</v>
      </c>
      <c r="M1304" s="2">
        <v>411.23</v>
      </c>
      <c r="N1304">
        <v>1</v>
      </c>
    </row>
    <row r="1305" spans="1:14" x14ac:dyDescent="0.3">
      <c r="A1305" s="1">
        <v>38079</v>
      </c>
      <c r="B1305">
        <v>10235</v>
      </c>
      <c r="C1305">
        <v>260</v>
      </c>
      <c r="D1305" t="s">
        <v>242</v>
      </c>
      <c r="E1305" t="s">
        <v>172</v>
      </c>
      <c r="F1305" t="s">
        <v>83</v>
      </c>
      <c r="G1305" t="s">
        <v>95</v>
      </c>
      <c r="H1305">
        <v>25</v>
      </c>
      <c r="I1305" s="2">
        <v>88.6</v>
      </c>
      <c r="J1305" s="2">
        <v>51.15</v>
      </c>
      <c r="K1305" s="2">
        <v>2215</v>
      </c>
      <c r="L1305" s="2">
        <v>1278.75</v>
      </c>
      <c r="M1305" s="2">
        <v>936.25</v>
      </c>
      <c r="N1305">
        <v>1</v>
      </c>
    </row>
    <row r="1306" spans="1:14" x14ac:dyDescent="0.3">
      <c r="A1306" s="1">
        <v>38079</v>
      </c>
      <c r="B1306">
        <v>10235</v>
      </c>
      <c r="C1306">
        <v>260</v>
      </c>
      <c r="D1306" t="s">
        <v>242</v>
      </c>
      <c r="E1306" t="s">
        <v>172</v>
      </c>
      <c r="F1306" t="s">
        <v>83</v>
      </c>
      <c r="G1306" t="s">
        <v>97</v>
      </c>
      <c r="H1306">
        <v>38</v>
      </c>
      <c r="I1306" s="2">
        <v>92.74</v>
      </c>
      <c r="J1306" s="2">
        <v>68.8</v>
      </c>
      <c r="K1306" s="2">
        <v>3524.12</v>
      </c>
      <c r="L1306" s="2">
        <v>2614.4</v>
      </c>
      <c r="M1306" s="2">
        <v>909.72</v>
      </c>
      <c r="N1306">
        <v>1</v>
      </c>
    </row>
    <row r="1307" spans="1:14" x14ac:dyDescent="0.3">
      <c r="A1307" s="1">
        <v>38079</v>
      </c>
      <c r="B1307">
        <v>10235</v>
      </c>
      <c r="C1307">
        <v>260</v>
      </c>
      <c r="D1307" t="s">
        <v>242</v>
      </c>
      <c r="E1307" t="s">
        <v>172</v>
      </c>
      <c r="F1307" t="s">
        <v>83</v>
      </c>
      <c r="G1307" t="s">
        <v>98</v>
      </c>
      <c r="H1307">
        <v>25</v>
      </c>
      <c r="I1307" s="2">
        <v>116.28</v>
      </c>
      <c r="J1307" s="2">
        <v>59.33</v>
      </c>
      <c r="K1307" s="2">
        <v>2907</v>
      </c>
      <c r="L1307" s="2">
        <v>1483.25</v>
      </c>
      <c r="M1307" s="2">
        <v>1423.75</v>
      </c>
      <c r="N1307">
        <v>1</v>
      </c>
    </row>
    <row r="1308" spans="1:14" x14ac:dyDescent="0.3">
      <c r="A1308" s="1">
        <v>38079</v>
      </c>
      <c r="B1308">
        <v>10235</v>
      </c>
      <c r="C1308">
        <v>260</v>
      </c>
      <c r="D1308" t="s">
        <v>242</v>
      </c>
      <c r="E1308" t="s">
        <v>172</v>
      </c>
      <c r="F1308" t="s">
        <v>83</v>
      </c>
      <c r="G1308" t="s">
        <v>99</v>
      </c>
      <c r="H1308">
        <v>32</v>
      </c>
      <c r="I1308" s="2">
        <v>73.599999999999994</v>
      </c>
      <c r="J1308" s="2">
        <v>54.4</v>
      </c>
      <c r="K1308" s="2">
        <v>2355.1999999999998</v>
      </c>
      <c r="L1308" s="2">
        <v>1740.8</v>
      </c>
      <c r="M1308" s="2">
        <v>614.4</v>
      </c>
      <c r="N1308">
        <v>1</v>
      </c>
    </row>
    <row r="1309" spans="1:14" x14ac:dyDescent="0.3">
      <c r="A1309" s="1">
        <v>38079</v>
      </c>
      <c r="B1309">
        <v>10235</v>
      </c>
      <c r="C1309">
        <v>260</v>
      </c>
      <c r="D1309" t="s">
        <v>242</v>
      </c>
      <c r="E1309" t="s">
        <v>172</v>
      </c>
      <c r="F1309" t="s">
        <v>83</v>
      </c>
      <c r="G1309" t="s">
        <v>100</v>
      </c>
      <c r="H1309">
        <v>34</v>
      </c>
      <c r="I1309" s="2">
        <v>70.33</v>
      </c>
      <c r="J1309" s="2">
        <v>36.270000000000003</v>
      </c>
      <c r="K1309" s="2">
        <v>2391.2199999999998</v>
      </c>
      <c r="L1309" s="2">
        <v>1233.18</v>
      </c>
      <c r="M1309" s="2">
        <v>1158.04</v>
      </c>
      <c r="N1309">
        <v>1</v>
      </c>
    </row>
    <row r="1310" spans="1:14" x14ac:dyDescent="0.3">
      <c r="A1310" s="1">
        <v>38080</v>
      </c>
      <c r="B1310">
        <v>10236</v>
      </c>
      <c r="C1310">
        <v>486</v>
      </c>
      <c r="D1310" t="s">
        <v>203</v>
      </c>
      <c r="E1310" t="s">
        <v>14</v>
      </c>
      <c r="F1310" t="s">
        <v>102</v>
      </c>
      <c r="G1310" t="s">
        <v>104</v>
      </c>
      <c r="H1310">
        <v>22</v>
      </c>
      <c r="I1310" s="2">
        <v>105.86</v>
      </c>
      <c r="J1310" s="2">
        <v>68.989999999999995</v>
      </c>
      <c r="K1310" s="2">
        <v>2328.92</v>
      </c>
      <c r="L1310" s="2">
        <v>1517.78</v>
      </c>
      <c r="M1310" s="2">
        <v>811.14</v>
      </c>
      <c r="N1310">
        <v>2</v>
      </c>
    </row>
    <row r="1311" spans="1:14" x14ac:dyDescent="0.3">
      <c r="A1311" s="1">
        <v>38080</v>
      </c>
      <c r="B1311">
        <v>10236</v>
      </c>
      <c r="C1311">
        <v>486</v>
      </c>
      <c r="D1311" t="s">
        <v>203</v>
      </c>
      <c r="E1311" t="s">
        <v>14</v>
      </c>
      <c r="F1311" t="s">
        <v>102</v>
      </c>
      <c r="G1311" t="s">
        <v>107</v>
      </c>
      <c r="H1311">
        <v>23</v>
      </c>
      <c r="I1311" s="2">
        <v>52.7</v>
      </c>
      <c r="J1311" s="2">
        <v>24.23</v>
      </c>
      <c r="K1311" s="2">
        <v>1212.0999999999999</v>
      </c>
      <c r="L1311" s="2">
        <v>557.29</v>
      </c>
      <c r="M1311" s="2">
        <v>654.80999999999995</v>
      </c>
      <c r="N1311">
        <v>2</v>
      </c>
    </row>
    <row r="1312" spans="1:14" x14ac:dyDescent="0.3">
      <c r="A1312" s="1">
        <v>38080</v>
      </c>
      <c r="B1312">
        <v>10236</v>
      </c>
      <c r="C1312">
        <v>486</v>
      </c>
      <c r="D1312" t="s">
        <v>203</v>
      </c>
      <c r="E1312" t="s">
        <v>14</v>
      </c>
      <c r="F1312" t="s">
        <v>102</v>
      </c>
      <c r="G1312" t="s">
        <v>109</v>
      </c>
      <c r="H1312">
        <v>36</v>
      </c>
      <c r="I1312" s="2">
        <v>65.510000000000005</v>
      </c>
      <c r="J1312" s="2">
        <v>37.32</v>
      </c>
      <c r="K1312" s="2">
        <v>2358.36</v>
      </c>
      <c r="L1312" s="2">
        <v>1343.52</v>
      </c>
      <c r="M1312" s="2">
        <v>1014.84</v>
      </c>
      <c r="N1312">
        <v>2</v>
      </c>
    </row>
    <row r="1313" spans="1:14" x14ac:dyDescent="0.3">
      <c r="A1313" s="1">
        <v>38082</v>
      </c>
      <c r="B1313">
        <v>10237</v>
      </c>
      <c r="C1313">
        <v>181</v>
      </c>
      <c r="D1313" t="s">
        <v>200</v>
      </c>
      <c r="E1313" t="s">
        <v>14</v>
      </c>
      <c r="F1313" t="s">
        <v>102</v>
      </c>
      <c r="G1313" t="s">
        <v>103</v>
      </c>
      <c r="H1313">
        <v>23</v>
      </c>
      <c r="I1313" s="2">
        <v>91.87</v>
      </c>
      <c r="J1313" s="2">
        <v>48.81</v>
      </c>
      <c r="K1313" s="2">
        <v>2113.0100000000002</v>
      </c>
      <c r="L1313" s="2">
        <v>1122.6300000000001</v>
      </c>
      <c r="M1313" s="2">
        <v>990.38</v>
      </c>
      <c r="N1313">
        <v>2</v>
      </c>
    </row>
    <row r="1314" spans="1:14" x14ac:dyDescent="0.3">
      <c r="A1314" s="1">
        <v>38082</v>
      </c>
      <c r="B1314">
        <v>10237</v>
      </c>
      <c r="C1314">
        <v>181</v>
      </c>
      <c r="D1314" t="s">
        <v>200</v>
      </c>
      <c r="E1314" t="s">
        <v>14</v>
      </c>
      <c r="F1314" t="s">
        <v>102</v>
      </c>
      <c r="G1314" t="s">
        <v>105</v>
      </c>
      <c r="H1314">
        <v>39</v>
      </c>
      <c r="I1314" s="2">
        <v>158.80000000000001</v>
      </c>
      <c r="J1314" s="2">
        <v>91.02</v>
      </c>
      <c r="K1314" s="2">
        <v>6193.2</v>
      </c>
      <c r="L1314" s="2">
        <v>3549.78</v>
      </c>
      <c r="M1314" s="2">
        <v>2643.42</v>
      </c>
      <c r="N1314">
        <v>2</v>
      </c>
    </row>
    <row r="1315" spans="1:14" x14ac:dyDescent="0.3">
      <c r="A1315" s="1">
        <v>38082</v>
      </c>
      <c r="B1315">
        <v>10237</v>
      </c>
      <c r="C1315">
        <v>181</v>
      </c>
      <c r="D1315" t="s">
        <v>200</v>
      </c>
      <c r="E1315" t="s">
        <v>14</v>
      </c>
      <c r="F1315" t="s">
        <v>102</v>
      </c>
      <c r="G1315" t="s">
        <v>106</v>
      </c>
      <c r="H1315">
        <v>32</v>
      </c>
      <c r="I1315" s="2">
        <v>129.53</v>
      </c>
      <c r="J1315" s="2">
        <v>66.27</v>
      </c>
      <c r="K1315" s="2">
        <v>4144.96</v>
      </c>
      <c r="L1315" s="2">
        <v>2120.64</v>
      </c>
      <c r="M1315" s="2">
        <v>2024.32</v>
      </c>
      <c r="N1315">
        <v>2</v>
      </c>
    </row>
    <row r="1316" spans="1:14" x14ac:dyDescent="0.3">
      <c r="A1316" s="1">
        <v>38082</v>
      </c>
      <c r="B1316">
        <v>10237</v>
      </c>
      <c r="C1316">
        <v>181</v>
      </c>
      <c r="D1316" t="s">
        <v>200</v>
      </c>
      <c r="E1316" t="s">
        <v>14</v>
      </c>
      <c r="F1316" t="s">
        <v>102</v>
      </c>
      <c r="G1316" t="s">
        <v>119</v>
      </c>
      <c r="H1316">
        <v>26</v>
      </c>
      <c r="I1316" s="2">
        <v>49.74</v>
      </c>
      <c r="J1316" s="2">
        <v>32.950000000000003</v>
      </c>
      <c r="K1316" s="2">
        <v>1293.24</v>
      </c>
      <c r="L1316" s="2">
        <v>856.7</v>
      </c>
      <c r="M1316" s="2">
        <v>436.54</v>
      </c>
      <c r="N1316">
        <v>2</v>
      </c>
    </row>
    <row r="1317" spans="1:14" x14ac:dyDescent="0.3">
      <c r="A1317" s="1">
        <v>38082</v>
      </c>
      <c r="B1317">
        <v>10237</v>
      </c>
      <c r="C1317">
        <v>181</v>
      </c>
      <c r="D1317" t="s">
        <v>200</v>
      </c>
      <c r="E1317" t="s">
        <v>14</v>
      </c>
      <c r="F1317" t="s">
        <v>102</v>
      </c>
      <c r="G1317" t="s">
        <v>108</v>
      </c>
      <c r="H1317">
        <v>20</v>
      </c>
      <c r="I1317" s="2">
        <v>109.32</v>
      </c>
      <c r="J1317" s="2">
        <v>60.86</v>
      </c>
      <c r="K1317" s="2">
        <v>2186.4</v>
      </c>
      <c r="L1317" s="2">
        <v>1217.2</v>
      </c>
      <c r="M1317" s="2">
        <v>969.2</v>
      </c>
      <c r="N1317">
        <v>2</v>
      </c>
    </row>
    <row r="1318" spans="1:14" x14ac:dyDescent="0.3">
      <c r="A1318" s="1">
        <v>38082</v>
      </c>
      <c r="B1318">
        <v>10237</v>
      </c>
      <c r="C1318">
        <v>181</v>
      </c>
      <c r="D1318" t="s">
        <v>200</v>
      </c>
      <c r="E1318" t="s">
        <v>14</v>
      </c>
      <c r="F1318" t="s">
        <v>102</v>
      </c>
      <c r="G1318" t="s">
        <v>121</v>
      </c>
      <c r="H1318">
        <v>26</v>
      </c>
      <c r="I1318" s="2">
        <v>62.33</v>
      </c>
      <c r="J1318" s="2">
        <v>47.1</v>
      </c>
      <c r="K1318" s="2">
        <v>1620.58</v>
      </c>
      <c r="L1318" s="2">
        <v>1224.5999999999999</v>
      </c>
      <c r="M1318" s="2">
        <v>395.98</v>
      </c>
      <c r="N1318">
        <v>2</v>
      </c>
    </row>
    <row r="1319" spans="1:14" x14ac:dyDescent="0.3">
      <c r="A1319" s="1">
        <v>38082</v>
      </c>
      <c r="B1319">
        <v>10237</v>
      </c>
      <c r="C1319">
        <v>181</v>
      </c>
      <c r="D1319" t="s">
        <v>200</v>
      </c>
      <c r="E1319" t="s">
        <v>14</v>
      </c>
      <c r="F1319" t="s">
        <v>102</v>
      </c>
      <c r="G1319" t="s">
        <v>125</v>
      </c>
      <c r="H1319">
        <v>26</v>
      </c>
      <c r="I1319" s="2">
        <v>35</v>
      </c>
      <c r="J1319" s="2">
        <v>24.14</v>
      </c>
      <c r="K1319" s="2">
        <v>910</v>
      </c>
      <c r="L1319" s="2">
        <v>627.64</v>
      </c>
      <c r="M1319" s="2">
        <v>282.36</v>
      </c>
      <c r="N1319">
        <v>2</v>
      </c>
    </row>
    <row r="1320" spans="1:14" x14ac:dyDescent="0.3">
      <c r="A1320" s="1">
        <v>38082</v>
      </c>
      <c r="B1320">
        <v>10237</v>
      </c>
      <c r="C1320">
        <v>181</v>
      </c>
      <c r="D1320" t="s">
        <v>200</v>
      </c>
      <c r="E1320" t="s">
        <v>14</v>
      </c>
      <c r="F1320" t="s">
        <v>102</v>
      </c>
      <c r="G1320" t="s">
        <v>126</v>
      </c>
      <c r="H1320">
        <v>27</v>
      </c>
      <c r="I1320" s="2">
        <v>94.91</v>
      </c>
      <c r="J1320" s="2">
        <v>56.13</v>
      </c>
      <c r="K1320" s="2">
        <v>2562.5700000000002</v>
      </c>
      <c r="L1320" s="2">
        <v>1515.51</v>
      </c>
      <c r="M1320" s="2">
        <v>1047.06</v>
      </c>
      <c r="N1320">
        <v>2</v>
      </c>
    </row>
    <row r="1321" spans="1:14" x14ac:dyDescent="0.3">
      <c r="A1321" s="1">
        <v>38082</v>
      </c>
      <c r="B1321">
        <v>10237</v>
      </c>
      <c r="C1321">
        <v>181</v>
      </c>
      <c r="D1321" t="s">
        <v>200</v>
      </c>
      <c r="E1321" t="s">
        <v>14</v>
      </c>
      <c r="F1321" t="s">
        <v>102</v>
      </c>
      <c r="G1321" t="s">
        <v>127</v>
      </c>
      <c r="H1321">
        <v>20</v>
      </c>
      <c r="I1321" s="2">
        <v>78.92</v>
      </c>
      <c r="J1321" s="2">
        <v>34.17</v>
      </c>
      <c r="K1321" s="2">
        <v>1578.4</v>
      </c>
      <c r="L1321" s="2">
        <v>683.4</v>
      </c>
      <c r="M1321" s="2">
        <v>895</v>
      </c>
      <c r="N1321">
        <v>2</v>
      </c>
    </row>
    <row r="1322" spans="1:14" x14ac:dyDescent="0.3">
      <c r="A1322" s="1">
        <v>38086</v>
      </c>
      <c r="B1322">
        <v>10238</v>
      </c>
      <c r="C1322">
        <v>145</v>
      </c>
      <c r="D1322" t="s">
        <v>63</v>
      </c>
      <c r="E1322" t="s">
        <v>64</v>
      </c>
      <c r="F1322" t="s">
        <v>29</v>
      </c>
      <c r="G1322" t="s">
        <v>112</v>
      </c>
      <c r="H1322">
        <v>28</v>
      </c>
      <c r="I1322" s="2">
        <v>161.49</v>
      </c>
      <c r="J1322" s="2">
        <v>95.34</v>
      </c>
      <c r="K1322" s="2">
        <v>4521.72</v>
      </c>
      <c r="L1322" s="2">
        <v>2669.52</v>
      </c>
      <c r="M1322" s="2">
        <v>1852.2</v>
      </c>
      <c r="N1322">
        <v>2</v>
      </c>
    </row>
    <row r="1323" spans="1:14" x14ac:dyDescent="0.3">
      <c r="A1323" s="1">
        <v>38086</v>
      </c>
      <c r="B1323">
        <v>10238</v>
      </c>
      <c r="C1323">
        <v>145</v>
      </c>
      <c r="D1323" t="s">
        <v>63</v>
      </c>
      <c r="E1323" t="s">
        <v>64</v>
      </c>
      <c r="F1323" t="s">
        <v>29</v>
      </c>
      <c r="G1323" t="s">
        <v>113</v>
      </c>
      <c r="H1323">
        <v>29</v>
      </c>
      <c r="I1323" s="2">
        <v>104.52</v>
      </c>
      <c r="J1323" s="2">
        <v>75.16</v>
      </c>
      <c r="K1323" s="2">
        <v>3031.08</v>
      </c>
      <c r="L1323" s="2">
        <v>2179.64</v>
      </c>
      <c r="M1323" s="2">
        <v>851.44</v>
      </c>
      <c r="N1323">
        <v>2</v>
      </c>
    </row>
    <row r="1324" spans="1:14" x14ac:dyDescent="0.3">
      <c r="A1324" s="1">
        <v>38086</v>
      </c>
      <c r="B1324">
        <v>10238</v>
      </c>
      <c r="C1324">
        <v>145</v>
      </c>
      <c r="D1324" t="s">
        <v>63</v>
      </c>
      <c r="E1324" t="s">
        <v>64</v>
      </c>
      <c r="F1324" t="s">
        <v>29</v>
      </c>
      <c r="G1324" t="s">
        <v>114</v>
      </c>
      <c r="H1324">
        <v>20</v>
      </c>
      <c r="I1324" s="2">
        <v>73.42</v>
      </c>
      <c r="J1324" s="2">
        <v>31.92</v>
      </c>
      <c r="K1324" s="2">
        <v>1468.4</v>
      </c>
      <c r="L1324" s="2">
        <v>638.4</v>
      </c>
      <c r="M1324" s="2">
        <v>830</v>
      </c>
      <c r="N1324">
        <v>2</v>
      </c>
    </row>
    <row r="1325" spans="1:14" x14ac:dyDescent="0.3">
      <c r="A1325" s="1">
        <v>38086</v>
      </c>
      <c r="B1325">
        <v>10238</v>
      </c>
      <c r="C1325">
        <v>145</v>
      </c>
      <c r="D1325" t="s">
        <v>63</v>
      </c>
      <c r="E1325" t="s">
        <v>64</v>
      </c>
      <c r="F1325" t="s">
        <v>29</v>
      </c>
      <c r="G1325" t="s">
        <v>117</v>
      </c>
      <c r="H1325">
        <v>41</v>
      </c>
      <c r="I1325" s="2">
        <v>68.349999999999994</v>
      </c>
      <c r="J1325" s="2">
        <v>49.05</v>
      </c>
      <c r="K1325" s="2">
        <v>2802.35</v>
      </c>
      <c r="L1325" s="2">
        <v>2011.05</v>
      </c>
      <c r="M1325" s="2">
        <v>791.3</v>
      </c>
      <c r="N1325">
        <v>2</v>
      </c>
    </row>
    <row r="1326" spans="1:14" x14ac:dyDescent="0.3">
      <c r="A1326" s="1">
        <v>38086</v>
      </c>
      <c r="B1326">
        <v>10238</v>
      </c>
      <c r="C1326">
        <v>145</v>
      </c>
      <c r="D1326" t="s">
        <v>63</v>
      </c>
      <c r="E1326" t="s">
        <v>64</v>
      </c>
      <c r="F1326" t="s">
        <v>29</v>
      </c>
      <c r="G1326" t="s">
        <v>118</v>
      </c>
      <c r="H1326">
        <v>49</v>
      </c>
      <c r="I1326" s="2">
        <v>144.05000000000001</v>
      </c>
      <c r="J1326" s="2">
        <v>73.489999999999995</v>
      </c>
      <c r="K1326" s="2">
        <v>7058.45</v>
      </c>
      <c r="L1326" s="2">
        <v>3601.01</v>
      </c>
      <c r="M1326" s="2">
        <v>3457.44</v>
      </c>
      <c r="N1326">
        <v>2</v>
      </c>
    </row>
    <row r="1327" spans="1:14" x14ac:dyDescent="0.3">
      <c r="A1327" s="1">
        <v>38086</v>
      </c>
      <c r="B1327">
        <v>10238</v>
      </c>
      <c r="C1327">
        <v>145</v>
      </c>
      <c r="D1327" t="s">
        <v>63</v>
      </c>
      <c r="E1327" t="s">
        <v>64</v>
      </c>
      <c r="F1327" t="s">
        <v>29</v>
      </c>
      <c r="G1327" t="s">
        <v>120</v>
      </c>
      <c r="H1327">
        <v>44</v>
      </c>
      <c r="I1327" s="2">
        <v>120.53</v>
      </c>
      <c r="J1327" s="2">
        <v>69.930000000000007</v>
      </c>
      <c r="K1327" s="2">
        <v>5303.32</v>
      </c>
      <c r="L1327" s="2">
        <v>3076.92</v>
      </c>
      <c r="M1327" s="2">
        <v>2226.4</v>
      </c>
      <c r="N1327">
        <v>2</v>
      </c>
    </row>
    <row r="1328" spans="1:14" x14ac:dyDescent="0.3">
      <c r="A1328" s="1">
        <v>38086</v>
      </c>
      <c r="B1328">
        <v>10238</v>
      </c>
      <c r="C1328">
        <v>145</v>
      </c>
      <c r="D1328" t="s">
        <v>63</v>
      </c>
      <c r="E1328" t="s">
        <v>64</v>
      </c>
      <c r="F1328" t="s">
        <v>29</v>
      </c>
      <c r="G1328" t="s">
        <v>122</v>
      </c>
      <c r="H1328">
        <v>47</v>
      </c>
      <c r="I1328" s="2">
        <v>53.88</v>
      </c>
      <c r="J1328" s="2">
        <v>38.58</v>
      </c>
      <c r="K1328" s="2">
        <v>2532.36</v>
      </c>
      <c r="L1328" s="2">
        <v>1813.26</v>
      </c>
      <c r="M1328" s="2">
        <v>719.1</v>
      </c>
      <c r="N1328">
        <v>2</v>
      </c>
    </row>
    <row r="1329" spans="1:14" x14ac:dyDescent="0.3">
      <c r="A1329" s="1">
        <v>38086</v>
      </c>
      <c r="B1329">
        <v>10238</v>
      </c>
      <c r="C1329">
        <v>145</v>
      </c>
      <c r="D1329" t="s">
        <v>63</v>
      </c>
      <c r="E1329" t="s">
        <v>64</v>
      </c>
      <c r="F1329" t="s">
        <v>29</v>
      </c>
      <c r="G1329" t="s">
        <v>124</v>
      </c>
      <c r="H1329">
        <v>22</v>
      </c>
      <c r="I1329" s="2">
        <v>67.91</v>
      </c>
      <c r="J1329" s="2">
        <v>32.33</v>
      </c>
      <c r="K1329" s="2">
        <v>1494.02</v>
      </c>
      <c r="L1329" s="2">
        <v>711.26</v>
      </c>
      <c r="M1329" s="2">
        <v>782.76</v>
      </c>
      <c r="N1329">
        <v>2</v>
      </c>
    </row>
    <row r="1330" spans="1:14" x14ac:dyDescent="0.3">
      <c r="A1330" s="1">
        <v>38089</v>
      </c>
      <c r="B1330">
        <v>10239</v>
      </c>
      <c r="C1330">
        <v>311</v>
      </c>
      <c r="D1330" t="s">
        <v>220</v>
      </c>
      <c r="E1330" t="s">
        <v>164</v>
      </c>
      <c r="F1330" t="s">
        <v>29</v>
      </c>
      <c r="G1330" t="s">
        <v>115</v>
      </c>
      <c r="H1330">
        <v>21</v>
      </c>
      <c r="I1330" s="2">
        <v>100.19</v>
      </c>
      <c r="J1330" s="2">
        <v>58.73</v>
      </c>
      <c r="K1330" s="2">
        <v>2103.9899999999998</v>
      </c>
      <c r="L1330" s="2">
        <v>1233.33</v>
      </c>
      <c r="M1330" s="2">
        <v>870.66</v>
      </c>
      <c r="N1330">
        <v>2</v>
      </c>
    </row>
    <row r="1331" spans="1:14" x14ac:dyDescent="0.3">
      <c r="A1331" s="1">
        <v>38089</v>
      </c>
      <c r="B1331">
        <v>10239</v>
      </c>
      <c r="C1331">
        <v>311</v>
      </c>
      <c r="D1331" t="s">
        <v>220</v>
      </c>
      <c r="E1331" t="s">
        <v>164</v>
      </c>
      <c r="F1331" t="s">
        <v>29</v>
      </c>
      <c r="G1331" t="s">
        <v>116</v>
      </c>
      <c r="H1331">
        <v>46</v>
      </c>
      <c r="I1331" s="2">
        <v>70.069999999999993</v>
      </c>
      <c r="J1331" s="2">
        <v>53.9</v>
      </c>
      <c r="K1331" s="2">
        <v>3223.22</v>
      </c>
      <c r="L1331" s="2">
        <v>2479.4</v>
      </c>
      <c r="M1331" s="2">
        <v>743.82</v>
      </c>
      <c r="N1331">
        <v>2</v>
      </c>
    </row>
    <row r="1332" spans="1:14" x14ac:dyDescent="0.3">
      <c r="A1332" s="1">
        <v>38089</v>
      </c>
      <c r="B1332">
        <v>10239</v>
      </c>
      <c r="C1332">
        <v>311</v>
      </c>
      <c r="D1332" t="s">
        <v>220</v>
      </c>
      <c r="E1332" t="s">
        <v>164</v>
      </c>
      <c r="F1332" t="s">
        <v>29</v>
      </c>
      <c r="G1332" t="s">
        <v>53</v>
      </c>
      <c r="H1332">
        <v>47</v>
      </c>
      <c r="I1332" s="2">
        <v>135.47</v>
      </c>
      <c r="J1332" s="2">
        <v>77.900000000000006</v>
      </c>
      <c r="K1332" s="2">
        <v>6367.09</v>
      </c>
      <c r="L1332" s="2">
        <v>3661.3</v>
      </c>
      <c r="M1332" s="2">
        <v>2705.79</v>
      </c>
      <c r="N1332">
        <v>2</v>
      </c>
    </row>
    <row r="1333" spans="1:14" x14ac:dyDescent="0.3">
      <c r="A1333" s="1">
        <v>38089</v>
      </c>
      <c r="B1333">
        <v>10239</v>
      </c>
      <c r="C1333">
        <v>311</v>
      </c>
      <c r="D1333" t="s">
        <v>220</v>
      </c>
      <c r="E1333" t="s">
        <v>164</v>
      </c>
      <c r="F1333" t="s">
        <v>29</v>
      </c>
      <c r="G1333" t="s">
        <v>132</v>
      </c>
      <c r="H1333">
        <v>20</v>
      </c>
      <c r="I1333" s="2">
        <v>32.47</v>
      </c>
      <c r="J1333" s="2">
        <v>16.239999999999998</v>
      </c>
      <c r="K1333" s="2">
        <v>649.4</v>
      </c>
      <c r="L1333" s="2">
        <v>324.8</v>
      </c>
      <c r="M1333" s="2">
        <v>324.60000000000002</v>
      </c>
      <c r="N1333">
        <v>2</v>
      </c>
    </row>
    <row r="1334" spans="1:14" x14ac:dyDescent="0.3">
      <c r="A1334" s="1">
        <v>38089</v>
      </c>
      <c r="B1334">
        <v>10239</v>
      </c>
      <c r="C1334">
        <v>311</v>
      </c>
      <c r="D1334" t="s">
        <v>220</v>
      </c>
      <c r="E1334" t="s">
        <v>164</v>
      </c>
      <c r="F1334" t="s">
        <v>29</v>
      </c>
      <c r="G1334" t="s">
        <v>123</v>
      </c>
      <c r="H1334">
        <v>29</v>
      </c>
      <c r="I1334" s="2">
        <v>133.41</v>
      </c>
      <c r="J1334" s="2">
        <v>98.3</v>
      </c>
      <c r="K1334" s="2">
        <v>3868.89</v>
      </c>
      <c r="L1334" s="2">
        <v>2850.7</v>
      </c>
      <c r="M1334" s="2">
        <v>1018.19</v>
      </c>
      <c r="N1334">
        <v>2</v>
      </c>
    </row>
    <row r="1335" spans="1:14" x14ac:dyDescent="0.3">
      <c r="A1335" s="1">
        <v>38090</v>
      </c>
      <c r="B1335">
        <v>10240</v>
      </c>
      <c r="C1335">
        <v>177</v>
      </c>
      <c r="D1335" t="s">
        <v>235</v>
      </c>
      <c r="E1335" t="s">
        <v>185</v>
      </c>
      <c r="F1335" t="s">
        <v>29</v>
      </c>
      <c r="G1335" t="s">
        <v>128</v>
      </c>
      <c r="H1335">
        <v>41</v>
      </c>
      <c r="I1335" s="2">
        <v>125.97</v>
      </c>
      <c r="J1335" s="2">
        <v>83.51</v>
      </c>
      <c r="K1335" s="2">
        <v>5164.7700000000004</v>
      </c>
      <c r="L1335" s="2">
        <v>3423.91</v>
      </c>
      <c r="M1335" s="2">
        <v>1740.86</v>
      </c>
      <c r="N1335">
        <v>2</v>
      </c>
    </row>
    <row r="1336" spans="1:14" x14ac:dyDescent="0.3">
      <c r="A1336" s="1">
        <v>38090</v>
      </c>
      <c r="B1336">
        <v>10240</v>
      </c>
      <c r="C1336">
        <v>177</v>
      </c>
      <c r="D1336" t="s">
        <v>235</v>
      </c>
      <c r="E1336" t="s">
        <v>185</v>
      </c>
      <c r="F1336" t="s">
        <v>29</v>
      </c>
      <c r="G1336" t="s">
        <v>129</v>
      </c>
      <c r="H1336">
        <v>37</v>
      </c>
      <c r="I1336" s="2">
        <v>136.56</v>
      </c>
      <c r="J1336" s="2">
        <v>93.89</v>
      </c>
      <c r="K1336" s="2">
        <v>5052.72</v>
      </c>
      <c r="L1336" s="2">
        <v>3473.93</v>
      </c>
      <c r="M1336" s="2">
        <v>1578.79</v>
      </c>
      <c r="N1336">
        <v>2</v>
      </c>
    </row>
    <row r="1337" spans="1:14" x14ac:dyDescent="0.3">
      <c r="A1337" s="1">
        <v>38090</v>
      </c>
      <c r="B1337">
        <v>10240</v>
      </c>
      <c r="C1337">
        <v>177</v>
      </c>
      <c r="D1337" t="s">
        <v>235</v>
      </c>
      <c r="E1337" t="s">
        <v>185</v>
      </c>
      <c r="F1337" t="s">
        <v>29</v>
      </c>
      <c r="G1337" t="s">
        <v>131</v>
      </c>
      <c r="H1337">
        <v>37</v>
      </c>
      <c r="I1337" s="2">
        <v>134.22</v>
      </c>
      <c r="J1337" s="2">
        <v>62.16</v>
      </c>
      <c r="K1337" s="2">
        <v>4966.1400000000003</v>
      </c>
      <c r="L1337" s="2">
        <v>2299.92</v>
      </c>
      <c r="M1337" s="2">
        <v>2666.22</v>
      </c>
      <c r="N1337">
        <v>2</v>
      </c>
    </row>
    <row r="1338" spans="1:14" x14ac:dyDescent="0.3">
      <c r="A1338" s="1">
        <v>38090</v>
      </c>
      <c r="B1338">
        <v>10241</v>
      </c>
      <c r="C1338">
        <v>209</v>
      </c>
      <c r="D1338" t="s">
        <v>193</v>
      </c>
      <c r="E1338" t="s">
        <v>144</v>
      </c>
      <c r="F1338" t="s">
        <v>29</v>
      </c>
      <c r="G1338" t="s">
        <v>134</v>
      </c>
      <c r="H1338">
        <v>21</v>
      </c>
      <c r="I1338" s="2">
        <v>119.46</v>
      </c>
      <c r="J1338" s="2">
        <v>65.959999999999994</v>
      </c>
      <c r="K1338" s="2">
        <v>2508.66</v>
      </c>
      <c r="L1338" s="2">
        <v>1385.16</v>
      </c>
      <c r="M1338" s="2">
        <v>1123.5</v>
      </c>
      <c r="N1338">
        <v>1</v>
      </c>
    </row>
    <row r="1339" spans="1:14" x14ac:dyDescent="0.3">
      <c r="A1339" s="1">
        <v>38090</v>
      </c>
      <c r="B1339">
        <v>10241</v>
      </c>
      <c r="C1339">
        <v>209</v>
      </c>
      <c r="D1339" t="s">
        <v>193</v>
      </c>
      <c r="E1339" t="s">
        <v>144</v>
      </c>
      <c r="F1339" t="s">
        <v>15</v>
      </c>
      <c r="G1339" t="s">
        <v>16</v>
      </c>
      <c r="H1339">
        <v>41</v>
      </c>
      <c r="I1339" s="2">
        <v>153</v>
      </c>
      <c r="J1339" s="2">
        <v>86.7</v>
      </c>
      <c r="K1339" s="2">
        <v>6273</v>
      </c>
      <c r="L1339" s="2">
        <v>3554.7</v>
      </c>
      <c r="M1339" s="2">
        <v>2718.3</v>
      </c>
      <c r="N1339">
        <v>1</v>
      </c>
    </row>
    <row r="1340" spans="1:14" x14ac:dyDescent="0.3">
      <c r="A1340" s="1">
        <v>38090</v>
      </c>
      <c r="B1340">
        <v>10241</v>
      </c>
      <c r="C1340">
        <v>209</v>
      </c>
      <c r="D1340" t="s">
        <v>193</v>
      </c>
      <c r="E1340" t="s">
        <v>144</v>
      </c>
      <c r="F1340" t="s">
        <v>15</v>
      </c>
      <c r="G1340" t="s">
        <v>17</v>
      </c>
      <c r="H1340">
        <v>33</v>
      </c>
      <c r="I1340" s="2">
        <v>55.7</v>
      </c>
      <c r="J1340" s="2">
        <v>33.299999999999997</v>
      </c>
      <c r="K1340" s="2">
        <v>1838.1</v>
      </c>
      <c r="L1340" s="2">
        <v>1098.9000000000001</v>
      </c>
      <c r="M1340" s="2">
        <v>739.2</v>
      </c>
      <c r="N1340">
        <v>1</v>
      </c>
    </row>
    <row r="1341" spans="1:14" x14ac:dyDescent="0.3">
      <c r="A1341" s="1">
        <v>38090</v>
      </c>
      <c r="B1341">
        <v>10241</v>
      </c>
      <c r="C1341">
        <v>209</v>
      </c>
      <c r="D1341" t="s">
        <v>193</v>
      </c>
      <c r="E1341" t="s">
        <v>144</v>
      </c>
      <c r="F1341" t="s">
        <v>29</v>
      </c>
      <c r="G1341" t="s">
        <v>130</v>
      </c>
      <c r="H1341">
        <v>44</v>
      </c>
      <c r="I1341" s="2">
        <v>126.72</v>
      </c>
      <c r="J1341" s="2">
        <v>56.76</v>
      </c>
      <c r="K1341" s="2">
        <v>5575.68</v>
      </c>
      <c r="L1341" s="2">
        <v>2497.44</v>
      </c>
      <c r="M1341" s="2">
        <v>3078.24</v>
      </c>
      <c r="N1341">
        <v>1</v>
      </c>
    </row>
    <row r="1342" spans="1:14" x14ac:dyDescent="0.3">
      <c r="A1342" s="1">
        <v>38090</v>
      </c>
      <c r="B1342">
        <v>10241</v>
      </c>
      <c r="C1342">
        <v>209</v>
      </c>
      <c r="D1342" t="s">
        <v>193</v>
      </c>
      <c r="E1342" t="s">
        <v>144</v>
      </c>
      <c r="F1342" t="s">
        <v>15</v>
      </c>
      <c r="G1342" t="s">
        <v>18</v>
      </c>
      <c r="H1342">
        <v>42</v>
      </c>
      <c r="I1342" s="2">
        <v>77.31</v>
      </c>
      <c r="J1342" s="2">
        <v>43.26</v>
      </c>
      <c r="K1342" s="2">
        <v>3247.02</v>
      </c>
      <c r="L1342" s="2">
        <v>1816.92</v>
      </c>
      <c r="M1342" s="2">
        <v>1430.1</v>
      </c>
      <c r="N1342">
        <v>1</v>
      </c>
    </row>
    <row r="1343" spans="1:14" x14ac:dyDescent="0.3">
      <c r="A1343" s="1">
        <v>38090</v>
      </c>
      <c r="B1343">
        <v>10241</v>
      </c>
      <c r="C1343">
        <v>209</v>
      </c>
      <c r="D1343" t="s">
        <v>193</v>
      </c>
      <c r="E1343" t="s">
        <v>144</v>
      </c>
      <c r="F1343" t="s">
        <v>29</v>
      </c>
      <c r="G1343" t="s">
        <v>135</v>
      </c>
      <c r="H1343">
        <v>30</v>
      </c>
      <c r="I1343" s="2">
        <v>62.72</v>
      </c>
      <c r="J1343" s="2">
        <v>34.21</v>
      </c>
      <c r="K1343" s="2">
        <v>1881.6</v>
      </c>
      <c r="L1343" s="2">
        <v>1026.3</v>
      </c>
      <c r="M1343" s="2">
        <v>855.3</v>
      </c>
      <c r="N1343">
        <v>1</v>
      </c>
    </row>
    <row r="1344" spans="1:14" x14ac:dyDescent="0.3">
      <c r="A1344" s="1">
        <v>38090</v>
      </c>
      <c r="B1344">
        <v>10241</v>
      </c>
      <c r="C1344">
        <v>209</v>
      </c>
      <c r="D1344" t="s">
        <v>193</v>
      </c>
      <c r="E1344" t="s">
        <v>144</v>
      </c>
      <c r="F1344" t="s">
        <v>29</v>
      </c>
      <c r="G1344" t="s">
        <v>136</v>
      </c>
      <c r="H1344">
        <v>22</v>
      </c>
      <c r="I1344" s="2">
        <v>72.02</v>
      </c>
      <c r="J1344" s="2">
        <v>49.24</v>
      </c>
      <c r="K1344" s="2">
        <v>1584.44</v>
      </c>
      <c r="L1344" s="2">
        <v>1083.28</v>
      </c>
      <c r="M1344" s="2">
        <v>501.16</v>
      </c>
      <c r="N1344">
        <v>1</v>
      </c>
    </row>
    <row r="1345" spans="1:14" x14ac:dyDescent="0.3">
      <c r="A1345" s="1">
        <v>38090</v>
      </c>
      <c r="B1345">
        <v>10241</v>
      </c>
      <c r="C1345">
        <v>209</v>
      </c>
      <c r="D1345" t="s">
        <v>193</v>
      </c>
      <c r="E1345" t="s">
        <v>144</v>
      </c>
      <c r="F1345" t="s">
        <v>29</v>
      </c>
      <c r="G1345" t="s">
        <v>137</v>
      </c>
      <c r="H1345">
        <v>21</v>
      </c>
      <c r="I1345" s="2">
        <v>47.29</v>
      </c>
      <c r="J1345" s="2">
        <v>29.18</v>
      </c>
      <c r="K1345" s="2">
        <v>993.09</v>
      </c>
      <c r="L1345" s="2">
        <v>612.78</v>
      </c>
      <c r="M1345" s="2">
        <v>380.31</v>
      </c>
      <c r="N1345">
        <v>1</v>
      </c>
    </row>
    <row r="1346" spans="1:14" x14ac:dyDescent="0.3">
      <c r="A1346" s="1">
        <v>38090</v>
      </c>
      <c r="B1346">
        <v>10241</v>
      </c>
      <c r="C1346">
        <v>209</v>
      </c>
      <c r="D1346" t="s">
        <v>193</v>
      </c>
      <c r="E1346" t="s">
        <v>144</v>
      </c>
      <c r="F1346" t="s">
        <v>29</v>
      </c>
      <c r="G1346" t="s">
        <v>138</v>
      </c>
      <c r="H1346">
        <v>47</v>
      </c>
      <c r="I1346" s="2">
        <v>89.05</v>
      </c>
      <c r="J1346" s="2">
        <v>47.25</v>
      </c>
      <c r="K1346" s="2">
        <v>4185.3500000000004</v>
      </c>
      <c r="L1346" s="2">
        <v>2220.75</v>
      </c>
      <c r="M1346" s="2">
        <v>1964.6</v>
      </c>
      <c r="N1346">
        <v>1</v>
      </c>
    </row>
    <row r="1347" spans="1:14" x14ac:dyDescent="0.3">
      <c r="A1347" s="1">
        <v>38090</v>
      </c>
      <c r="B1347">
        <v>10241</v>
      </c>
      <c r="C1347">
        <v>209</v>
      </c>
      <c r="D1347" t="s">
        <v>193</v>
      </c>
      <c r="E1347" t="s">
        <v>144</v>
      </c>
      <c r="F1347" t="s">
        <v>29</v>
      </c>
      <c r="G1347" t="s">
        <v>139</v>
      </c>
      <c r="H1347">
        <v>28</v>
      </c>
      <c r="I1347" s="2">
        <v>117.44</v>
      </c>
      <c r="J1347" s="2">
        <v>72.819999999999993</v>
      </c>
      <c r="K1347" s="2">
        <v>3288.32</v>
      </c>
      <c r="L1347" s="2">
        <v>2038.96</v>
      </c>
      <c r="M1347" s="2">
        <v>1249.3599999999999</v>
      </c>
      <c r="N1347">
        <v>1</v>
      </c>
    </row>
    <row r="1348" spans="1:14" x14ac:dyDescent="0.3">
      <c r="A1348" s="1">
        <v>38090</v>
      </c>
      <c r="B1348">
        <v>10241</v>
      </c>
      <c r="C1348">
        <v>209</v>
      </c>
      <c r="D1348" t="s">
        <v>193</v>
      </c>
      <c r="E1348" t="s">
        <v>144</v>
      </c>
      <c r="F1348" t="s">
        <v>29</v>
      </c>
      <c r="G1348" t="s">
        <v>140</v>
      </c>
      <c r="H1348">
        <v>26</v>
      </c>
      <c r="I1348" s="2">
        <v>69.34</v>
      </c>
      <c r="J1348" s="2">
        <v>50.51</v>
      </c>
      <c r="K1348" s="2">
        <v>1802.84</v>
      </c>
      <c r="L1348" s="2">
        <v>1313.26</v>
      </c>
      <c r="M1348" s="2">
        <v>489.58</v>
      </c>
      <c r="N1348">
        <v>1</v>
      </c>
    </row>
    <row r="1349" spans="1:14" x14ac:dyDescent="0.3">
      <c r="A1349" s="1">
        <v>38090</v>
      </c>
      <c r="B1349">
        <v>10241</v>
      </c>
      <c r="C1349">
        <v>209</v>
      </c>
      <c r="D1349" t="s">
        <v>193</v>
      </c>
      <c r="E1349" t="s">
        <v>144</v>
      </c>
      <c r="F1349" t="s">
        <v>29</v>
      </c>
      <c r="G1349" t="s">
        <v>141</v>
      </c>
      <c r="H1349">
        <v>27</v>
      </c>
      <c r="I1349" s="2">
        <v>107.08</v>
      </c>
      <c r="J1349" s="2">
        <v>62.11</v>
      </c>
      <c r="K1349" s="2">
        <v>2891.16</v>
      </c>
      <c r="L1349" s="2">
        <v>1676.97</v>
      </c>
      <c r="M1349" s="2">
        <v>1214.19</v>
      </c>
      <c r="N1349">
        <v>1</v>
      </c>
    </row>
    <row r="1350" spans="1:14" x14ac:dyDescent="0.3">
      <c r="A1350" s="1">
        <v>38097</v>
      </c>
      <c r="B1350">
        <v>10242</v>
      </c>
      <c r="C1350">
        <v>456</v>
      </c>
      <c r="D1350" t="s">
        <v>243</v>
      </c>
      <c r="E1350" t="s">
        <v>14</v>
      </c>
      <c r="F1350" t="s">
        <v>15</v>
      </c>
      <c r="G1350" t="s">
        <v>19</v>
      </c>
      <c r="H1350">
        <v>46</v>
      </c>
      <c r="I1350" s="2">
        <v>36.520000000000003</v>
      </c>
      <c r="J1350" s="2">
        <v>21.75</v>
      </c>
      <c r="K1350" s="2">
        <v>1679.92</v>
      </c>
      <c r="L1350" s="2">
        <v>1000.5</v>
      </c>
      <c r="M1350" s="2">
        <v>679.42</v>
      </c>
      <c r="N1350">
        <v>1</v>
      </c>
    </row>
    <row r="1351" spans="1:14" x14ac:dyDescent="0.3">
      <c r="A1351" s="1">
        <v>38103</v>
      </c>
      <c r="B1351">
        <v>10243</v>
      </c>
      <c r="C1351">
        <v>495</v>
      </c>
      <c r="D1351" t="s">
        <v>184</v>
      </c>
      <c r="E1351" t="s">
        <v>14</v>
      </c>
      <c r="F1351" t="s">
        <v>15</v>
      </c>
      <c r="G1351" t="s">
        <v>21</v>
      </c>
      <c r="H1351">
        <v>47</v>
      </c>
      <c r="I1351" s="2">
        <v>111.87</v>
      </c>
      <c r="J1351" s="2">
        <v>58.48</v>
      </c>
      <c r="K1351" s="2">
        <v>5257.89</v>
      </c>
      <c r="L1351" s="2">
        <v>2748.56</v>
      </c>
      <c r="M1351" s="2">
        <v>2509.33</v>
      </c>
      <c r="N1351">
        <v>2</v>
      </c>
    </row>
    <row r="1352" spans="1:14" x14ac:dyDescent="0.3">
      <c r="A1352" s="1">
        <v>38103</v>
      </c>
      <c r="B1352">
        <v>10243</v>
      </c>
      <c r="C1352">
        <v>495</v>
      </c>
      <c r="D1352" t="s">
        <v>184</v>
      </c>
      <c r="E1352" t="s">
        <v>14</v>
      </c>
      <c r="F1352" t="s">
        <v>15</v>
      </c>
      <c r="G1352" t="s">
        <v>23</v>
      </c>
      <c r="H1352">
        <v>33</v>
      </c>
      <c r="I1352" s="2">
        <v>30.87</v>
      </c>
      <c r="J1352" s="2">
        <v>22.57</v>
      </c>
      <c r="K1352" s="2">
        <v>1018.71</v>
      </c>
      <c r="L1352" s="2">
        <v>744.81</v>
      </c>
      <c r="M1352" s="2">
        <v>273.89999999999998</v>
      </c>
      <c r="N1352">
        <v>2</v>
      </c>
    </row>
    <row r="1353" spans="1:14" x14ac:dyDescent="0.3">
      <c r="A1353" s="1">
        <v>38106</v>
      </c>
      <c r="B1353">
        <v>10244</v>
      </c>
      <c r="C1353">
        <v>141</v>
      </c>
      <c r="D1353" t="s">
        <v>47</v>
      </c>
      <c r="E1353" t="s">
        <v>48</v>
      </c>
      <c r="F1353" t="s">
        <v>15</v>
      </c>
      <c r="G1353" t="s">
        <v>25</v>
      </c>
      <c r="H1353">
        <v>40</v>
      </c>
      <c r="I1353" s="2">
        <v>99.66</v>
      </c>
      <c r="J1353" s="2">
        <v>60.62</v>
      </c>
      <c r="K1353" s="2">
        <v>3986.4</v>
      </c>
      <c r="L1353" s="2">
        <v>2424.8000000000002</v>
      </c>
      <c r="M1353" s="2">
        <v>1561.6</v>
      </c>
      <c r="N1353">
        <v>10</v>
      </c>
    </row>
    <row r="1354" spans="1:14" x14ac:dyDescent="0.3">
      <c r="A1354" s="1">
        <v>38106</v>
      </c>
      <c r="B1354">
        <v>10244</v>
      </c>
      <c r="C1354">
        <v>141</v>
      </c>
      <c r="D1354" t="s">
        <v>47</v>
      </c>
      <c r="E1354" t="s">
        <v>48</v>
      </c>
      <c r="F1354" t="s">
        <v>15</v>
      </c>
      <c r="G1354" t="s">
        <v>26</v>
      </c>
      <c r="H1354">
        <v>20</v>
      </c>
      <c r="I1354" s="2">
        <v>48.52</v>
      </c>
      <c r="J1354" s="2">
        <v>24.26</v>
      </c>
      <c r="K1354" s="2">
        <v>970.4</v>
      </c>
      <c r="L1354" s="2">
        <v>485.2</v>
      </c>
      <c r="M1354" s="2">
        <v>485.2</v>
      </c>
      <c r="N1354">
        <v>10</v>
      </c>
    </row>
    <row r="1355" spans="1:14" x14ac:dyDescent="0.3">
      <c r="A1355" s="1">
        <v>38106</v>
      </c>
      <c r="B1355">
        <v>10244</v>
      </c>
      <c r="C1355">
        <v>141</v>
      </c>
      <c r="D1355" t="s">
        <v>47</v>
      </c>
      <c r="E1355" t="s">
        <v>48</v>
      </c>
      <c r="F1355" t="s">
        <v>15</v>
      </c>
      <c r="G1355" t="s">
        <v>22</v>
      </c>
      <c r="H1355">
        <v>43</v>
      </c>
      <c r="I1355" s="2">
        <v>141.75</v>
      </c>
      <c r="J1355" s="2">
        <v>72.56</v>
      </c>
      <c r="K1355" s="2">
        <v>6095.25</v>
      </c>
      <c r="L1355" s="2">
        <v>3120.08</v>
      </c>
      <c r="M1355" s="2">
        <v>2975.17</v>
      </c>
      <c r="N1355">
        <v>10</v>
      </c>
    </row>
    <row r="1356" spans="1:14" x14ac:dyDescent="0.3">
      <c r="A1356" s="1">
        <v>38106</v>
      </c>
      <c r="B1356">
        <v>10244</v>
      </c>
      <c r="C1356">
        <v>141</v>
      </c>
      <c r="D1356" t="s">
        <v>47</v>
      </c>
      <c r="E1356" t="s">
        <v>48</v>
      </c>
      <c r="F1356" t="s">
        <v>15</v>
      </c>
      <c r="G1356" t="s">
        <v>36</v>
      </c>
      <c r="H1356">
        <v>30</v>
      </c>
      <c r="I1356" s="2">
        <v>87.13</v>
      </c>
      <c r="J1356" s="2">
        <v>60.78</v>
      </c>
      <c r="K1356" s="2">
        <v>2613.9</v>
      </c>
      <c r="L1356" s="2">
        <v>1823.4</v>
      </c>
      <c r="M1356" s="2">
        <v>790.5</v>
      </c>
      <c r="N1356">
        <v>10</v>
      </c>
    </row>
    <row r="1357" spans="1:14" x14ac:dyDescent="0.3">
      <c r="A1357" s="1">
        <v>38106</v>
      </c>
      <c r="B1357">
        <v>10244</v>
      </c>
      <c r="C1357">
        <v>141</v>
      </c>
      <c r="D1357" t="s">
        <v>47</v>
      </c>
      <c r="E1357" t="s">
        <v>48</v>
      </c>
      <c r="F1357" t="s">
        <v>15</v>
      </c>
      <c r="G1357" t="s">
        <v>37</v>
      </c>
      <c r="H1357">
        <v>24</v>
      </c>
      <c r="I1357" s="2">
        <v>54.96</v>
      </c>
      <c r="J1357" s="2">
        <v>34.35</v>
      </c>
      <c r="K1357" s="2">
        <v>1319.04</v>
      </c>
      <c r="L1357" s="2">
        <v>824.4</v>
      </c>
      <c r="M1357" s="2">
        <v>494.64</v>
      </c>
      <c r="N1357">
        <v>10</v>
      </c>
    </row>
    <row r="1358" spans="1:14" x14ac:dyDescent="0.3">
      <c r="A1358" s="1">
        <v>38106</v>
      </c>
      <c r="B1358">
        <v>10244</v>
      </c>
      <c r="C1358">
        <v>141</v>
      </c>
      <c r="D1358" t="s">
        <v>47</v>
      </c>
      <c r="E1358" t="s">
        <v>48</v>
      </c>
      <c r="F1358" t="s">
        <v>15</v>
      </c>
      <c r="G1358" t="s">
        <v>38</v>
      </c>
      <c r="H1358">
        <v>29</v>
      </c>
      <c r="I1358" s="2">
        <v>85.87</v>
      </c>
      <c r="J1358" s="2">
        <v>60.74</v>
      </c>
      <c r="K1358" s="2">
        <v>2490.23</v>
      </c>
      <c r="L1358" s="2">
        <v>1761.46</v>
      </c>
      <c r="M1358" s="2">
        <v>728.77</v>
      </c>
      <c r="N1358">
        <v>10</v>
      </c>
    </row>
    <row r="1359" spans="1:14" x14ac:dyDescent="0.3">
      <c r="A1359" s="1">
        <v>38106</v>
      </c>
      <c r="B1359">
        <v>10244</v>
      </c>
      <c r="C1359">
        <v>141</v>
      </c>
      <c r="D1359" t="s">
        <v>47</v>
      </c>
      <c r="E1359" t="s">
        <v>48</v>
      </c>
      <c r="F1359" t="s">
        <v>15</v>
      </c>
      <c r="G1359" t="s">
        <v>39</v>
      </c>
      <c r="H1359">
        <v>36</v>
      </c>
      <c r="I1359" s="2">
        <v>87.3</v>
      </c>
      <c r="J1359" s="2">
        <v>57.54</v>
      </c>
      <c r="K1359" s="2">
        <v>3142.8</v>
      </c>
      <c r="L1359" s="2">
        <v>2071.44</v>
      </c>
      <c r="M1359" s="2">
        <v>1071.3599999999999</v>
      </c>
      <c r="N1359">
        <v>10</v>
      </c>
    </row>
    <row r="1360" spans="1:14" x14ac:dyDescent="0.3">
      <c r="A1360" s="1">
        <v>38106</v>
      </c>
      <c r="B1360">
        <v>10244</v>
      </c>
      <c r="C1360">
        <v>141</v>
      </c>
      <c r="D1360" t="s">
        <v>47</v>
      </c>
      <c r="E1360" t="s">
        <v>48</v>
      </c>
      <c r="F1360" t="s">
        <v>15</v>
      </c>
      <c r="G1360" t="s">
        <v>24</v>
      </c>
      <c r="H1360">
        <v>39</v>
      </c>
      <c r="I1360" s="2">
        <v>42.11</v>
      </c>
      <c r="J1360" s="2">
        <v>20.61</v>
      </c>
      <c r="K1360" s="2">
        <v>1642.29</v>
      </c>
      <c r="L1360" s="2">
        <v>803.79</v>
      </c>
      <c r="M1360" s="2">
        <v>838.5</v>
      </c>
      <c r="N1360">
        <v>10</v>
      </c>
    </row>
    <row r="1361" spans="1:14" x14ac:dyDescent="0.3">
      <c r="A1361" s="1">
        <v>38106</v>
      </c>
      <c r="B1361">
        <v>10244</v>
      </c>
      <c r="C1361">
        <v>141</v>
      </c>
      <c r="D1361" t="s">
        <v>47</v>
      </c>
      <c r="E1361" t="s">
        <v>48</v>
      </c>
      <c r="F1361" t="s">
        <v>15</v>
      </c>
      <c r="G1361" t="s">
        <v>43</v>
      </c>
      <c r="H1361">
        <v>40</v>
      </c>
      <c r="I1361" s="2">
        <v>97.39</v>
      </c>
      <c r="J1361" s="2">
        <v>57.46</v>
      </c>
      <c r="K1361" s="2">
        <v>3895.6</v>
      </c>
      <c r="L1361" s="2">
        <v>2298.4</v>
      </c>
      <c r="M1361" s="2">
        <v>1597.2</v>
      </c>
      <c r="N1361">
        <v>10</v>
      </c>
    </row>
    <row r="1362" spans="1:14" x14ac:dyDescent="0.3">
      <c r="A1362" s="1">
        <v>38111</v>
      </c>
      <c r="B1362">
        <v>10245</v>
      </c>
      <c r="C1362">
        <v>455</v>
      </c>
      <c r="D1362" t="s">
        <v>232</v>
      </c>
      <c r="E1362" t="s">
        <v>14</v>
      </c>
      <c r="F1362" t="s">
        <v>29</v>
      </c>
      <c r="G1362" t="s">
        <v>30</v>
      </c>
      <c r="H1362">
        <v>34</v>
      </c>
      <c r="I1362" s="2">
        <v>195.01</v>
      </c>
      <c r="J1362" s="2">
        <v>98.58</v>
      </c>
      <c r="K1362" s="2">
        <v>6630.34</v>
      </c>
      <c r="L1362" s="2">
        <v>3351.72</v>
      </c>
      <c r="M1362" s="2">
        <v>3278.62</v>
      </c>
      <c r="N1362">
        <v>2</v>
      </c>
    </row>
    <row r="1363" spans="1:14" x14ac:dyDescent="0.3">
      <c r="A1363" s="1">
        <v>38111</v>
      </c>
      <c r="B1363">
        <v>10245</v>
      </c>
      <c r="C1363">
        <v>455</v>
      </c>
      <c r="D1363" t="s">
        <v>232</v>
      </c>
      <c r="E1363" t="s">
        <v>14</v>
      </c>
      <c r="F1363" t="s">
        <v>29</v>
      </c>
      <c r="G1363" t="s">
        <v>31</v>
      </c>
      <c r="H1363">
        <v>28</v>
      </c>
      <c r="I1363" s="2">
        <v>147.74</v>
      </c>
      <c r="J1363" s="2">
        <v>103.42</v>
      </c>
      <c r="K1363" s="2">
        <v>4136.72</v>
      </c>
      <c r="L1363" s="2">
        <v>2895.76</v>
      </c>
      <c r="M1363" s="2">
        <v>1240.96</v>
      </c>
      <c r="N1363">
        <v>2</v>
      </c>
    </row>
    <row r="1364" spans="1:14" x14ac:dyDescent="0.3">
      <c r="A1364" s="1">
        <v>38111</v>
      </c>
      <c r="B1364">
        <v>10245</v>
      </c>
      <c r="C1364">
        <v>455</v>
      </c>
      <c r="D1364" t="s">
        <v>232</v>
      </c>
      <c r="E1364" t="s">
        <v>14</v>
      </c>
      <c r="F1364" t="s">
        <v>32</v>
      </c>
      <c r="G1364" t="s">
        <v>33</v>
      </c>
      <c r="H1364">
        <v>38</v>
      </c>
      <c r="I1364" s="2">
        <v>120.27</v>
      </c>
      <c r="J1364" s="2">
        <v>77.900000000000006</v>
      </c>
      <c r="K1364" s="2">
        <v>4570.26</v>
      </c>
      <c r="L1364" s="2">
        <v>2960.2</v>
      </c>
      <c r="M1364" s="2">
        <v>1610.06</v>
      </c>
      <c r="N1364">
        <v>2</v>
      </c>
    </row>
    <row r="1365" spans="1:14" x14ac:dyDescent="0.3">
      <c r="A1365" s="1">
        <v>38111</v>
      </c>
      <c r="B1365">
        <v>10245</v>
      </c>
      <c r="C1365">
        <v>455</v>
      </c>
      <c r="D1365" t="s">
        <v>232</v>
      </c>
      <c r="E1365" t="s">
        <v>14</v>
      </c>
      <c r="F1365" t="s">
        <v>32</v>
      </c>
      <c r="G1365" t="s">
        <v>34</v>
      </c>
      <c r="H1365">
        <v>29</v>
      </c>
      <c r="I1365" s="2">
        <v>114.34</v>
      </c>
      <c r="J1365" s="2">
        <v>58.33</v>
      </c>
      <c r="K1365" s="2">
        <v>3315.86</v>
      </c>
      <c r="L1365" s="2">
        <v>1691.57</v>
      </c>
      <c r="M1365" s="2">
        <v>1624.29</v>
      </c>
      <c r="N1365">
        <v>2</v>
      </c>
    </row>
    <row r="1366" spans="1:14" x14ac:dyDescent="0.3">
      <c r="A1366" s="1">
        <v>38111</v>
      </c>
      <c r="B1366">
        <v>10245</v>
      </c>
      <c r="C1366">
        <v>455</v>
      </c>
      <c r="D1366" t="s">
        <v>232</v>
      </c>
      <c r="E1366" t="s">
        <v>14</v>
      </c>
      <c r="F1366" t="s">
        <v>32</v>
      </c>
      <c r="G1366" t="s">
        <v>40</v>
      </c>
      <c r="H1366">
        <v>21</v>
      </c>
      <c r="I1366" s="2">
        <v>111.39</v>
      </c>
      <c r="J1366" s="2">
        <v>84.76</v>
      </c>
      <c r="K1366" s="2">
        <v>2339.19</v>
      </c>
      <c r="L1366" s="2">
        <v>1779.96</v>
      </c>
      <c r="M1366" s="2">
        <v>559.23</v>
      </c>
      <c r="N1366">
        <v>2</v>
      </c>
    </row>
    <row r="1367" spans="1:14" x14ac:dyDescent="0.3">
      <c r="A1367" s="1">
        <v>38111</v>
      </c>
      <c r="B1367">
        <v>10245</v>
      </c>
      <c r="C1367">
        <v>455</v>
      </c>
      <c r="D1367" t="s">
        <v>232</v>
      </c>
      <c r="E1367" t="s">
        <v>14</v>
      </c>
      <c r="F1367" t="s">
        <v>15</v>
      </c>
      <c r="G1367" t="s">
        <v>41</v>
      </c>
      <c r="H1367">
        <v>45</v>
      </c>
      <c r="I1367" s="2">
        <v>48.8</v>
      </c>
      <c r="J1367" s="2">
        <v>23.14</v>
      </c>
      <c r="K1367" s="2">
        <v>2196</v>
      </c>
      <c r="L1367" s="2">
        <v>1041.3</v>
      </c>
      <c r="M1367" s="2">
        <v>1154.7</v>
      </c>
      <c r="N1367">
        <v>2</v>
      </c>
    </row>
    <row r="1368" spans="1:14" x14ac:dyDescent="0.3">
      <c r="A1368" s="1">
        <v>38111</v>
      </c>
      <c r="B1368">
        <v>10245</v>
      </c>
      <c r="C1368">
        <v>455</v>
      </c>
      <c r="D1368" t="s">
        <v>232</v>
      </c>
      <c r="E1368" t="s">
        <v>14</v>
      </c>
      <c r="F1368" t="s">
        <v>32</v>
      </c>
      <c r="G1368" t="s">
        <v>44</v>
      </c>
      <c r="H1368">
        <v>37</v>
      </c>
      <c r="I1368" s="2">
        <v>81.86</v>
      </c>
      <c r="J1368" s="2">
        <v>53.93</v>
      </c>
      <c r="K1368" s="2">
        <v>3028.82</v>
      </c>
      <c r="L1368" s="2">
        <v>1995.41</v>
      </c>
      <c r="M1368" s="2">
        <v>1033.4100000000001</v>
      </c>
      <c r="N1368">
        <v>2</v>
      </c>
    </row>
    <row r="1369" spans="1:14" x14ac:dyDescent="0.3">
      <c r="A1369" s="1">
        <v>38111</v>
      </c>
      <c r="B1369">
        <v>10245</v>
      </c>
      <c r="C1369">
        <v>455</v>
      </c>
      <c r="D1369" t="s">
        <v>232</v>
      </c>
      <c r="E1369" t="s">
        <v>14</v>
      </c>
      <c r="F1369" t="s">
        <v>32</v>
      </c>
      <c r="G1369" t="s">
        <v>45</v>
      </c>
      <c r="H1369">
        <v>44</v>
      </c>
      <c r="I1369" s="2">
        <v>54.94</v>
      </c>
      <c r="J1369" s="2">
        <v>33.61</v>
      </c>
      <c r="K1369" s="2">
        <v>2417.36</v>
      </c>
      <c r="L1369" s="2">
        <v>1478.84</v>
      </c>
      <c r="M1369" s="2">
        <v>938.52</v>
      </c>
      <c r="N1369">
        <v>2</v>
      </c>
    </row>
    <row r="1370" spans="1:14" x14ac:dyDescent="0.3">
      <c r="A1370" s="1">
        <v>38111</v>
      </c>
      <c r="B1370">
        <v>10245</v>
      </c>
      <c r="C1370">
        <v>455</v>
      </c>
      <c r="D1370" t="s">
        <v>232</v>
      </c>
      <c r="E1370" t="s">
        <v>14</v>
      </c>
      <c r="F1370" t="s">
        <v>29</v>
      </c>
      <c r="G1370" t="s">
        <v>46</v>
      </c>
      <c r="H1370">
        <v>44</v>
      </c>
      <c r="I1370" s="2">
        <v>81.93</v>
      </c>
      <c r="J1370" s="2">
        <v>46.53</v>
      </c>
      <c r="K1370" s="2">
        <v>3604.92</v>
      </c>
      <c r="L1370" s="2">
        <v>2047.32</v>
      </c>
      <c r="M1370" s="2">
        <v>1557.6</v>
      </c>
      <c r="N1370">
        <v>2</v>
      </c>
    </row>
    <row r="1371" spans="1:14" x14ac:dyDescent="0.3">
      <c r="A1371" s="1">
        <v>38112</v>
      </c>
      <c r="B1371">
        <v>10247</v>
      </c>
      <c r="C1371">
        <v>334</v>
      </c>
      <c r="D1371" t="s">
        <v>163</v>
      </c>
      <c r="E1371" t="s">
        <v>164</v>
      </c>
      <c r="F1371" t="s">
        <v>29</v>
      </c>
      <c r="G1371" t="s">
        <v>66</v>
      </c>
      <c r="H1371">
        <v>44</v>
      </c>
      <c r="I1371" s="2">
        <v>195.33</v>
      </c>
      <c r="J1371" s="2">
        <v>95.59</v>
      </c>
      <c r="K1371" s="2">
        <v>8594.52</v>
      </c>
      <c r="L1371" s="2">
        <v>4205.96</v>
      </c>
      <c r="M1371" s="2">
        <v>4388.5600000000004</v>
      </c>
      <c r="N1371">
        <v>2</v>
      </c>
    </row>
    <row r="1372" spans="1:14" x14ac:dyDescent="0.3">
      <c r="A1372" s="1">
        <v>38112</v>
      </c>
      <c r="B1372">
        <v>10247</v>
      </c>
      <c r="C1372">
        <v>334</v>
      </c>
      <c r="D1372" t="s">
        <v>163</v>
      </c>
      <c r="E1372" t="s">
        <v>164</v>
      </c>
      <c r="F1372" t="s">
        <v>29</v>
      </c>
      <c r="G1372" t="s">
        <v>49</v>
      </c>
      <c r="H1372">
        <v>25</v>
      </c>
      <c r="I1372" s="2">
        <v>140.5</v>
      </c>
      <c r="J1372" s="2">
        <v>89.14</v>
      </c>
      <c r="K1372" s="2">
        <v>3512.5</v>
      </c>
      <c r="L1372" s="2">
        <v>2228.5</v>
      </c>
      <c r="M1372" s="2">
        <v>1284</v>
      </c>
      <c r="N1372">
        <v>2</v>
      </c>
    </row>
    <row r="1373" spans="1:14" x14ac:dyDescent="0.3">
      <c r="A1373" s="1">
        <v>38112</v>
      </c>
      <c r="B1373">
        <v>10247</v>
      </c>
      <c r="C1373">
        <v>334</v>
      </c>
      <c r="D1373" t="s">
        <v>163</v>
      </c>
      <c r="E1373" t="s">
        <v>164</v>
      </c>
      <c r="F1373" t="s">
        <v>29</v>
      </c>
      <c r="G1373" t="s">
        <v>67</v>
      </c>
      <c r="H1373">
        <v>27</v>
      </c>
      <c r="I1373" s="2">
        <v>167.83</v>
      </c>
      <c r="J1373" s="2">
        <v>83.05</v>
      </c>
      <c r="K1373" s="2">
        <v>4531.41</v>
      </c>
      <c r="L1373" s="2">
        <v>2242.35</v>
      </c>
      <c r="M1373" s="2">
        <v>2289.06</v>
      </c>
      <c r="N1373">
        <v>2</v>
      </c>
    </row>
    <row r="1374" spans="1:14" x14ac:dyDescent="0.3">
      <c r="A1374" s="1">
        <v>38112</v>
      </c>
      <c r="B1374">
        <v>10247</v>
      </c>
      <c r="C1374">
        <v>334</v>
      </c>
      <c r="D1374" t="s">
        <v>163</v>
      </c>
      <c r="E1374" t="s">
        <v>164</v>
      </c>
      <c r="F1374" t="s">
        <v>29</v>
      </c>
      <c r="G1374" t="s">
        <v>54</v>
      </c>
      <c r="H1374">
        <v>48</v>
      </c>
      <c r="I1374" s="2">
        <v>143.62</v>
      </c>
      <c r="J1374" s="2">
        <v>91.92</v>
      </c>
      <c r="K1374" s="2">
        <v>6893.76</v>
      </c>
      <c r="L1374" s="2">
        <v>4412.16</v>
      </c>
      <c r="M1374" s="2">
        <v>2481.6</v>
      </c>
      <c r="N1374">
        <v>2</v>
      </c>
    </row>
    <row r="1375" spans="1:14" x14ac:dyDescent="0.3">
      <c r="A1375" s="1">
        <v>38112</v>
      </c>
      <c r="B1375">
        <v>10247</v>
      </c>
      <c r="C1375">
        <v>334</v>
      </c>
      <c r="D1375" t="s">
        <v>163</v>
      </c>
      <c r="E1375" t="s">
        <v>164</v>
      </c>
      <c r="F1375" t="s">
        <v>59</v>
      </c>
      <c r="G1375" t="s">
        <v>60</v>
      </c>
      <c r="H1375">
        <v>40</v>
      </c>
      <c r="I1375" s="2">
        <v>58.41</v>
      </c>
      <c r="J1375" s="2">
        <v>26.72</v>
      </c>
      <c r="K1375" s="2">
        <v>2336.4</v>
      </c>
      <c r="L1375" s="2">
        <v>1068.8</v>
      </c>
      <c r="M1375" s="2">
        <v>1267.5999999999999</v>
      </c>
      <c r="N1375">
        <v>2</v>
      </c>
    </row>
    <row r="1376" spans="1:14" x14ac:dyDescent="0.3">
      <c r="A1376" s="1">
        <v>38112</v>
      </c>
      <c r="B1376">
        <v>10247</v>
      </c>
      <c r="C1376">
        <v>334</v>
      </c>
      <c r="D1376" t="s">
        <v>163</v>
      </c>
      <c r="E1376" t="s">
        <v>164</v>
      </c>
      <c r="F1376" t="s">
        <v>59</v>
      </c>
      <c r="G1376" t="s">
        <v>62</v>
      </c>
      <c r="H1376">
        <v>49</v>
      </c>
      <c r="I1376" s="2">
        <v>51.55</v>
      </c>
      <c r="J1376" s="2">
        <v>37.49</v>
      </c>
      <c r="K1376" s="2">
        <v>2525.9499999999998</v>
      </c>
      <c r="L1376" s="2">
        <v>1837.01</v>
      </c>
      <c r="M1376" s="2">
        <v>688.94</v>
      </c>
      <c r="N1376">
        <v>2</v>
      </c>
    </row>
    <row r="1377" spans="1:14" x14ac:dyDescent="0.3">
      <c r="A1377" s="1">
        <v>38112</v>
      </c>
      <c r="B1377">
        <v>10246</v>
      </c>
      <c r="C1377">
        <v>141</v>
      </c>
      <c r="D1377" t="s">
        <v>47</v>
      </c>
      <c r="E1377" t="s">
        <v>48</v>
      </c>
      <c r="F1377" t="s">
        <v>32</v>
      </c>
      <c r="G1377" t="s">
        <v>50</v>
      </c>
      <c r="H1377">
        <v>46</v>
      </c>
      <c r="I1377" s="2">
        <v>99.54</v>
      </c>
      <c r="J1377" s="2">
        <v>55.7</v>
      </c>
      <c r="K1377" s="2">
        <v>4578.84</v>
      </c>
      <c r="L1377" s="2">
        <v>2562.1999999999998</v>
      </c>
      <c r="M1377" s="2">
        <v>2016.64</v>
      </c>
      <c r="N1377">
        <v>11</v>
      </c>
    </row>
    <row r="1378" spans="1:14" x14ac:dyDescent="0.3">
      <c r="A1378" s="1">
        <v>38112</v>
      </c>
      <c r="B1378">
        <v>10246</v>
      </c>
      <c r="C1378">
        <v>141</v>
      </c>
      <c r="D1378" t="s">
        <v>47</v>
      </c>
      <c r="E1378" t="s">
        <v>48</v>
      </c>
      <c r="F1378" t="s">
        <v>29</v>
      </c>
      <c r="G1378" t="s">
        <v>51</v>
      </c>
      <c r="H1378">
        <v>40</v>
      </c>
      <c r="I1378" s="2">
        <v>144.08000000000001</v>
      </c>
      <c r="J1378" s="2">
        <v>101.51</v>
      </c>
      <c r="K1378" s="2">
        <v>5763.2</v>
      </c>
      <c r="L1378" s="2">
        <v>4060.4</v>
      </c>
      <c r="M1378" s="2">
        <v>1702.8</v>
      </c>
      <c r="N1378">
        <v>11</v>
      </c>
    </row>
    <row r="1379" spans="1:14" x14ac:dyDescent="0.3">
      <c r="A1379" s="1">
        <v>38112</v>
      </c>
      <c r="B1379">
        <v>10246</v>
      </c>
      <c r="C1379">
        <v>141</v>
      </c>
      <c r="D1379" t="s">
        <v>47</v>
      </c>
      <c r="E1379" t="s">
        <v>48</v>
      </c>
      <c r="F1379" t="s">
        <v>32</v>
      </c>
      <c r="G1379" t="s">
        <v>52</v>
      </c>
      <c r="H1379">
        <v>22</v>
      </c>
      <c r="I1379" s="2">
        <v>100.64</v>
      </c>
      <c r="J1379" s="2">
        <v>74.86</v>
      </c>
      <c r="K1379" s="2">
        <v>2214.08</v>
      </c>
      <c r="L1379" s="2">
        <v>1646.92</v>
      </c>
      <c r="M1379" s="2">
        <v>567.16</v>
      </c>
      <c r="N1379">
        <v>11</v>
      </c>
    </row>
    <row r="1380" spans="1:14" x14ac:dyDescent="0.3">
      <c r="A1380" s="1">
        <v>38112</v>
      </c>
      <c r="B1380">
        <v>10246</v>
      </c>
      <c r="C1380">
        <v>141</v>
      </c>
      <c r="D1380" t="s">
        <v>47</v>
      </c>
      <c r="E1380" t="s">
        <v>48</v>
      </c>
      <c r="F1380" t="s">
        <v>32</v>
      </c>
      <c r="G1380" t="s">
        <v>35</v>
      </c>
      <c r="H1380">
        <v>30</v>
      </c>
      <c r="I1380" s="2">
        <v>57.73</v>
      </c>
      <c r="J1380" s="2">
        <v>24.92</v>
      </c>
      <c r="K1380" s="2">
        <v>1731.9</v>
      </c>
      <c r="L1380" s="2">
        <v>747.6</v>
      </c>
      <c r="M1380" s="2">
        <v>984.3</v>
      </c>
      <c r="N1380">
        <v>11</v>
      </c>
    </row>
    <row r="1381" spans="1:14" x14ac:dyDescent="0.3">
      <c r="A1381" s="1">
        <v>38112</v>
      </c>
      <c r="B1381">
        <v>10246</v>
      </c>
      <c r="C1381">
        <v>141</v>
      </c>
      <c r="D1381" t="s">
        <v>47</v>
      </c>
      <c r="E1381" t="s">
        <v>48</v>
      </c>
      <c r="F1381" t="s">
        <v>29</v>
      </c>
      <c r="G1381" t="s">
        <v>53</v>
      </c>
      <c r="H1381">
        <v>36</v>
      </c>
      <c r="I1381" s="2">
        <v>145.63</v>
      </c>
      <c r="J1381" s="2">
        <v>77.900000000000006</v>
      </c>
      <c r="K1381" s="2">
        <v>5242.68</v>
      </c>
      <c r="L1381" s="2">
        <v>2804.4</v>
      </c>
      <c r="M1381" s="2">
        <v>2438.2800000000002</v>
      </c>
      <c r="N1381">
        <v>11</v>
      </c>
    </row>
    <row r="1382" spans="1:14" x14ac:dyDescent="0.3">
      <c r="A1382" s="1">
        <v>38112</v>
      </c>
      <c r="B1382">
        <v>10246</v>
      </c>
      <c r="C1382">
        <v>141</v>
      </c>
      <c r="D1382" t="s">
        <v>47</v>
      </c>
      <c r="E1382" t="s">
        <v>48</v>
      </c>
      <c r="F1382" t="s">
        <v>29</v>
      </c>
      <c r="G1382" t="s">
        <v>55</v>
      </c>
      <c r="H1382">
        <v>44</v>
      </c>
      <c r="I1382" s="2">
        <v>46.24</v>
      </c>
      <c r="J1382" s="2">
        <v>32.369999999999997</v>
      </c>
      <c r="K1382" s="2">
        <v>2034.56</v>
      </c>
      <c r="L1382" s="2">
        <v>1424.28</v>
      </c>
      <c r="M1382" s="2">
        <v>610.28</v>
      </c>
      <c r="N1382">
        <v>11</v>
      </c>
    </row>
    <row r="1383" spans="1:14" x14ac:dyDescent="0.3">
      <c r="A1383" s="1">
        <v>38112</v>
      </c>
      <c r="B1383">
        <v>10246</v>
      </c>
      <c r="C1383">
        <v>141</v>
      </c>
      <c r="D1383" t="s">
        <v>47</v>
      </c>
      <c r="E1383" t="s">
        <v>48</v>
      </c>
      <c r="F1383" t="s">
        <v>32</v>
      </c>
      <c r="G1383" t="s">
        <v>42</v>
      </c>
      <c r="H1383">
        <v>29</v>
      </c>
      <c r="I1383" s="2">
        <v>118.84</v>
      </c>
      <c r="J1383" s="2">
        <v>61.34</v>
      </c>
      <c r="K1383" s="2">
        <v>3446.36</v>
      </c>
      <c r="L1383" s="2">
        <v>1778.86</v>
      </c>
      <c r="M1383" s="2">
        <v>1667.5</v>
      </c>
      <c r="N1383">
        <v>11</v>
      </c>
    </row>
    <row r="1384" spans="1:14" x14ac:dyDescent="0.3">
      <c r="A1384" s="1">
        <v>38112</v>
      </c>
      <c r="B1384">
        <v>10246</v>
      </c>
      <c r="C1384">
        <v>141</v>
      </c>
      <c r="D1384" t="s">
        <v>47</v>
      </c>
      <c r="E1384" t="s">
        <v>48</v>
      </c>
      <c r="F1384" t="s">
        <v>29</v>
      </c>
      <c r="G1384" t="s">
        <v>56</v>
      </c>
      <c r="H1384">
        <v>49</v>
      </c>
      <c r="I1384" s="2">
        <v>34.65</v>
      </c>
      <c r="J1384" s="2">
        <v>15.91</v>
      </c>
      <c r="K1384" s="2">
        <v>1697.85</v>
      </c>
      <c r="L1384" s="2">
        <v>779.59</v>
      </c>
      <c r="M1384" s="2">
        <v>918.26</v>
      </c>
      <c r="N1384">
        <v>11</v>
      </c>
    </row>
    <row r="1385" spans="1:14" x14ac:dyDescent="0.3">
      <c r="A1385" s="1">
        <v>38112</v>
      </c>
      <c r="B1385">
        <v>10246</v>
      </c>
      <c r="C1385">
        <v>141</v>
      </c>
      <c r="D1385" t="s">
        <v>47</v>
      </c>
      <c r="E1385" t="s">
        <v>48</v>
      </c>
      <c r="F1385" t="s">
        <v>29</v>
      </c>
      <c r="G1385" t="s">
        <v>57</v>
      </c>
      <c r="H1385">
        <v>46</v>
      </c>
      <c r="I1385" s="2">
        <v>100.54</v>
      </c>
      <c r="J1385" s="2">
        <v>69.78</v>
      </c>
      <c r="K1385" s="2">
        <v>4624.84</v>
      </c>
      <c r="L1385" s="2">
        <v>3209.88</v>
      </c>
      <c r="M1385" s="2">
        <v>1414.96</v>
      </c>
      <c r="N1385">
        <v>11</v>
      </c>
    </row>
    <row r="1386" spans="1:14" x14ac:dyDescent="0.3">
      <c r="A1386" s="1">
        <v>38112</v>
      </c>
      <c r="B1386">
        <v>10246</v>
      </c>
      <c r="C1386">
        <v>141</v>
      </c>
      <c r="D1386" t="s">
        <v>47</v>
      </c>
      <c r="E1386" t="s">
        <v>48</v>
      </c>
      <c r="F1386" t="s">
        <v>32</v>
      </c>
      <c r="G1386" t="s">
        <v>58</v>
      </c>
      <c r="H1386">
        <v>35</v>
      </c>
      <c r="I1386" s="2">
        <v>45.45</v>
      </c>
      <c r="J1386" s="2">
        <v>25.98</v>
      </c>
      <c r="K1386" s="2">
        <v>1590.75</v>
      </c>
      <c r="L1386" s="2">
        <v>909.3</v>
      </c>
      <c r="M1386" s="2">
        <v>681.45</v>
      </c>
      <c r="N1386">
        <v>11</v>
      </c>
    </row>
    <row r="1387" spans="1:14" x14ac:dyDescent="0.3">
      <c r="A1387" s="1">
        <v>38112</v>
      </c>
      <c r="B1387">
        <v>10246</v>
      </c>
      <c r="C1387">
        <v>141</v>
      </c>
      <c r="D1387" t="s">
        <v>47</v>
      </c>
      <c r="E1387" t="s">
        <v>48</v>
      </c>
      <c r="F1387" t="s">
        <v>32</v>
      </c>
      <c r="G1387" t="s">
        <v>61</v>
      </c>
      <c r="H1387">
        <v>22</v>
      </c>
      <c r="I1387" s="2">
        <v>113.44</v>
      </c>
      <c r="J1387" s="2">
        <v>68.290000000000006</v>
      </c>
      <c r="K1387" s="2">
        <v>2495.6799999999998</v>
      </c>
      <c r="L1387" s="2">
        <v>1502.38</v>
      </c>
      <c r="M1387" s="2">
        <v>993.3</v>
      </c>
      <c r="N1387">
        <v>11</v>
      </c>
    </row>
    <row r="1388" spans="1:14" x14ac:dyDescent="0.3">
      <c r="A1388" s="1">
        <v>38114</v>
      </c>
      <c r="B1388">
        <v>10248</v>
      </c>
      <c r="C1388">
        <v>131</v>
      </c>
      <c r="D1388" t="s">
        <v>201</v>
      </c>
      <c r="E1388" t="s">
        <v>14</v>
      </c>
      <c r="F1388" t="s">
        <v>29</v>
      </c>
      <c r="G1388" t="s">
        <v>65</v>
      </c>
      <c r="H1388">
        <v>20</v>
      </c>
      <c r="I1388" s="2">
        <v>126.48</v>
      </c>
      <c r="J1388" s="2">
        <v>85.68</v>
      </c>
      <c r="K1388" s="2">
        <v>2529.6</v>
      </c>
      <c r="L1388" s="2">
        <v>1713.6</v>
      </c>
      <c r="M1388" s="2">
        <v>816</v>
      </c>
      <c r="N1388">
        <v>2</v>
      </c>
    </row>
    <row r="1389" spans="1:14" x14ac:dyDescent="0.3">
      <c r="A1389" s="1">
        <v>38114</v>
      </c>
      <c r="B1389">
        <v>10248</v>
      </c>
      <c r="C1389">
        <v>131</v>
      </c>
      <c r="D1389" t="s">
        <v>201</v>
      </c>
      <c r="E1389" t="s">
        <v>14</v>
      </c>
      <c r="F1389" t="s">
        <v>71</v>
      </c>
      <c r="G1389" t="s">
        <v>86</v>
      </c>
      <c r="H1389">
        <v>21</v>
      </c>
      <c r="I1389" s="2">
        <v>80.86</v>
      </c>
      <c r="J1389" s="2">
        <v>51.61</v>
      </c>
      <c r="K1389" s="2">
        <v>1698.06</v>
      </c>
      <c r="L1389" s="2">
        <v>1083.81</v>
      </c>
      <c r="M1389" s="2">
        <v>614.25</v>
      </c>
      <c r="N1389">
        <v>2</v>
      </c>
    </row>
    <row r="1390" spans="1:14" x14ac:dyDescent="0.3">
      <c r="A1390" s="1">
        <v>38114</v>
      </c>
      <c r="B1390">
        <v>10248</v>
      </c>
      <c r="C1390">
        <v>131</v>
      </c>
      <c r="D1390" t="s">
        <v>201</v>
      </c>
      <c r="E1390" t="s">
        <v>14</v>
      </c>
      <c r="F1390" t="s">
        <v>15</v>
      </c>
      <c r="G1390" t="s">
        <v>68</v>
      </c>
      <c r="H1390">
        <v>32</v>
      </c>
      <c r="I1390" s="2">
        <v>133.86000000000001</v>
      </c>
      <c r="J1390" s="2">
        <v>68.3</v>
      </c>
      <c r="K1390" s="2">
        <v>4283.5200000000004</v>
      </c>
      <c r="L1390" s="2">
        <v>2185.6</v>
      </c>
      <c r="M1390" s="2">
        <v>2097.92</v>
      </c>
      <c r="N1390">
        <v>2</v>
      </c>
    </row>
    <row r="1391" spans="1:14" x14ac:dyDescent="0.3">
      <c r="A1391" s="1">
        <v>38114</v>
      </c>
      <c r="B1391">
        <v>10248</v>
      </c>
      <c r="C1391">
        <v>131</v>
      </c>
      <c r="D1391" t="s">
        <v>201</v>
      </c>
      <c r="E1391" t="s">
        <v>14</v>
      </c>
      <c r="F1391" t="s">
        <v>59</v>
      </c>
      <c r="G1391" t="s">
        <v>69</v>
      </c>
      <c r="H1391">
        <v>42</v>
      </c>
      <c r="I1391" s="2">
        <v>95.8</v>
      </c>
      <c r="J1391" s="2">
        <v>67.56</v>
      </c>
      <c r="K1391" s="2">
        <v>4023.6</v>
      </c>
      <c r="L1391" s="2">
        <v>2837.52</v>
      </c>
      <c r="M1391" s="2">
        <v>1186.08</v>
      </c>
      <c r="N1391">
        <v>2</v>
      </c>
    </row>
    <row r="1392" spans="1:14" x14ac:dyDescent="0.3">
      <c r="A1392" s="1">
        <v>38114</v>
      </c>
      <c r="B1392">
        <v>10248</v>
      </c>
      <c r="C1392">
        <v>131</v>
      </c>
      <c r="D1392" t="s">
        <v>201</v>
      </c>
      <c r="E1392" t="s">
        <v>14</v>
      </c>
      <c r="F1392" t="s">
        <v>15</v>
      </c>
      <c r="G1392" t="s">
        <v>70</v>
      </c>
      <c r="H1392">
        <v>42</v>
      </c>
      <c r="I1392" s="2">
        <v>87.77</v>
      </c>
      <c r="J1392" s="2">
        <v>52.66</v>
      </c>
      <c r="K1392" s="2">
        <v>3686.34</v>
      </c>
      <c r="L1392" s="2">
        <v>2211.7199999999998</v>
      </c>
      <c r="M1392" s="2">
        <v>1474.62</v>
      </c>
      <c r="N1392">
        <v>2</v>
      </c>
    </row>
    <row r="1393" spans="1:14" x14ac:dyDescent="0.3">
      <c r="A1393" s="1">
        <v>38114</v>
      </c>
      <c r="B1393">
        <v>10248</v>
      </c>
      <c r="C1393">
        <v>131</v>
      </c>
      <c r="D1393" t="s">
        <v>201</v>
      </c>
      <c r="E1393" t="s">
        <v>14</v>
      </c>
      <c r="F1393" t="s">
        <v>71</v>
      </c>
      <c r="G1393" t="s">
        <v>72</v>
      </c>
      <c r="H1393">
        <v>48</v>
      </c>
      <c r="I1393" s="2">
        <v>122.89</v>
      </c>
      <c r="J1393" s="2">
        <v>82.34</v>
      </c>
      <c r="K1393" s="2">
        <v>5898.72</v>
      </c>
      <c r="L1393" s="2">
        <v>3952.32</v>
      </c>
      <c r="M1393" s="2">
        <v>1946.4</v>
      </c>
      <c r="N1393">
        <v>2</v>
      </c>
    </row>
    <row r="1394" spans="1:14" x14ac:dyDescent="0.3">
      <c r="A1394" s="1">
        <v>38114</v>
      </c>
      <c r="B1394">
        <v>10248</v>
      </c>
      <c r="C1394">
        <v>131</v>
      </c>
      <c r="D1394" t="s">
        <v>201</v>
      </c>
      <c r="E1394" t="s">
        <v>14</v>
      </c>
      <c r="F1394" t="s">
        <v>15</v>
      </c>
      <c r="G1394" t="s">
        <v>73</v>
      </c>
      <c r="H1394">
        <v>30</v>
      </c>
      <c r="I1394" s="2">
        <v>85.85</v>
      </c>
      <c r="J1394" s="2">
        <v>46.91</v>
      </c>
      <c r="K1394" s="2">
        <v>2575.5</v>
      </c>
      <c r="L1394" s="2">
        <v>1407.3</v>
      </c>
      <c r="M1394" s="2">
        <v>1168.2</v>
      </c>
      <c r="N1394">
        <v>2</v>
      </c>
    </row>
    <row r="1395" spans="1:14" x14ac:dyDescent="0.3">
      <c r="A1395" s="1">
        <v>38114</v>
      </c>
      <c r="B1395">
        <v>10248</v>
      </c>
      <c r="C1395">
        <v>131</v>
      </c>
      <c r="D1395" t="s">
        <v>201</v>
      </c>
      <c r="E1395" t="s">
        <v>14</v>
      </c>
      <c r="F1395" t="s">
        <v>15</v>
      </c>
      <c r="G1395" t="s">
        <v>74</v>
      </c>
      <c r="H1395">
        <v>23</v>
      </c>
      <c r="I1395" s="2">
        <v>83.02</v>
      </c>
      <c r="J1395" s="2">
        <v>48.64</v>
      </c>
      <c r="K1395" s="2">
        <v>1909.46</v>
      </c>
      <c r="L1395" s="2">
        <v>1118.72</v>
      </c>
      <c r="M1395" s="2">
        <v>790.74</v>
      </c>
      <c r="N1395">
        <v>2</v>
      </c>
    </row>
    <row r="1396" spans="1:14" x14ac:dyDescent="0.3">
      <c r="A1396" s="1">
        <v>38114</v>
      </c>
      <c r="B1396">
        <v>10248</v>
      </c>
      <c r="C1396">
        <v>131</v>
      </c>
      <c r="D1396" t="s">
        <v>201</v>
      </c>
      <c r="E1396" t="s">
        <v>14</v>
      </c>
      <c r="F1396" t="s">
        <v>71</v>
      </c>
      <c r="G1396" t="s">
        <v>75</v>
      </c>
      <c r="H1396">
        <v>36</v>
      </c>
      <c r="I1396" s="2">
        <v>66</v>
      </c>
      <c r="J1396" s="2">
        <v>34</v>
      </c>
      <c r="K1396" s="2">
        <v>2376</v>
      </c>
      <c r="L1396" s="2">
        <v>1224</v>
      </c>
      <c r="M1396" s="2">
        <v>1152</v>
      </c>
      <c r="N1396">
        <v>2</v>
      </c>
    </row>
    <row r="1397" spans="1:14" x14ac:dyDescent="0.3">
      <c r="A1397" s="1">
        <v>38114</v>
      </c>
      <c r="B1397">
        <v>10248</v>
      </c>
      <c r="C1397">
        <v>131</v>
      </c>
      <c r="D1397" t="s">
        <v>201</v>
      </c>
      <c r="E1397" t="s">
        <v>14</v>
      </c>
      <c r="F1397" t="s">
        <v>71</v>
      </c>
      <c r="G1397" t="s">
        <v>76</v>
      </c>
      <c r="H1397">
        <v>40</v>
      </c>
      <c r="I1397" s="2">
        <v>81.41</v>
      </c>
      <c r="J1397" s="2">
        <v>43.3</v>
      </c>
      <c r="K1397" s="2">
        <v>3256.4</v>
      </c>
      <c r="L1397" s="2">
        <v>1732</v>
      </c>
      <c r="M1397" s="2">
        <v>1524.4</v>
      </c>
      <c r="N1397">
        <v>2</v>
      </c>
    </row>
    <row r="1398" spans="1:14" x14ac:dyDescent="0.3">
      <c r="A1398" s="1">
        <v>38114</v>
      </c>
      <c r="B1398">
        <v>10248</v>
      </c>
      <c r="C1398">
        <v>131</v>
      </c>
      <c r="D1398" t="s">
        <v>201</v>
      </c>
      <c r="E1398" t="s">
        <v>14</v>
      </c>
      <c r="F1398" t="s">
        <v>71</v>
      </c>
      <c r="G1398" t="s">
        <v>77</v>
      </c>
      <c r="H1398">
        <v>32</v>
      </c>
      <c r="I1398" s="2">
        <v>69.39</v>
      </c>
      <c r="J1398" s="2">
        <v>33.97</v>
      </c>
      <c r="K1398" s="2">
        <v>2220.48</v>
      </c>
      <c r="L1398" s="2">
        <v>1087.04</v>
      </c>
      <c r="M1398" s="2">
        <v>1133.44</v>
      </c>
      <c r="N1398">
        <v>2</v>
      </c>
    </row>
    <row r="1399" spans="1:14" x14ac:dyDescent="0.3">
      <c r="A1399" s="1">
        <v>38114</v>
      </c>
      <c r="B1399">
        <v>10248</v>
      </c>
      <c r="C1399">
        <v>131</v>
      </c>
      <c r="D1399" t="s">
        <v>201</v>
      </c>
      <c r="E1399" t="s">
        <v>14</v>
      </c>
      <c r="F1399" t="s">
        <v>71</v>
      </c>
      <c r="G1399" t="s">
        <v>78</v>
      </c>
      <c r="H1399">
        <v>30</v>
      </c>
      <c r="I1399" s="2">
        <v>84.14</v>
      </c>
      <c r="J1399" s="2">
        <v>51.09</v>
      </c>
      <c r="K1399" s="2">
        <v>2524.1999999999998</v>
      </c>
      <c r="L1399" s="2">
        <v>1532.7</v>
      </c>
      <c r="M1399" s="2">
        <v>991.5</v>
      </c>
      <c r="N1399">
        <v>2</v>
      </c>
    </row>
    <row r="1400" spans="1:14" x14ac:dyDescent="0.3">
      <c r="A1400" s="1">
        <v>38114</v>
      </c>
      <c r="B1400">
        <v>10248</v>
      </c>
      <c r="C1400">
        <v>131</v>
      </c>
      <c r="D1400" t="s">
        <v>201</v>
      </c>
      <c r="E1400" t="s">
        <v>14</v>
      </c>
      <c r="F1400" t="s">
        <v>71</v>
      </c>
      <c r="G1400" t="s">
        <v>79</v>
      </c>
      <c r="H1400">
        <v>35</v>
      </c>
      <c r="I1400" s="2">
        <v>92.36</v>
      </c>
      <c r="J1400" s="2">
        <v>53.63</v>
      </c>
      <c r="K1400" s="2">
        <v>3232.6</v>
      </c>
      <c r="L1400" s="2">
        <v>1877.05</v>
      </c>
      <c r="M1400" s="2">
        <v>1355.55</v>
      </c>
      <c r="N1400">
        <v>2</v>
      </c>
    </row>
    <row r="1401" spans="1:14" x14ac:dyDescent="0.3">
      <c r="A1401" s="1">
        <v>38114</v>
      </c>
      <c r="B1401">
        <v>10248</v>
      </c>
      <c r="C1401">
        <v>131</v>
      </c>
      <c r="D1401" t="s">
        <v>201</v>
      </c>
      <c r="E1401" t="s">
        <v>14</v>
      </c>
      <c r="F1401" t="s">
        <v>71</v>
      </c>
      <c r="G1401" t="s">
        <v>80</v>
      </c>
      <c r="H1401">
        <v>23</v>
      </c>
      <c r="I1401" s="2">
        <v>53.51</v>
      </c>
      <c r="J1401" s="2">
        <v>33.299999999999997</v>
      </c>
      <c r="K1401" s="2">
        <v>1230.73</v>
      </c>
      <c r="L1401" s="2">
        <v>765.9</v>
      </c>
      <c r="M1401" s="2">
        <v>464.83</v>
      </c>
      <c r="N1401">
        <v>2</v>
      </c>
    </row>
    <row r="1402" spans="1:14" x14ac:dyDescent="0.3">
      <c r="A1402" s="1">
        <v>38115</v>
      </c>
      <c r="B1402">
        <v>10249</v>
      </c>
      <c r="C1402">
        <v>173</v>
      </c>
      <c r="D1402" t="s">
        <v>239</v>
      </c>
      <c r="E1402" t="s">
        <v>14</v>
      </c>
      <c r="F1402" t="s">
        <v>15</v>
      </c>
      <c r="G1402" t="s">
        <v>87</v>
      </c>
      <c r="H1402">
        <v>46</v>
      </c>
      <c r="I1402" s="2">
        <v>88.93</v>
      </c>
      <c r="J1402" s="2">
        <v>64.58</v>
      </c>
      <c r="K1402" s="2">
        <v>4090.78</v>
      </c>
      <c r="L1402" s="2">
        <v>2970.68</v>
      </c>
      <c r="M1402" s="2">
        <v>1120.0999999999999</v>
      </c>
      <c r="N1402">
        <v>2</v>
      </c>
    </row>
    <row r="1403" spans="1:14" x14ac:dyDescent="0.3">
      <c r="A1403" s="1">
        <v>38115</v>
      </c>
      <c r="B1403">
        <v>10249</v>
      </c>
      <c r="C1403">
        <v>173</v>
      </c>
      <c r="D1403" t="s">
        <v>239</v>
      </c>
      <c r="E1403" t="s">
        <v>14</v>
      </c>
      <c r="F1403" t="s">
        <v>83</v>
      </c>
      <c r="G1403" t="s">
        <v>89</v>
      </c>
      <c r="H1403">
        <v>20</v>
      </c>
      <c r="I1403" s="2">
        <v>54.81</v>
      </c>
      <c r="J1403" s="2">
        <v>34.25</v>
      </c>
      <c r="K1403" s="2">
        <v>1096.2</v>
      </c>
      <c r="L1403" s="2">
        <v>685</v>
      </c>
      <c r="M1403" s="2">
        <v>411.2</v>
      </c>
      <c r="N1403">
        <v>2</v>
      </c>
    </row>
    <row r="1404" spans="1:14" x14ac:dyDescent="0.3">
      <c r="A1404" s="1">
        <v>38115</v>
      </c>
      <c r="B1404">
        <v>10249</v>
      </c>
      <c r="C1404">
        <v>173</v>
      </c>
      <c r="D1404" t="s">
        <v>239</v>
      </c>
      <c r="E1404" t="s">
        <v>14</v>
      </c>
      <c r="F1404" t="s">
        <v>15</v>
      </c>
      <c r="G1404" t="s">
        <v>90</v>
      </c>
      <c r="H1404">
        <v>25</v>
      </c>
      <c r="I1404" s="2">
        <v>65.75</v>
      </c>
      <c r="J1404" s="2">
        <v>26.3</v>
      </c>
      <c r="K1404" s="2">
        <v>1643.75</v>
      </c>
      <c r="L1404" s="2">
        <v>657.5</v>
      </c>
      <c r="M1404" s="2">
        <v>986.25</v>
      </c>
      <c r="N1404">
        <v>2</v>
      </c>
    </row>
    <row r="1405" spans="1:14" x14ac:dyDescent="0.3">
      <c r="A1405" s="1">
        <v>38115</v>
      </c>
      <c r="B1405">
        <v>10249</v>
      </c>
      <c r="C1405">
        <v>173</v>
      </c>
      <c r="D1405" t="s">
        <v>239</v>
      </c>
      <c r="E1405" t="s">
        <v>14</v>
      </c>
      <c r="F1405" t="s">
        <v>71</v>
      </c>
      <c r="G1405" t="s">
        <v>96</v>
      </c>
      <c r="H1405">
        <v>40</v>
      </c>
      <c r="I1405" s="2">
        <v>85.99</v>
      </c>
      <c r="J1405" s="2">
        <v>39.83</v>
      </c>
      <c r="K1405" s="2">
        <v>3439.6</v>
      </c>
      <c r="L1405" s="2">
        <v>1593.2</v>
      </c>
      <c r="M1405" s="2">
        <v>1846.4</v>
      </c>
      <c r="N1405">
        <v>2</v>
      </c>
    </row>
    <row r="1406" spans="1:14" x14ac:dyDescent="0.3">
      <c r="A1406" s="1">
        <v>38115</v>
      </c>
      <c r="B1406">
        <v>10249</v>
      </c>
      <c r="C1406">
        <v>173</v>
      </c>
      <c r="D1406" t="s">
        <v>239</v>
      </c>
      <c r="E1406" t="s">
        <v>14</v>
      </c>
      <c r="F1406" t="s">
        <v>83</v>
      </c>
      <c r="G1406" t="s">
        <v>101</v>
      </c>
      <c r="H1406">
        <v>32</v>
      </c>
      <c r="I1406" s="2">
        <v>49.16</v>
      </c>
      <c r="J1406" s="2">
        <v>32.770000000000003</v>
      </c>
      <c r="K1406" s="2">
        <v>1573.12</v>
      </c>
      <c r="L1406" s="2">
        <v>1048.6400000000001</v>
      </c>
      <c r="M1406" s="2">
        <v>524.48</v>
      </c>
      <c r="N1406">
        <v>2</v>
      </c>
    </row>
    <row r="1407" spans="1:14" x14ac:dyDescent="0.3">
      <c r="A1407" s="1">
        <v>38118</v>
      </c>
      <c r="B1407">
        <v>10250</v>
      </c>
      <c r="C1407">
        <v>450</v>
      </c>
      <c r="D1407" t="s">
        <v>194</v>
      </c>
      <c r="E1407" t="s">
        <v>14</v>
      </c>
      <c r="F1407" t="s">
        <v>83</v>
      </c>
      <c r="G1407" t="s">
        <v>84</v>
      </c>
      <c r="H1407">
        <v>45</v>
      </c>
      <c r="I1407" s="2">
        <v>148.22999999999999</v>
      </c>
      <c r="J1407" s="2">
        <v>77.27</v>
      </c>
      <c r="K1407" s="2">
        <v>6670.35</v>
      </c>
      <c r="L1407" s="2">
        <v>3477.15</v>
      </c>
      <c r="M1407" s="2">
        <v>3193.2</v>
      </c>
      <c r="N1407">
        <v>1</v>
      </c>
    </row>
    <row r="1408" spans="1:14" x14ac:dyDescent="0.3">
      <c r="A1408" s="1">
        <v>38118</v>
      </c>
      <c r="B1408">
        <v>10250</v>
      </c>
      <c r="C1408">
        <v>450</v>
      </c>
      <c r="D1408" t="s">
        <v>194</v>
      </c>
      <c r="E1408" t="s">
        <v>14</v>
      </c>
      <c r="F1408" t="s">
        <v>83</v>
      </c>
      <c r="G1408" t="s">
        <v>85</v>
      </c>
      <c r="H1408">
        <v>27</v>
      </c>
      <c r="I1408" s="2">
        <v>84.48</v>
      </c>
      <c r="J1408" s="2">
        <v>49</v>
      </c>
      <c r="K1408" s="2">
        <v>2280.96</v>
      </c>
      <c r="L1408" s="2">
        <v>1323</v>
      </c>
      <c r="M1408" s="2">
        <v>957.96</v>
      </c>
      <c r="N1408">
        <v>1</v>
      </c>
    </row>
    <row r="1409" spans="1:14" x14ac:dyDescent="0.3">
      <c r="A1409" s="1">
        <v>38118</v>
      </c>
      <c r="B1409">
        <v>10250</v>
      </c>
      <c r="C1409">
        <v>450</v>
      </c>
      <c r="D1409" t="s">
        <v>194</v>
      </c>
      <c r="E1409" t="s">
        <v>14</v>
      </c>
      <c r="F1409" t="s">
        <v>83</v>
      </c>
      <c r="G1409" t="s">
        <v>88</v>
      </c>
      <c r="H1409">
        <v>31</v>
      </c>
      <c r="I1409" s="2">
        <v>95.2</v>
      </c>
      <c r="J1409" s="2">
        <v>66.739999999999995</v>
      </c>
      <c r="K1409" s="2">
        <v>2951.2</v>
      </c>
      <c r="L1409" s="2">
        <v>2068.94</v>
      </c>
      <c r="M1409" s="2">
        <v>882.26</v>
      </c>
      <c r="N1409">
        <v>1</v>
      </c>
    </row>
    <row r="1410" spans="1:14" x14ac:dyDescent="0.3">
      <c r="A1410" s="1">
        <v>38118</v>
      </c>
      <c r="B1410">
        <v>10250</v>
      </c>
      <c r="C1410">
        <v>450</v>
      </c>
      <c r="D1410" t="s">
        <v>194</v>
      </c>
      <c r="E1410" t="s">
        <v>14</v>
      </c>
      <c r="F1410" t="s">
        <v>102</v>
      </c>
      <c r="G1410" t="s">
        <v>109</v>
      </c>
      <c r="H1410">
        <v>32</v>
      </c>
      <c r="I1410" s="2">
        <v>63.22</v>
      </c>
      <c r="J1410" s="2">
        <v>37.32</v>
      </c>
      <c r="K1410" s="2">
        <v>2023.04</v>
      </c>
      <c r="L1410" s="2">
        <v>1194.24</v>
      </c>
      <c r="M1410" s="2">
        <v>828.8</v>
      </c>
      <c r="N1410">
        <v>1</v>
      </c>
    </row>
    <row r="1411" spans="1:14" x14ac:dyDescent="0.3">
      <c r="A1411" s="1">
        <v>38118</v>
      </c>
      <c r="B1411">
        <v>10250</v>
      </c>
      <c r="C1411">
        <v>450</v>
      </c>
      <c r="D1411" t="s">
        <v>194</v>
      </c>
      <c r="E1411" t="s">
        <v>14</v>
      </c>
      <c r="F1411" t="s">
        <v>83</v>
      </c>
      <c r="G1411" t="s">
        <v>91</v>
      </c>
      <c r="H1411">
        <v>40</v>
      </c>
      <c r="I1411" s="2">
        <v>61.42</v>
      </c>
      <c r="J1411" s="2">
        <v>29.34</v>
      </c>
      <c r="K1411" s="2">
        <v>2456.8000000000002</v>
      </c>
      <c r="L1411" s="2">
        <v>1173.5999999999999</v>
      </c>
      <c r="M1411" s="2">
        <v>1283.2</v>
      </c>
      <c r="N1411">
        <v>1</v>
      </c>
    </row>
    <row r="1412" spans="1:14" x14ac:dyDescent="0.3">
      <c r="A1412" s="1">
        <v>38118</v>
      </c>
      <c r="B1412">
        <v>10250</v>
      </c>
      <c r="C1412">
        <v>450</v>
      </c>
      <c r="D1412" t="s">
        <v>194</v>
      </c>
      <c r="E1412" t="s">
        <v>14</v>
      </c>
      <c r="F1412" t="s">
        <v>83</v>
      </c>
      <c r="G1412" t="s">
        <v>92</v>
      </c>
      <c r="H1412">
        <v>37</v>
      </c>
      <c r="I1412" s="2">
        <v>72.45</v>
      </c>
      <c r="J1412" s="2">
        <v>36.229999999999997</v>
      </c>
      <c r="K1412" s="2">
        <v>2680.65</v>
      </c>
      <c r="L1412" s="2">
        <v>1340.51</v>
      </c>
      <c r="M1412" s="2">
        <v>1340.14</v>
      </c>
      <c r="N1412">
        <v>1</v>
      </c>
    </row>
    <row r="1413" spans="1:14" x14ac:dyDescent="0.3">
      <c r="A1413" s="1">
        <v>38118</v>
      </c>
      <c r="B1413">
        <v>10250</v>
      </c>
      <c r="C1413">
        <v>450</v>
      </c>
      <c r="D1413" t="s">
        <v>194</v>
      </c>
      <c r="E1413" t="s">
        <v>14</v>
      </c>
      <c r="F1413" t="s">
        <v>102</v>
      </c>
      <c r="G1413" t="s">
        <v>110</v>
      </c>
      <c r="H1413">
        <v>31</v>
      </c>
      <c r="I1413" s="2">
        <v>99.89</v>
      </c>
      <c r="J1413" s="2">
        <v>66.92</v>
      </c>
      <c r="K1413" s="2">
        <v>3096.59</v>
      </c>
      <c r="L1413" s="2">
        <v>2074.52</v>
      </c>
      <c r="M1413" s="2">
        <v>1022.07</v>
      </c>
      <c r="N1413">
        <v>1</v>
      </c>
    </row>
    <row r="1414" spans="1:14" x14ac:dyDescent="0.3">
      <c r="A1414" s="1">
        <v>38118</v>
      </c>
      <c r="B1414">
        <v>10250</v>
      </c>
      <c r="C1414">
        <v>450</v>
      </c>
      <c r="D1414" t="s">
        <v>194</v>
      </c>
      <c r="E1414" t="s">
        <v>14</v>
      </c>
      <c r="F1414" t="s">
        <v>15</v>
      </c>
      <c r="G1414" t="s">
        <v>93</v>
      </c>
      <c r="H1414">
        <v>50</v>
      </c>
      <c r="I1414" s="2">
        <v>62.6</v>
      </c>
      <c r="J1414" s="2">
        <v>33.020000000000003</v>
      </c>
      <c r="K1414" s="2">
        <v>3130</v>
      </c>
      <c r="L1414" s="2">
        <v>1651</v>
      </c>
      <c r="M1414" s="2">
        <v>1479</v>
      </c>
      <c r="N1414">
        <v>1</v>
      </c>
    </row>
    <row r="1415" spans="1:14" x14ac:dyDescent="0.3">
      <c r="A1415" s="1">
        <v>38118</v>
      </c>
      <c r="B1415">
        <v>10250</v>
      </c>
      <c r="C1415">
        <v>450</v>
      </c>
      <c r="D1415" t="s">
        <v>194</v>
      </c>
      <c r="E1415" t="s">
        <v>14</v>
      </c>
      <c r="F1415" t="s">
        <v>15</v>
      </c>
      <c r="G1415" t="s">
        <v>94</v>
      </c>
      <c r="H1415">
        <v>36</v>
      </c>
      <c r="I1415" s="2">
        <v>36.659999999999997</v>
      </c>
      <c r="J1415" s="2">
        <v>27.06</v>
      </c>
      <c r="K1415" s="2">
        <v>1319.76</v>
      </c>
      <c r="L1415" s="2">
        <v>974.16</v>
      </c>
      <c r="M1415" s="2">
        <v>345.6</v>
      </c>
      <c r="N1415">
        <v>1</v>
      </c>
    </row>
    <row r="1416" spans="1:14" x14ac:dyDescent="0.3">
      <c r="A1416" s="1">
        <v>38118</v>
      </c>
      <c r="B1416">
        <v>10250</v>
      </c>
      <c r="C1416">
        <v>450</v>
      </c>
      <c r="D1416" t="s">
        <v>194</v>
      </c>
      <c r="E1416" t="s">
        <v>14</v>
      </c>
      <c r="F1416" t="s">
        <v>83</v>
      </c>
      <c r="G1416" t="s">
        <v>95</v>
      </c>
      <c r="H1416">
        <v>31</v>
      </c>
      <c r="I1416" s="2">
        <v>91.34</v>
      </c>
      <c r="J1416" s="2">
        <v>51.15</v>
      </c>
      <c r="K1416" s="2">
        <v>2831.54</v>
      </c>
      <c r="L1416" s="2">
        <v>1585.65</v>
      </c>
      <c r="M1416" s="2">
        <v>1245.8900000000001</v>
      </c>
      <c r="N1416">
        <v>1</v>
      </c>
    </row>
    <row r="1417" spans="1:14" x14ac:dyDescent="0.3">
      <c r="A1417" s="1">
        <v>38118</v>
      </c>
      <c r="B1417">
        <v>10250</v>
      </c>
      <c r="C1417">
        <v>450</v>
      </c>
      <c r="D1417" t="s">
        <v>194</v>
      </c>
      <c r="E1417" t="s">
        <v>14</v>
      </c>
      <c r="F1417" t="s">
        <v>83</v>
      </c>
      <c r="G1417" t="s">
        <v>97</v>
      </c>
      <c r="H1417">
        <v>35</v>
      </c>
      <c r="I1417" s="2">
        <v>90.75</v>
      </c>
      <c r="J1417" s="2">
        <v>68.8</v>
      </c>
      <c r="K1417" s="2">
        <v>3176.25</v>
      </c>
      <c r="L1417" s="2">
        <v>2408</v>
      </c>
      <c r="M1417" s="2">
        <v>768.25</v>
      </c>
      <c r="N1417">
        <v>1</v>
      </c>
    </row>
    <row r="1418" spans="1:14" x14ac:dyDescent="0.3">
      <c r="A1418" s="1">
        <v>38118</v>
      </c>
      <c r="B1418">
        <v>10250</v>
      </c>
      <c r="C1418">
        <v>450</v>
      </c>
      <c r="D1418" t="s">
        <v>194</v>
      </c>
      <c r="E1418" t="s">
        <v>14</v>
      </c>
      <c r="F1418" t="s">
        <v>83</v>
      </c>
      <c r="G1418" t="s">
        <v>98</v>
      </c>
      <c r="H1418">
        <v>44</v>
      </c>
      <c r="I1418" s="2">
        <v>98.48</v>
      </c>
      <c r="J1418" s="2">
        <v>59.33</v>
      </c>
      <c r="K1418" s="2">
        <v>4333.12</v>
      </c>
      <c r="L1418" s="2">
        <v>2610.52</v>
      </c>
      <c r="M1418" s="2">
        <v>1722.6</v>
      </c>
      <c r="N1418">
        <v>1</v>
      </c>
    </row>
    <row r="1419" spans="1:14" x14ac:dyDescent="0.3">
      <c r="A1419" s="1">
        <v>38118</v>
      </c>
      <c r="B1419">
        <v>10250</v>
      </c>
      <c r="C1419">
        <v>450</v>
      </c>
      <c r="D1419" t="s">
        <v>194</v>
      </c>
      <c r="E1419" t="s">
        <v>14</v>
      </c>
      <c r="F1419" t="s">
        <v>83</v>
      </c>
      <c r="G1419" t="s">
        <v>99</v>
      </c>
      <c r="H1419">
        <v>44</v>
      </c>
      <c r="I1419" s="2">
        <v>76</v>
      </c>
      <c r="J1419" s="2">
        <v>54.4</v>
      </c>
      <c r="K1419" s="2">
        <v>3344</v>
      </c>
      <c r="L1419" s="2">
        <v>2393.6</v>
      </c>
      <c r="M1419" s="2">
        <v>950.4</v>
      </c>
      <c r="N1419">
        <v>1</v>
      </c>
    </row>
    <row r="1420" spans="1:14" x14ac:dyDescent="0.3">
      <c r="A1420" s="1">
        <v>38118</v>
      </c>
      <c r="B1420">
        <v>10250</v>
      </c>
      <c r="C1420">
        <v>450</v>
      </c>
      <c r="D1420" t="s">
        <v>194</v>
      </c>
      <c r="E1420" t="s">
        <v>14</v>
      </c>
      <c r="F1420" t="s">
        <v>83</v>
      </c>
      <c r="G1420" t="s">
        <v>100</v>
      </c>
      <c r="H1420">
        <v>38</v>
      </c>
      <c r="I1420" s="2">
        <v>65.89</v>
      </c>
      <c r="J1420" s="2">
        <v>36.270000000000003</v>
      </c>
      <c r="K1420" s="2">
        <v>2503.8200000000002</v>
      </c>
      <c r="L1420" s="2">
        <v>1378.26</v>
      </c>
      <c r="M1420" s="2">
        <v>1125.56</v>
      </c>
      <c r="N1420">
        <v>1</v>
      </c>
    </row>
    <row r="1421" spans="1:14" x14ac:dyDescent="0.3">
      <c r="A1421" s="1">
        <v>38125</v>
      </c>
      <c r="B1421">
        <v>10251</v>
      </c>
      <c r="C1421">
        <v>328</v>
      </c>
      <c r="D1421" t="s">
        <v>241</v>
      </c>
      <c r="E1421" t="s">
        <v>14</v>
      </c>
      <c r="F1421" t="s">
        <v>102</v>
      </c>
      <c r="G1421" t="s">
        <v>103</v>
      </c>
      <c r="H1421">
        <v>59</v>
      </c>
      <c r="I1421" s="2">
        <v>93.79</v>
      </c>
      <c r="J1421" s="2">
        <v>48.81</v>
      </c>
      <c r="K1421" s="2">
        <v>5533.61</v>
      </c>
      <c r="L1421" s="2">
        <v>2879.79</v>
      </c>
      <c r="M1421" s="2">
        <v>2653.82</v>
      </c>
      <c r="N1421">
        <v>2</v>
      </c>
    </row>
    <row r="1422" spans="1:14" x14ac:dyDescent="0.3">
      <c r="A1422" s="1">
        <v>38125</v>
      </c>
      <c r="B1422">
        <v>10251</v>
      </c>
      <c r="C1422">
        <v>328</v>
      </c>
      <c r="D1422" t="s">
        <v>241</v>
      </c>
      <c r="E1422" t="s">
        <v>14</v>
      </c>
      <c r="F1422" t="s">
        <v>102</v>
      </c>
      <c r="G1422" t="s">
        <v>104</v>
      </c>
      <c r="H1422">
        <v>44</v>
      </c>
      <c r="I1422" s="2">
        <v>115.37</v>
      </c>
      <c r="J1422" s="2">
        <v>68.989999999999995</v>
      </c>
      <c r="K1422" s="2">
        <v>5076.28</v>
      </c>
      <c r="L1422" s="2">
        <v>3035.56</v>
      </c>
      <c r="M1422" s="2">
        <v>2040.72</v>
      </c>
      <c r="N1422">
        <v>2</v>
      </c>
    </row>
    <row r="1423" spans="1:14" x14ac:dyDescent="0.3">
      <c r="A1423" s="1">
        <v>38125</v>
      </c>
      <c r="B1423">
        <v>10251</v>
      </c>
      <c r="C1423">
        <v>328</v>
      </c>
      <c r="D1423" t="s">
        <v>241</v>
      </c>
      <c r="E1423" t="s">
        <v>14</v>
      </c>
      <c r="F1423" t="s">
        <v>102</v>
      </c>
      <c r="G1423" t="s">
        <v>105</v>
      </c>
      <c r="H1423">
        <v>43</v>
      </c>
      <c r="I1423" s="2">
        <v>172.36</v>
      </c>
      <c r="J1423" s="2">
        <v>91.02</v>
      </c>
      <c r="K1423" s="2">
        <v>7411.48</v>
      </c>
      <c r="L1423" s="2">
        <v>3913.86</v>
      </c>
      <c r="M1423" s="2">
        <v>3497.62</v>
      </c>
      <c r="N1423">
        <v>2</v>
      </c>
    </row>
    <row r="1424" spans="1:14" x14ac:dyDescent="0.3">
      <c r="A1424" s="1">
        <v>38125</v>
      </c>
      <c r="B1424">
        <v>10251</v>
      </c>
      <c r="C1424">
        <v>328</v>
      </c>
      <c r="D1424" t="s">
        <v>241</v>
      </c>
      <c r="E1424" t="s">
        <v>14</v>
      </c>
      <c r="F1424" t="s">
        <v>102</v>
      </c>
      <c r="G1424" t="s">
        <v>106</v>
      </c>
      <c r="H1424">
        <v>46</v>
      </c>
      <c r="I1424" s="2">
        <v>129.53</v>
      </c>
      <c r="J1424" s="2">
        <v>66.27</v>
      </c>
      <c r="K1424" s="2">
        <v>5958.38</v>
      </c>
      <c r="L1424" s="2">
        <v>3048.42</v>
      </c>
      <c r="M1424" s="2">
        <v>2909.96</v>
      </c>
      <c r="N1424">
        <v>2</v>
      </c>
    </row>
    <row r="1425" spans="1:14" x14ac:dyDescent="0.3">
      <c r="A1425" s="1">
        <v>38125</v>
      </c>
      <c r="B1425">
        <v>10251</v>
      </c>
      <c r="C1425">
        <v>328</v>
      </c>
      <c r="D1425" t="s">
        <v>241</v>
      </c>
      <c r="E1425" t="s">
        <v>14</v>
      </c>
      <c r="F1425" t="s">
        <v>102</v>
      </c>
      <c r="G1425" t="s">
        <v>107</v>
      </c>
      <c r="H1425">
        <v>44</v>
      </c>
      <c r="I1425" s="2">
        <v>58.15</v>
      </c>
      <c r="J1425" s="2">
        <v>24.23</v>
      </c>
      <c r="K1425" s="2">
        <v>2558.6</v>
      </c>
      <c r="L1425" s="2">
        <v>1066.1199999999999</v>
      </c>
      <c r="M1425" s="2">
        <v>1492.48</v>
      </c>
      <c r="N1425">
        <v>2</v>
      </c>
    </row>
    <row r="1426" spans="1:14" x14ac:dyDescent="0.3">
      <c r="A1426" s="1">
        <v>38125</v>
      </c>
      <c r="B1426">
        <v>10251</v>
      </c>
      <c r="C1426">
        <v>328</v>
      </c>
      <c r="D1426" t="s">
        <v>241</v>
      </c>
      <c r="E1426" t="s">
        <v>14</v>
      </c>
      <c r="F1426" t="s">
        <v>102</v>
      </c>
      <c r="G1426" t="s">
        <v>108</v>
      </c>
      <c r="H1426">
        <v>50</v>
      </c>
      <c r="I1426" s="2">
        <v>91.29</v>
      </c>
      <c r="J1426" s="2">
        <v>60.86</v>
      </c>
      <c r="K1426" s="2">
        <v>4564.5</v>
      </c>
      <c r="L1426" s="2">
        <v>3043</v>
      </c>
      <c r="M1426" s="2">
        <v>1521.5</v>
      </c>
      <c r="N1426">
        <v>2</v>
      </c>
    </row>
    <row r="1427" spans="1:14" x14ac:dyDescent="0.3">
      <c r="A1427" s="1">
        <v>38133</v>
      </c>
      <c r="B1427">
        <v>10252</v>
      </c>
      <c r="C1427">
        <v>406</v>
      </c>
      <c r="D1427" t="s">
        <v>186</v>
      </c>
      <c r="E1427" t="s">
        <v>144</v>
      </c>
      <c r="F1427" t="s">
        <v>29</v>
      </c>
      <c r="G1427" t="s">
        <v>117</v>
      </c>
      <c r="H1427">
        <v>20</v>
      </c>
      <c r="I1427" s="2">
        <v>74.78</v>
      </c>
      <c r="J1427" s="2">
        <v>49.05</v>
      </c>
      <c r="K1427" s="2">
        <v>1495.6</v>
      </c>
      <c r="L1427" s="2">
        <v>981</v>
      </c>
      <c r="M1427" s="2">
        <v>514.6</v>
      </c>
      <c r="N1427">
        <v>2</v>
      </c>
    </row>
    <row r="1428" spans="1:14" x14ac:dyDescent="0.3">
      <c r="A1428" s="1">
        <v>38133</v>
      </c>
      <c r="B1428">
        <v>10252</v>
      </c>
      <c r="C1428">
        <v>406</v>
      </c>
      <c r="D1428" t="s">
        <v>186</v>
      </c>
      <c r="E1428" t="s">
        <v>144</v>
      </c>
      <c r="F1428" t="s">
        <v>29</v>
      </c>
      <c r="G1428" t="s">
        <v>118</v>
      </c>
      <c r="H1428">
        <v>41</v>
      </c>
      <c r="I1428" s="2">
        <v>145.52000000000001</v>
      </c>
      <c r="J1428" s="2">
        <v>73.489999999999995</v>
      </c>
      <c r="K1428" s="2">
        <v>5966.32</v>
      </c>
      <c r="L1428" s="2">
        <v>3013.09</v>
      </c>
      <c r="M1428" s="2">
        <v>2953.23</v>
      </c>
      <c r="N1428">
        <v>2</v>
      </c>
    </row>
    <row r="1429" spans="1:14" x14ac:dyDescent="0.3">
      <c r="A1429" s="1">
        <v>38133</v>
      </c>
      <c r="B1429">
        <v>10252</v>
      </c>
      <c r="C1429">
        <v>406</v>
      </c>
      <c r="D1429" t="s">
        <v>186</v>
      </c>
      <c r="E1429" t="s">
        <v>144</v>
      </c>
      <c r="F1429" t="s">
        <v>102</v>
      </c>
      <c r="G1429" t="s">
        <v>119</v>
      </c>
      <c r="H1429">
        <v>31</v>
      </c>
      <c r="I1429" s="2">
        <v>50.36</v>
      </c>
      <c r="J1429" s="2">
        <v>32.950000000000003</v>
      </c>
      <c r="K1429" s="2">
        <v>1561.16</v>
      </c>
      <c r="L1429" s="2">
        <v>1021.45</v>
      </c>
      <c r="M1429" s="2">
        <v>539.71</v>
      </c>
      <c r="N1429">
        <v>2</v>
      </c>
    </row>
    <row r="1430" spans="1:14" x14ac:dyDescent="0.3">
      <c r="A1430" s="1">
        <v>38133</v>
      </c>
      <c r="B1430">
        <v>10252</v>
      </c>
      <c r="C1430">
        <v>406</v>
      </c>
      <c r="D1430" t="s">
        <v>186</v>
      </c>
      <c r="E1430" t="s">
        <v>144</v>
      </c>
      <c r="F1430" t="s">
        <v>29</v>
      </c>
      <c r="G1430" t="s">
        <v>120</v>
      </c>
      <c r="H1430">
        <v>26</v>
      </c>
      <c r="I1430" s="2">
        <v>127.97</v>
      </c>
      <c r="J1430" s="2">
        <v>69.930000000000007</v>
      </c>
      <c r="K1430" s="2">
        <v>3327.22</v>
      </c>
      <c r="L1430" s="2">
        <v>1818.18</v>
      </c>
      <c r="M1430" s="2">
        <v>1509.04</v>
      </c>
      <c r="N1430">
        <v>2</v>
      </c>
    </row>
    <row r="1431" spans="1:14" x14ac:dyDescent="0.3">
      <c r="A1431" s="1">
        <v>38133</v>
      </c>
      <c r="B1431">
        <v>10252</v>
      </c>
      <c r="C1431">
        <v>406</v>
      </c>
      <c r="D1431" t="s">
        <v>186</v>
      </c>
      <c r="E1431" t="s">
        <v>144</v>
      </c>
      <c r="F1431" t="s">
        <v>102</v>
      </c>
      <c r="G1431" t="s">
        <v>121</v>
      </c>
      <c r="H1431">
        <v>47</v>
      </c>
      <c r="I1431" s="2">
        <v>63.03</v>
      </c>
      <c r="J1431" s="2">
        <v>47.1</v>
      </c>
      <c r="K1431" s="2">
        <v>2962.41</v>
      </c>
      <c r="L1431" s="2">
        <v>2213.6999999999998</v>
      </c>
      <c r="M1431" s="2">
        <v>748.71</v>
      </c>
      <c r="N1431">
        <v>2</v>
      </c>
    </row>
    <row r="1432" spans="1:14" x14ac:dyDescent="0.3">
      <c r="A1432" s="1">
        <v>38133</v>
      </c>
      <c r="B1432">
        <v>10252</v>
      </c>
      <c r="C1432">
        <v>406</v>
      </c>
      <c r="D1432" t="s">
        <v>186</v>
      </c>
      <c r="E1432" t="s">
        <v>144</v>
      </c>
      <c r="F1432" t="s">
        <v>29</v>
      </c>
      <c r="G1432" t="s">
        <v>124</v>
      </c>
      <c r="H1432">
        <v>38</v>
      </c>
      <c r="I1432" s="2">
        <v>69.52</v>
      </c>
      <c r="J1432" s="2">
        <v>32.33</v>
      </c>
      <c r="K1432" s="2">
        <v>2641.76</v>
      </c>
      <c r="L1432" s="2">
        <v>1228.54</v>
      </c>
      <c r="M1432" s="2">
        <v>1413.22</v>
      </c>
      <c r="N1432">
        <v>2</v>
      </c>
    </row>
    <row r="1433" spans="1:14" x14ac:dyDescent="0.3">
      <c r="A1433" s="1">
        <v>38133</v>
      </c>
      <c r="B1433">
        <v>10252</v>
      </c>
      <c r="C1433">
        <v>406</v>
      </c>
      <c r="D1433" t="s">
        <v>186</v>
      </c>
      <c r="E1433" t="s">
        <v>144</v>
      </c>
      <c r="F1433" t="s">
        <v>102</v>
      </c>
      <c r="G1433" t="s">
        <v>125</v>
      </c>
      <c r="H1433">
        <v>36</v>
      </c>
      <c r="I1433" s="2">
        <v>36.21</v>
      </c>
      <c r="J1433" s="2">
        <v>24.14</v>
      </c>
      <c r="K1433" s="2">
        <v>1303.56</v>
      </c>
      <c r="L1433" s="2">
        <v>869.04</v>
      </c>
      <c r="M1433" s="2">
        <v>434.52</v>
      </c>
      <c r="N1433">
        <v>2</v>
      </c>
    </row>
    <row r="1434" spans="1:14" x14ac:dyDescent="0.3">
      <c r="A1434" s="1">
        <v>38133</v>
      </c>
      <c r="B1434">
        <v>10252</v>
      </c>
      <c r="C1434">
        <v>406</v>
      </c>
      <c r="D1434" t="s">
        <v>186</v>
      </c>
      <c r="E1434" t="s">
        <v>144</v>
      </c>
      <c r="F1434" t="s">
        <v>102</v>
      </c>
      <c r="G1434" t="s">
        <v>126</v>
      </c>
      <c r="H1434">
        <v>25</v>
      </c>
      <c r="I1434" s="2">
        <v>93.89</v>
      </c>
      <c r="J1434" s="2">
        <v>56.13</v>
      </c>
      <c r="K1434" s="2">
        <v>2347.25</v>
      </c>
      <c r="L1434" s="2">
        <v>1403.25</v>
      </c>
      <c r="M1434" s="2">
        <v>944</v>
      </c>
      <c r="N1434">
        <v>2</v>
      </c>
    </row>
    <row r="1435" spans="1:14" x14ac:dyDescent="0.3">
      <c r="A1435" s="1">
        <v>38133</v>
      </c>
      <c r="B1435">
        <v>10252</v>
      </c>
      <c r="C1435">
        <v>406</v>
      </c>
      <c r="D1435" t="s">
        <v>186</v>
      </c>
      <c r="E1435" t="s">
        <v>144</v>
      </c>
      <c r="F1435" t="s">
        <v>102</v>
      </c>
      <c r="G1435" t="s">
        <v>127</v>
      </c>
      <c r="H1435">
        <v>48</v>
      </c>
      <c r="I1435" s="2">
        <v>72.41</v>
      </c>
      <c r="J1435" s="2">
        <v>34.17</v>
      </c>
      <c r="K1435" s="2">
        <v>3475.68</v>
      </c>
      <c r="L1435" s="2">
        <v>1640.16</v>
      </c>
      <c r="M1435" s="2">
        <v>1835.52</v>
      </c>
      <c r="N1435">
        <v>2</v>
      </c>
    </row>
    <row r="1436" spans="1:14" x14ac:dyDescent="0.3">
      <c r="A1436" s="1">
        <v>38139</v>
      </c>
      <c r="B1436">
        <v>10253</v>
      </c>
      <c r="C1436">
        <v>201</v>
      </c>
      <c r="D1436" t="s">
        <v>224</v>
      </c>
      <c r="E1436" t="s">
        <v>133</v>
      </c>
      <c r="F1436" t="s">
        <v>29</v>
      </c>
      <c r="G1436" t="s">
        <v>112</v>
      </c>
      <c r="H1436">
        <v>24</v>
      </c>
      <c r="I1436" s="2">
        <v>157.6</v>
      </c>
      <c r="J1436" s="2">
        <v>95.34</v>
      </c>
      <c r="K1436" s="2">
        <v>3782.4</v>
      </c>
      <c r="L1436" s="2">
        <v>2288.16</v>
      </c>
      <c r="M1436" s="2">
        <v>1494.24</v>
      </c>
      <c r="N1436">
        <v>2</v>
      </c>
    </row>
    <row r="1437" spans="1:14" x14ac:dyDescent="0.3">
      <c r="A1437" s="1">
        <v>38139</v>
      </c>
      <c r="B1437">
        <v>10253</v>
      </c>
      <c r="C1437">
        <v>201</v>
      </c>
      <c r="D1437" t="s">
        <v>224</v>
      </c>
      <c r="E1437" t="s">
        <v>133</v>
      </c>
      <c r="F1437" t="s">
        <v>29</v>
      </c>
      <c r="G1437" t="s">
        <v>113</v>
      </c>
      <c r="H1437">
        <v>22</v>
      </c>
      <c r="I1437" s="2">
        <v>102.17</v>
      </c>
      <c r="J1437" s="2">
        <v>75.16</v>
      </c>
      <c r="K1437" s="2">
        <v>2247.7399999999998</v>
      </c>
      <c r="L1437" s="2">
        <v>1653.52</v>
      </c>
      <c r="M1437" s="2">
        <v>594.22</v>
      </c>
      <c r="N1437">
        <v>2</v>
      </c>
    </row>
    <row r="1438" spans="1:14" x14ac:dyDescent="0.3">
      <c r="A1438" s="1">
        <v>38139</v>
      </c>
      <c r="B1438">
        <v>10253</v>
      </c>
      <c r="C1438">
        <v>201</v>
      </c>
      <c r="D1438" t="s">
        <v>224</v>
      </c>
      <c r="E1438" t="s">
        <v>133</v>
      </c>
      <c r="F1438" t="s">
        <v>29</v>
      </c>
      <c r="G1438" t="s">
        <v>114</v>
      </c>
      <c r="H1438">
        <v>25</v>
      </c>
      <c r="I1438" s="2">
        <v>67.03</v>
      </c>
      <c r="J1438" s="2">
        <v>31.92</v>
      </c>
      <c r="K1438" s="2">
        <v>1675.75</v>
      </c>
      <c r="L1438" s="2">
        <v>798</v>
      </c>
      <c r="M1438" s="2">
        <v>877.75</v>
      </c>
      <c r="N1438">
        <v>2</v>
      </c>
    </row>
    <row r="1439" spans="1:14" x14ac:dyDescent="0.3">
      <c r="A1439" s="1">
        <v>38139</v>
      </c>
      <c r="B1439">
        <v>10253</v>
      </c>
      <c r="C1439">
        <v>201</v>
      </c>
      <c r="D1439" t="s">
        <v>224</v>
      </c>
      <c r="E1439" t="s">
        <v>133</v>
      </c>
      <c r="F1439" t="s">
        <v>29</v>
      </c>
      <c r="G1439" t="s">
        <v>115</v>
      </c>
      <c r="H1439">
        <v>41</v>
      </c>
      <c r="I1439" s="2">
        <v>109.4</v>
      </c>
      <c r="J1439" s="2">
        <v>58.73</v>
      </c>
      <c r="K1439" s="2">
        <v>4485.3999999999996</v>
      </c>
      <c r="L1439" s="2">
        <v>2407.9299999999998</v>
      </c>
      <c r="M1439" s="2">
        <v>2077.4699999999998</v>
      </c>
      <c r="N1439">
        <v>2</v>
      </c>
    </row>
    <row r="1440" spans="1:14" x14ac:dyDescent="0.3">
      <c r="A1440" s="1">
        <v>38139</v>
      </c>
      <c r="B1440">
        <v>10253</v>
      </c>
      <c r="C1440">
        <v>201</v>
      </c>
      <c r="D1440" t="s">
        <v>224</v>
      </c>
      <c r="E1440" t="s">
        <v>133</v>
      </c>
      <c r="F1440" t="s">
        <v>29</v>
      </c>
      <c r="G1440" t="s">
        <v>128</v>
      </c>
      <c r="H1440">
        <v>26</v>
      </c>
      <c r="I1440" s="2">
        <v>130.22</v>
      </c>
      <c r="J1440" s="2">
        <v>83.51</v>
      </c>
      <c r="K1440" s="2">
        <v>3385.72</v>
      </c>
      <c r="L1440" s="2">
        <v>2171.2600000000002</v>
      </c>
      <c r="M1440" s="2">
        <v>1214.46</v>
      </c>
      <c r="N1440">
        <v>2</v>
      </c>
    </row>
    <row r="1441" spans="1:14" x14ac:dyDescent="0.3">
      <c r="A1441" s="1">
        <v>38139</v>
      </c>
      <c r="B1441">
        <v>10253</v>
      </c>
      <c r="C1441">
        <v>201</v>
      </c>
      <c r="D1441" t="s">
        <v>224</v>
      </c>
      <c r="E1441" t="s">
        <v>133</v>
      </c>
      <c r="F1441" t="s">
        <v>29</v>
      </c>
      <c r="G1441" t="s">
        <v>134</v>
      </c>
      <c r="H1441">
        <v>24</v>
      </c>
      <c r="I1441" s="2">
        <v>103.29</v>
      </c>
      <c r="J1441" s="2">
        <v>65.959999999999994</v>
      </c>
      <c r="K1441" s="2">
        <v>2478.96</v>
      </c>
      <c r="L1441" s="2">
        <v>1583.04</v>
      </c>
      <c r="M1441" s="2">
        <v>895.92</v>
      </c>
      <c r="N1441">
        <v>2</v>
      </c>
    </row>
    <row r="1442" spans="1:14" x14ac:dyDescent="0.3">
      <c r="A1442" s="1">
        <v>38139</v>
      </c>
      <c r="B1442">
        <v>10253</v>
      </c>
      <c r="C1442">
        <v>201</v>
      </c>
      <c r="D1442" t="s">
        <v>224</v>
      </c>
      <c r="E1442" t="s">
        <v>133</v>
      </c>
      <c r="F1442" t="s">
        <v>29</v>
      </c>
      <c r="G1442" t="s">
        <v>116</v>
      </c>
      <c r="H1442">
        <v>23</v>
      </c>
      <c r="I1442" s="2">
        <v>67.760000000000005</v>
      </c>
      <c r="J1442" s="2">
        <v>53.9</v>
      </c>
      <c r="K1442" s="2">
        <v>1558.48</v>
      </c>
      <c r="L1442" s="2">
        <v>1239.7</v>
      </c>
      <c r="M1442" s="2">
        <v>318.77999999999997</v>
      </c>
      <c r="N1442">
        <v>2</v>
      </c>
    </row>
    <row r="1443" spans="1:14" x14ac:dyDescent="0.3">
      <c r="A1443" s="1">
        <v>38139</v>
      </c>
      <c r="B1443">
        <v>10253</v>
      </c>
      <c r="C1443">
        <v>201</v>
      </c>
      <c r="D1443" t="s">
        <v>224</v>
      </c>
      <c r="E1443" t="s">
        <v>133</v>
      </c>
      <c r="F1443" t="s">
        <v>29</v>
      </c>
      <c r="G1443" t="s">
        <v>129</v>
      </c>
      <c r="H1443">
        <v>33</v>
      </c>
      <c r="I1443" s="2">
        <v>130.87</v>
      </c>
      <c r="J1443" s="2">
        <v>93.89</v>
      </c>
      <c r="K1443" s="2">
        <v>4318.71</v>
      </c>
      <c r="L1443" s="2">
        <v>3098.37</v>
      </c>
      <c r="M1443" s="2">
        <v>1220.3399999999999</v>
      </c>
      <c r="N1443">
        <v>2</v>
      </c>
    </row>
    <row r="1444" spans="1:14" x14ac:dyDescent="0.3">
      <c r="A1444" s="1">
        <v>38139</v>
      </c>
      <c r="B1444">
        <v>10253</v>
      </c>
      <c r="C1444">
        <v>201</v>
      </c>
      <c r="D1444" t="s">
        <v>224</v>
      </c>
      <c r="E1444" t="s">
        <v>133</v>
      </c>
      <c r="F1444" t="s">
        <v>29</v>
      </c>
      <c r="G1444" t="s">
        <v>130</v>
      </c>
      <c r="H1444">
        <v>37</v>
      </c>
      <c r="I1444" s="2">
        <v>114.84</v>
      </c>
      <c r="J1444" s="2">
        <v>56.76</v>
      </c>
      <c r="K1444" s="2">
        <v>4249.08</v>
      </c>
      <c r="L1444" s="2">
        <v>2100.12</v>
      </c>
      <c r="M1444" s="2">
        <v>2148.96</v>
      </c>
      <c r="N1444">
        <v>2</v>
      </c>
    </row>
    <row r="1445" spans="1:14" x14ac:dyDescent="0.3">
      <c r="A1445" s="1">
        <v>38139</v>
      </c>
      <c r="B1445">
        <v>10253</v>
      </c>
      <c r="C1445">
        <v>201</v>
      </c>
      <c r="D1445" t="s">
        <v>224</v>
      </c>
      <c r="E1445" t="s">
        <v>133</v>
      </c>
      <c r="F1445" t="s">
        <v>29</v>
      </c>
      <c r="G1445" t="s">
        <v>53</v>
      </c>
      <c r="H1445">
        <v>40</v>
      </c>
      <c r="I1445" s="2">
        <v>145.63</v>
      </c>
      <c r="J1445" s="2">
        <v>77.900000000000006</v>
      </c>
      <c r="K1445" s="2">
        <v>5825.2</v>
      </c>
      <c r="L1445" s="2">
        <v>3116</v>
      </c>
      <c r="M1445" s="2">
        <v>2709.2</v>
      </c>
      <c r="N1445">
        <v>2</v>
      </c>
    </row>
    <row r="1446" spans="1:14" x14ac:dyDescent="0.3">
      <c r="A1446" s="1">
        <v>38139</v>
      </c>
      <c r="B1446">
        <v>10253</v>
      </c>
      <c r="C1446">
        <v>201</v>
      </c>
      <c r="D1446" t="s">
        <v>224</v>
      </c>
      <c r="E1446" t="s">
        <v>133</v>
      </c>
      <c r="F1446" t="s">
        <v>29</v>
      </c>
      <c r="G1446" t="s">
        <v>131</v>
      </c>
      <c r="H1446">
        <v>31</v>
      </c>
      <c r="I1446" s="2">
        <v>139.87</v>
      </c>
      <c r="J1446" s="2">
        <v>62.16</v>
      </c>
      <c r="K1446" s="2">
        <v>4335.97</v>
      </c>
      <c r="L1446" s="2">
        <v>1926.96</v>
      </c>
      <c r="M1446" s="2">
        <v>2409.0100000000002</v>
      </c>
      <c r="N1446">
        <v>2</v>
      </c>
    </row>
    <row r="1447" spans="1:14" x14ac:dyDescent="0.3">
      <c r="A1447" s="1">
        <v>38139</v>
      </c>
      <c r="B1447">
        <v>10253</v>
      </c>
      <c r="C1447">
        <v>201</v>
      </c>
      <c r="D1447" t="s">
        <v>224</v>
      </c>
      <c r="E1447" t="s">
        <v>133</v>
      </c>
      <c r="F1447" t="s">
        <v>29</v>
      </c>
      <c r="G1447" t="s">
        <v>132</v>
      </c>
      <c r="H1447">
        <v>40</v>
      </c>
      <c r="I1447" s="2">
        <v>34.74</v>
      </c>
      <c r="J1447" s="2">
        <v>16.239999999999998</v>
      </c>
      <c r="K1447" s="2">
        <v>1389.6</v>
      </c>
      <c r="L1447" s="2">
        <v>649.6</v>
      </c>
      <c r="M1447" s="2">
        <v>740</v>
      </c>
      <c r="N1447">
        <v>2</v>
      </c>
    </row>
    <row r="1448" spans="1:14" x14ac:dyDescent="0.3">
      <c r="A1448" s="1">
        <v>38139</v>
      </c>
      <c r="B1448">
        <v>10253</v>
      </c>
      <c r="C1448">
        <v>201</v>
      </c>
      <c r="D1448" t="s">
        <v>224</v>
      </c>
      <c r="E1448" t="s">
        <v>133</v>
      </c>
      <c r="F1448" t="s">
        <v>29</v>
      </c>
      <c r="G1448" t="s">
        <v>122</v>
      </c>
      <c r="H1448">
        <v>24</v>
      </c>
      <c r="I1448" s="2">
        <v>50.82</v>
      </c>
      <c r="J1448" s="2">
        <v>38.58</v>
      </c>
      <c r="K1448" s="2">
        <v>1219.68</v>
      </c>
      <c r="L1448" s="2">
        <v>925.92</v>
      </c>
      <c r="M1448" s="2">
        <v>293.76</v>
      </c>
      <c r="N1448">
        <v>2</v>
      </c>
    </row>
    <row r="1449" spans="1:14" x14ac:dyDescent="0.3">
      <c r="A1449" s="1">
        <v>38139</v>
      </c>
      <c r="B1449">
        <v>10253</v>
      </c>
      <c r="C1449">
        <v>201</v>
      </c>
      <c r="D1449" t="s">
        <v>224</v>
      </c>
      <c r="E1449" t="s">
        <v>133</v>
      </c>
      <c r="F1449" t="s">
        <v>29</v>
      </c>
      <c r="G1449" t="s">
        <v>123</v>
      </c>
      <c r="H1449">
        <v>39</v>
      </c>
      <c r="I1449" s="2">
        <v>115.15</v>
      </c>
      <c r="J1449" s="2">
        <v>98.3</v>
      </c>
      <c r="K1449" s="2">
        <v>4490.8500000000004</v>
      </c>
      <c r="L1449" s="2">
        <v>3833.7</v>
      </c>
      <c r="M1449" s="2">
        <v>657.15</v>
      </c>
      <c r="N1449">
        <v>2</v>
      </c>
    </row>
    <row r="1450" spans="1:14" x14ac:dyDescent="0.3">
      <c r="A1450" s="1">
        <v>38141</v>
      </c>
      <c r="B1450">
        <v>10254</v>
      </c>
      <c r="C1450">
        <v>323</v>
      </c>
      <c r="D1450" t="s">
        <v>158</v>
      </c>
      <c r="E1450" t="s">
        <v>159</v>
      </c>
      <c r="F1450" t="s">
        <v>15</v>
      </c>
      <c r="G1450" t="s">
        <v>16</v>
      </c>
      <c r="H1450">
        <v>49</v>
      </c>
      <c r="I1450" s="2">
        <v>137.69999999999999</v>
      </c>
      <c r="J1450" s="2">
        <v>86.7</v>
      </c>
      <c r="K1450" s="2">
        <v>6747.3</v>
      </c>
      <c r="L1450" s="2">
        <v>4248.3</v>
      </c>
      <c r="M1450" s="2">
        <v>2499</v>
      </c>
      <c r="N1450">
        <v>2</v>
      </c>
    </row>
    <row r="1451" spans="1:14" x14ac:dyDescent="0.3">
      <c r="A1451" s="1">
        <v>38141</v>
      </c>
      <c r="B1451">
        <v>10254</v>
      </c>
      <c r="C1451">
        <v>323</v>
      </c>
      <c r="D1451" t="s">
        <v>158</v>
      </c>
      <c r="E1451" t="s">
        <v>159</v>
      </c>
      <c r="F1451" t="s">
        <v>15</v>
      </c>
      <c r="G1451" t="s">
        <v>17</v>
      </c>
      <c r="H1451">
        <v>36</v>
      </c>
      <c r="I1451" s="2">
        <v>55.09</v>
      </c>
      <c r="J1451" s="2">
        <v>33.299999999999997</v>
      </c>
      <c r="K1451" s="2">
        <v>1983.24</v>
      </c>
      <c r="L1451" s="2">
        <v>1198.8</v>
      </c>
      <c r="M1451" s="2">
        <v>784.44</v>
      </c>
      <c r="N1451">
        <v>2</v>
      </c>
    </row>
    <row r="1452" spans="1:14" x14ac:dyDescent="0.3">
      <c r="A1452" s="1">
        <v>38141</v>
      </c>
      <c r="B1452">
        <v>10254</v>
      </c>
      <c r="C1452">
        <v>323</v>
      </c>
      <c r="D1452" t="s">
        <v>158</v>
      </c>
      <c r="E1452" t="s">
        <v>159</v>
      </c>
      <c r="F1452" t="s">
        <v>15</v>
      </c>
      <c r="G1452" t="s">
        <v>21</v>
      </c>
      <c r="H1452">
        <v>41</v>
      </c>
      <c r="I1452" s="2">
        <v>102.98</v>
      </c>
      <c r="J1452" s="2">
        <v>58.48</v>
      </c>
      <c r="K1452" s="2">
        <v>4222.18</v>
      </c>
      <c r="L1452" s="2">
        <v>2397.6799999999998</v>
      </c>
      <c r="M1452" s="2">
        <v>1824.5</v>
      </c>
      <c r="N1452">
        <v>2</v>
      </c>
    </row>
    <row r="1453" spans="1:14" x14ac:dyDescent="0.3">
      <c r="A1453" s="1">
        <v>38141</v>
      </c>
      <c r="B1453">
        <v>10254</v>
      </c>
      <c r="C1453">
        <v>323</v>
      </c>
      <c r="D1453" t="s">
        <v>158</v>
      </c>
      <c r="E1453" t="s">
        <v>159</v>
      </c>
      <c r="F1453" t="s">
        <v>15</v>
      </c>
      <c r="G1453" t="s">
        <v>18</v>
      </c>
      <c r="H1453">
        <v>34</v>
      </c>
      <c r="I1453" s="2">
        <v>80.989999999999995</v>
      </c>
      <c r="J1453" s="2">
        <v>43.26</v>
      </c>
      <c r="K1453" s="2">
        <v>2753.66</v>
      </c>
      <c r="L1453" s="2">
        <v>1470.84</v>
      </c>
      <c r="M1453" s="2">
        <v>1282.82</v>
      </c>
      <c r="N1453">
        <v>2</v>
      </c>
    </row>
    <row r="1454" spans="1:14" x14ac:dyDescent="0.3">
      <c r="A1454" s="1">
        <v>38141</v>
      </c>
      <c r="B1454">
        <v>10254</v>
      </c>
      <c r="C1454">
        <v>323</v>
      </c>
      <c r="D1454" t="s">
        <v>158</v>
      </c>
      <c r="E1454" t="s">
        <v>159</v>
      </c>
      <c r="F1454" t="s">
        <v>29</v>
      </c>
      <c r="G1454" t="s">
        <v>135</v>
      </c>
      <c r="H1454">
        <v>30</v>
      </c>
      <c r="I1454" s="2">
        <v>59.87</v>
      </c>
      <c r="J1454" s="2">
        <v>34.21</v>
      </c>
      <c r="K1454" s="2">
        <v>1796.1</v>
      </c>
      <c r="L1454" s="2">
        <v>1026.3</v>
      </c>
      <c r="M1454" s="2">
        <v>769.8</v>
      </c>
      <c r="N1454">
        <v>2</v>
      </c>
    </row>
    <row r="1455" spans="1:14" x14ac:dyDescent="0.3">
      <c r="A1455" s="1">
        <v>38141</v>
      </c>
      <c r="B1455">
        <v>10254</v>
      </c>
      <c r="C1455">
        <v>323</v>
      </c>
      <c r="D1455" t="s">
        <v>158</v>
      </c>
      <c r="E1455" t="s">
        <v>159</v>
      </c>
      <c r="F1455" t="s">
        <v>29</v>
      </c>
      <c r="G1455" t="s">
        <v>136</v>
      </c>
      <c r="H1455">
        <v>34</v>
      </c>
      <c r="I1455" s="2">
        <v>66.88</v>
      </c>
      <c r="J1455" s="2">
        <v>49.24</v>
      </c>
      <c r="K1455" s="2">
        <v>2273.92</v>
      </c>
      <c r="L1455" s="2">
        <v>1674.16</v>
      </c>
      <c r="M1455" s="2">
        <v>599.76</v>
      </c>
      <c r="N1455">
        <v>2</v>
      </c>
    </row>
    <row r="1456" spans="1:14" x14ac:dyDescent="0.3">
      <c r="A1456" s="1">
        <v>38141</v>
      </c>
      <c r="B1456">
        <v>10254</v>
      </c>
      <c r="C1456">
        <v>323</v>
      </c>
      <c r="D1456" t="s">
        <v>158</v>
      </c>
      <c r="E1456" t="s">
        <v>159</v>
      </c>
      <c r="F1456" t="s">
        <v>29</v>
      </c>
      <c r="G1456" t="s">
        <v>137</v>
      </c>
      <c r="H1456">
        <v>32</v>
      </c>
      <c r="I1456" s="2">
        <v>43.27</v>
      </c>
      <c r="J1456" s="2">
        <v>29.18</v>
      </c>
      <c r="K1456" s="2">
        <v>1384.64</v>
      </c>
      <c r="L1456" s="2">
        <v>933.76</v>
      </c>
      <c r="M1456" s="2">
        <v>450.88</v>
      </c>
      <c r="N1456">
        <v>2</v>
      </c>
    </row>
    <row r="1457" spans="1:14" x14ac:dyDescent="0.3">
      <c r="A1457" s="1">
        <v>38141</v>
      </c>
      <c r="B1457">
        <v>10254</v>
      </c>
      <c r="C1457">
        <v>323</v>
      </c>
      <c r="D1457" t="s">
        <v>158</v>
      </c>
      <c r="E1457" t="s">
        <v>159</v>
      </c>
      <c r="F1457" t="s">
        <v>15</v>
      </c>
      <c r="G1457" t="s">
        <v>23</v>
      </c>
      <c r="H1457">
        <v>38</v>
      </c>
      <c r="I1457" s="2">
        <v>28.88</v>
      </c>
      <c r="J1457" s="2">
        <v>22.57</v>
      </c>
      <c r="K1457" s="2">
        <v>1097.44</v>
      </c>
      <c r="L1457" s="2">
        <v>857.66</v>
      </c>
      <c r="M1457" s="2">
        <v>239.78</v>
      </c>
      <c r="N1457">
        <v>2</v>
      </c>
    </row>
    <row r="1458" spans="1:14" x14ac:dyDescent="0.3">
      <c r="A1458" s="1">
        <v>38141</v>
      </c>
      <c r="B1458">
        <v>10254</v>
      </c>
      <c r="C1458">
        <v>323</v>
      </c>
      <c r="D1458" t="s">
        <v>158</v>
      </c>
      <c r="E1458" t="s">
        <v>159</v>
      </c>
      <c r="F1458" t="s">
        <v>29</v>
      </c>
      <c r="G1458" t="s">
        <v>138</v>
      </c>
      <c r="H1458">
        <v>31</v>
      </c>
      <c r="I1458" s="2">
        <v>85.42</v>
      </c>
      <c r="J1458" s="2">
        <v>47.25</v>
      </c>
      <c r="K1458" s="2">
        <v>2648.02</v>
      </c>
      <c r="L1458" s="2">
        <v>1464.75</v>
      </c>
      <c r="M1458" s="2">
        <v>1183.27</v>
      </c>
      <c r="N1458">
        <v>2</v>
      </c>
    </row>
    <row r="1459" spans="1:14" x14ac:dyDescent="0.3">
      <c r="A1459" s="1">
        <v>38141</v>
      </c>
      <c r="B1459">
        <v>10254</v>
      </c>
      <c r="C1459">
        <v>323</v>
      </c>
      <c r="D1459" t="s">
        <v>158</v>
      </c>
      <c r="E1459" t="s">
        <v>159</v>
      </c>
      <c r="F1459" t="s">
        <v>29</v>
      </c>
      <c r="G1459" t="s">
        <v>139</v>
      </c>
      <c r="H1459">
        <v>33</v>
      </c>
      <c r="I1459" s="2">
        <v>111.57</v>
      </c>
      <c r="J1459" s="2">
        <v>72.819999999999993</v>
      </c>
      <c r="K1459" s="2">
        <v>3681.81</v>
      </c>
      <c r="L1459" s="2">
        <v>2403.06</v>
      </c>
      <c r="M1459" s="2">
        <v>1278.75</v>
      </c>
      <c r="N1459">
        <v>2</v>
      </c>
    </row>
    <row r="1460" spans="1:14" x14ac:dyDescent="0.3">
      <c r="A1460" s="1">
        <v>38141</v>
      </c>
      <c r="B1460">
        <v>10254</v>
      </c>
      <c r="C1460">
        <v>323</v>
      </c>
      <c r="D1460" t="s">
        <v>158</v>
      </c>
      <c r="E1460" t="s">
        <v>159</v>
      </c>
      <c r="F1460" t="s">
        <v>29</v>
      </c>
      <c r="G1460" t="s">
        <v>140</v>
      </c>
      <c r="H1460">
        <v>42</v>
      </c>
      <c r="I1460" s="2">
        <v>69.34</v>
      </c>
      <c r="J1460" s="2">
        <v>50.51</v>
      </c>
      <c r="K1460" s="2">
        <v>2912.28</v>
      </c>
      <c r="L1460" s="2">
        <v>2121.42</v>
      </c>
      <c r="M1460" s="2">
        <v>790.86</v>
      </c>
      <c r="N1460">
        <v>2</v>
      </c>
    </row>
    <row r="1461" spans="1:14" x14ac:dyDescent="0.3">
      <c r="A1461" s="1">
        <v>38141</v>
      </c>
      <c r="B1461">
        <v>10254</v>
      </c>
      <c r="C1461">
        <v>323</v>
      </c>
      <c r="D1461" t="s">
        <v>158</v>
      </c>
      <c r="E1461" t="s">
        <v>159</v>
      </c>
      <c r="F1461" t="s">
        <v>29</v>
      </c>
      <c r="G1461" t="s">
        <v>141</v>
      </c>
      <c r="H1461">
        <v>49</v>
      </c>
      <c r="I1461" s="2">
        <v>101.73</v>
      </c>
      <c r="J1461" s="2">
        <v>62.11</v>
      </c>
      <c r="K1461" s="2">
        <v>4984.7700000000004</v>
      </c>
      <c r="L1461" s="2">
        <v>3043.39</v>
      </c>
      <c r="M1461" s="2">
        <v>1941.38</v>
      </c>
      <c r="N1461">
        <v>2</v>
      </c>
    </row>
    <row r="1462" spans="1:14" x14ac:dyDescent="0.3">
      <c r="A1462" s="1">
        <v>38141</v>
      </c>
      <c r="B1462">
        <v>10254</v>
      </c>
      <c r="C1462">
        <v>323</v>
      </c>
      <c r="D1462" t="s">
        <v>158</v>
      </c>
      <c r="E1462" t="s">
        <v>159</v>
      </c>
      <c r="F1462" t="s">
        <v>15</v>
      </c>
      <c r="G1462" t="s">
        <v>19</v>
      </c>
      <c r="H1462">
        <v>20</v>
      </c>
      <c r="I1462" s="2">
        <v>39.799999999999997</v>
      </c>
      <c r="J1462" s="2">
        <v>21.75</v>
      </c>
      <c r="K1462" s="2">
        <v>796</v>
      </c>
      <c r="L1462" s="2">
        <v>435</v>
      </c>
      <c r="M1462" s="2">
        <v>361</v>
      </c>
      <c r="N1462">
        <v>2</v>
      </c>
    </row>
    <row r="1463" spans="1:14" x14ac:dyDescent="0.3">
      <c r="A1463" s="1">
        <v>38142</v>
      </c>
      <c r="B1463">
        <v>10255</v>
      </c>
      <c r="C1463">
        <v>209</v>
      </c>
      <c r="D1463" t="s">
        <v>193</v>
      </c>
      <c r="E1463" t="s">
        <v>144</v>
      </c>
      <c r="F1463" t="s">
        <v>15</v>
      </c>
      <c r="G1463" t="s">
        <v>22</v>
      </c>
      <c r="H1463">
        <v>24</v>
      </c>
      <c r="I1463" s="2">
        <v>135</v>
      </c>
      <c r="J1463" s="2">
        <v>72.56</v>
      </c>
      <c r="K1463" s="2">
        <v>3240</v>
      </c>
      <c r="L1463" s="2">
        <v>1741.44</v>
      </c>
      <c r="M1463" s="2">
        <v>1498.56</v>
      </c>
      <c r="N1463">
        <v>2</v>
      </c>
    </row>
    <row r="1464" spans="1:14" x14ac:dyDescent="0.3">
      <c r="A1464" s="1">
        <v>38142</v>
      </c>
      <c r="B1464">
        <v>10255</v>
      </c>
      <c r="C1464">
        <v>209</v>
      </c>
      <c r="D1464" t="s">
        <v>193</v>
      </c>
      <c r="E1464" t="s">
        <v>144</v>
      </c>
      <c r="F1464" t="s">
        <v>15</v>
      </c>
      <c r="G1464" t="s">
        <v>24</v>
      </c>
      <c r="H1464">
        <v>37</v>
      </c>
      <c r="I1464" s="2">
        <v>37.630000000000003</v>
      </c>
      <c r="J1464" s="2">
        <v>20.61</v>
      </c>
      <c r="K1464" s="2">
        <v>1392.31</v>
      </c>
      <c r="L1464" s="2">
        <v>762.57</v>
      </c>
      <c r="M1464" s="2">
        <v>629.74</v>
      </c>
      <c r="N1464">
        <v>2</v>
      </c>
    </row>
    <row r="1465" spans="1:14" x14ac:dyDescent="0.3">
      <c r="A1465" s="1">
        <v>38146</v>
      </c>
      <c r="B1465">
        <v>10256</v>
      </c>
      <c r="C1465">
        <v>145</v>
      </c>
      <c r="D1465" t="s">
        <v>63</v>
      </c>
      <c r="E1465" t="s">
        <v>64</v>
      </c>
      <c r="F1465" t="s">
        <v>15</v>
      </c>
      <c r="G1465" t="s">
        <v>25</v>
      </c>
      <c r="H1465">
        <v>34</v>
      </c>
      <c r="I1465" s="2">
        <v>93.49</v>
      </c>
      <c r="J1465" s="2">
        <v>60.62</v>
      </c>
      <c r="K1465" s="2">
        <v>3178.66</v>
      </c>
      <c r="L1465" s="2">
        <v>2061.08</v>
      </c>
      <c r="M1465" s="2">
        <v>1117.58</v>
      </c>
      <c r="N1465">
        <v>3</v>
      </c>
    </row>
    <row r="1466" spans="1:14" x14ac:dyDescent="0.3">
      <c r="A1466" s="1">
        <v>38146</v>
      </c>
      <c r="B1466">
        <v>10256</v>
      </c>
      <c r="C1466">
        <v>145</v>
      </c>
      <c r="D1466" t="s">
        <v>63</v>
      </c>
      <c r="E1466" t="s">
        <v>64</v>
      </c>
      <c r="F1466" t="s">
        <v>15</v>
      </c>
      <c r="G1466" t="s">
        <v>26</v>
      </c>
      <c r="H1466">
        <v>29</v>
      </c>
      <c r="I1466" s="2">
        <v>52.83</v>
      </c>
      <c r="J1466" s="2">
        <v>24.26</v>
      </c>
      <c r="K1466" s="2">
        <v>1532.07</v>
      </c>
      <c r="L1466" s="2">
        <v>703.54</v>
      </c>
      <c r="M1466" s="2">
        <v>828.53</v>
      </c>
      <c r="N1466">
        <v>3</v>
      </c>
    </row>
    <row r="1467" spans="1:14" x14ac:dyDescent="0.3">
      <c r="A1467" s="1">
        <v>38152</v>
      </c>
      <c r="B1467">
        <v>10257</v>
      </c>
      <c r="C1467">
        <v>450</v>
      </c>
      <c r="D1467" t="s">
        <v>194</v>
      </c>
      <c r="E1467" t="s">
        <v>14</v>
      </c>
      <c r="F1467" t="s">
        <v>15</v>
      </c>
      <c r="G1467" t="s">
        <v>36</v>
      </c>
      <c r="H1467">
        <v>50</v>
      </c>
      <c r="I1467" s="2">
        <v>92.19</v>
      </c>
      <c r="J1467" s="2">
        <v>60.78</v>
      </c>
      <c r="K1467" s="2">
        <v>4609.5</v>
      </c>
      <c r="L1467" s="2">
        <v>3039</v>
      </c>
      <c r="M1467" s="2">
        <v>1570.5</v>
      </c>
      <c r="N1467">
        <v>2</v>
      </c>
    </row>
    <row r="1468" spans="1:14" x14ac:dyDescent="0.3">
      <c r="A1468" s="1">
        <v>38152</v>
      </c>
      <c r="B1468">
        <v>10257</v>
      </c>
      <c r="C1468">
        <v>450</v>
      </c>
      <c r="D1468" t="s">
        <v>194</v>
      </c>
      <c r="E1468" t="s">
        <v>14</v>
      </c>
      <c r="F1468" t="s">
        <v>15</v>
      </c>
      <c r="G1468" t="s">
        <v>37</v>
      </c>
      <c r="H1468">
        <v>49</v>
      </c>
      <c r="I1468" s="2">
        <v>59.34</v>
      </c>
      <c r="J1468" s="2">
        <v>34.35</v>
      </c>
      <c r="K1468" s="2">
        <v>2907.66</v>
      </c>
      <c r="L1468" s="2">
        <v>1683.15</v>
      </c>
      <c r="M1468" s="2">
        <v>1224.51</v>
      </c>
      <c r="N1468">
        <v>2</v>
      </c>
    </row>
    <row r="1469" spans="1:14" x14ac:dyDescent="0.3">
      <c r="A1469" s="1">
        <v>38152</v>
      </c>
      <c r="B1469">
        <v>10257</v>
      </c>
      <c r="C1469">
        <v>450</v>
      </c>
      <c r="D1469" t="s">
        <v>194</v>
      </c>
      <c r="E1469" t="s">
        <v>14</v>
      </c>
      <c r="F1469" t="s">
        <v>15</v>
      </c>
      <c r="G1469" t="s">
        <v>38</v>
      </c>
      <c r="H1469">
        <v>37</v>
      </c>
      <c r="I1469" s="2">
        <v>83.78</v>
      </c>
      <c r="J1469" s="2">
        <v>60.74</v>
      </c>
      <c r="K1469" s="2">
        <v>3099.86</v>
      </c>
      <c r="L1469" s="2">
        <v>2247.38</v>
      </c>
      <c r="M1469" s="2">
        <v>852.48</v>
      </c>
      <c r="N1469">
        <v>2</v>
      </c>
    </row>
    <row r="1470" spans="1:14" x14ac:dyDescent="0.3">
      <c r="A1470" s="1">
        <v>38152</v>
      </c>
      <c r="B1470">
        <v>10257</v>
      </c>
      <c r="C1470">
        <v>450</v>
      </c>
      <c r="D1470" t="s">
        <v>194</v>
      </c>
      <c r="E1470" t="s">
        <v>14</v>
      </c>
      <c r="F1470" t="s">
        <v>15</v>
      </c>
      <c r="G1470" t="s">
        <v>39</v>
      </c>
      <c r="H1470">
        <v>26</v>
      </c>
      <c r="I1470" s="2">
        <v>91.27</v>
      </c>
      <c r="J1470" s="2">
        <v>57.54</v>
      </c>
      <c r="K1470" s="2">
        <v>2373.02</v>
      </c>
      <c r="L1470" s="2">
        <v>1496.04</v>
      </c>
      <c r="M1470" s="2">
        <v>876.98</v>
      </c>
      <c r="N1470">
        <v>2</v>
      </c>
    </row>
    <row r="1471" spans="1:14" x14ac:dyDescent="0.3">
      <c r="A1471" s="1">
        <v>38152</v>
      </c>
      <c r="B1471">
        <v>10257</v>
      </c>
      <c r="C1471">
        <v>450</v>
      </c>
      <c r="D1471" t="s">
        <v>194</v>
      </c>
      <c r="E1471" t="s">
        <v>14</v>
      </c>
      <c r="F1471" t="s">
        <v>15</v>
      </c>
      <c r="G1471" t="s">
        <v>43</v>
      </c>
      <c r="H1471">
        <v>46</v>
      </c>
      <c r="I1471" s="2">
        <v>81.81</v>
      </c>
      <c r="J1471" s="2">
        <v>57.46</v>
      </c>
      <c r="K1471" s="2">
        <v>3763.26</v>
      </c>
      <c r="L1471" s="2">
        <v>2643.16</v>
      </c>
      <c r="M1471" s="2">
        <v>1120.0999999999999</v>
      </c>
      <c r="N1471">
        <v>2</v>
      </c>
    </row>
    <row r="1472" spans="1:14" x14ac:dyDescent="0.3">
      <c r="A1472" s="1">
        <v>38153</v>
      </c>
      <c r="B1472">
        <v>10258</v>
      </c>
      <c r="C1472">
        <v>398</v>
      </c>
      <c r="D1472" t="s">
        <v>195</v>
      </c>
      <c r="E1472" t="s">
        <v>185</v>
      </c>
      <c r="F1472" t="s">
        <v>29</v>
      </c>
      <c r="G1472" t="s">
        <v>30</v>
      </c>
      <c r="H1472">
        <v>32</v>
      </c>
      <c r="I1472" s="2">
        <v>177.87</v>
      </c>
      <c r="J1472" s="2">
        <v>98.58</v>
      </c>
      <c r="K1472" s="2">
        <v>5691.84</v>
      </c>
      <c r="L1472" s="2">
        <v>3154.56</v>
      </c>
      <c r="M1472" s="2">
        <v>2537.2800000000002</v>
      </c>
      <c r="N1472">
        <v>1</v>
      </c>
    </row>
    <row r="1473" spans="1:14" x14ac:dyDescent="0.3">
      <c r="A1473" s="1">
        <v>38153</v>
      </c>
      <c r="B1473">
        <v>10258</v>
      </c>
      <c r="C1473">
        <v>398</v>
      </c>
      <c r="D1473" t="s">
        <v>195</v>
      </c>
      <c r="E1473" t="s">
        <v>185</v>
      </c>
      <c r="F1473" t="s">
        <v>32</v>
      </c>
      <c r="G1473" t="s">
        <v>33</v>
      </c>
      <c r="H1473">
        <v>41</v>
      </c>
      <c r="I1473" s="2">
        <v>133.94</v>
      </c>
      <c r="J1473" s="2">
        <v>77.900000000000006</v>
      </c>
      <c r="K1473" s="2">
        <v>5491.54</v>
      </c>
      <c r="L1473" s="2">
        <v>3193.9</v>
      </c>
      <c r="M1473" s="2">
        <v>2297.64</v>
      </c>
      <c r="N1473">
        <v>1</v>
      </c>
    </row>
    <row r="1474" spans="1:14" x14ac:dyDescent="0.3">
      <c r="A1474" s="1">
        <v>38153</v>
      </c>
      <c r="B1474">
        <v>10258</v>
      </c>
      <c r="C1474">
        <v>398</v>
      </c>
      <c r="D1474" t="s">
        <v>195</v>
      </c>
      <c r="E1474" t="s">
        <v>185</v>
      </c>
      <c r="F1474" t="s">
        <v>32</v>
      </c>
      <c r="G1474" t="s">
        <v>34</v>
      </c>
      <c r="H1474">
        <v>41</v>
      </c>
      <c r="I1474" s="2">
        <v>113.17</v>
      </c>
      <c r="J1474" s="2">
        <v>58.33</v>
      </c>
      <c r="K1474" s="2">
        <v>4639.97</v>
      </c>
      <c r="L1474" s="2">
        <v>2391.5300000000002</v>
      </c>
      <c r="M1474" s="2">
        <v>2248.44</v>
      </c>
      <c r="N1474">
        <v>1</v>
      </c>
    </row>
    <row r="1475" spans="1:14" x14ac:dyDescent="0.3">
      <c r="A1475" s="1">
        <v>38153</v>
      </c>
      <c r="B1475">
        <v>10258</v>
      </c>
      <c r="C1475">
        <v>398</v>
      </c>
      <c r="D1475" t="s">
        <v>195</v>
      </c>
      <c r="E1475" t="s">
        <v>185</v>
      </c>
      <c r="F1475" t="s">
        <v>15</v>
      </c>
      <c r="G1475" t="s">
        <v>41</v>
      </c>
      <c r="H1475">
        <v>21</v>
      </c>
      <c r="I1475" s="2">
        <v>49.81</v>
      </c>
      <c r="J1475" s="2">
        <v>23.14</v>
      </c>
      <c r="K1475" s="2">
        <v>1046.01</v>
      </c>
      <c r="L1475" s="2">
        <v>485.94</v>
      </c>
      <c r="M1475" s="2">
        <v>560.07000000000005</v>
      </c>
      <c r="N1475">
        <v>1</v>
      </c>
    </row>
    <row r="1476" spans="1:14" x14ac:dyDescent="0.3">
      <c r="A1476" s="1">
        <v>38153</v>
      </c>
      <c r="B1476">
        <v>10258</v>
      </c>
      <c r="C1476">
        <v>398</v>
      </c>
      <c r="D1476" t="s">
        <v>195</v>
      </c>
      <c r="E1476" t="s">
        <v>185</v>
      </c>
      <c r="F1476" t="s">
        <v>32</v>
      </c>
      <c r="G1476" t="s">
        <v>45</v>
      </c>
      <c r="H1476">
        <v>20</v>
      </c>
      <c r="I1476" s="2">
        <v>62.7</v>
      </c>
      <c r="J1476" s="2">
        <v>33.61</v>
      </c>
      <c r="K1476" s="2">
        <v>1254</v>
      </c>
      <c r="L1476" s="2">
        <v>672.2</v>
      </c>
      <c r="M1476" s="2">
        <v>581.79999999999995</v>
      </c>
      <c r="N1476">
        <v>1</v>
      </c>
    </row>
    <row r="1477" spans="1:14" x14ac:dyDescent="0.3">
      <c r="A1477" s="1">
        <v>38153</v>
      </c>
      <c r="B1477">
        <v>10258</v>
      </c>
      <c r="C1477">
        <v>398</v>
      </c>
      <c r="D1477" t="s">
        <v>195</v>
      </c>
      <c r="E1477" t="s">
        <v>185</v>
      </c>
      <c r="F1477" t="s">
        <v>29</v>
      </c>
      <c r="G1477" t="s">
        <v>46</v>
      </c>
      <c r="H1477">
        <v>45</v>
      </c>
      <c r="I1477" s="2">
        <v>86.99</v>
      </c>
      <c r="J1477" s="2">
        <v>46.53</v>
      </c>
      <c r="K1477" s="2">
        <v>3914.55</v>
      </c>
      <c r="L1477" s="2">
        <v>2093.85</v>
      </c>
      <c r="M1477" s="2">
        <v>1820.7</v>
      </c>
      <c r="N1477">
        <v>1</v>
      </c>
    </row>
    <row r="1478" spans="1:14" x14ac:dyDescent="0.3">
      <c r="A1478" s="1">
        <v>38153</v>
      </c>
      <c r="B1478">
        <v>10259</v>
      </c>
      <c r="C1478">
        <v>166</v>
      </c>
      <c r="D1478" t="s">
        <v>187</v>
      </c>
      <c r="E1478" t="s">
        <v>147</v>
      </c>
      <c r="F1478" t="s">
        <v>29</v>
      </c>
      <c r="G1478" t="s">
        <v>31</v>
      </c>
      <c r="H1478">
        <v>26</v>
      </c>
      <c r="I1478" s="2">
        <v>121.15</v>
      </c>
      <c r="J1478" s="2">
        <v>103.42</v>
      </c>
      <c r="K1478" s="2">
        <v>3149.9</v>
      </c>
      <c r="L1478" s="2">
        <v>2688.92</v>
      </c>
      <c r="M1478" s="2">
        <v>460.98</v>
      </c>
      <c r="N1478">
        <v>2</v>
      </c>
    </row>
    <row r="1479" spans="1:14" x14ac:dyDescent="0.3">
      <c r="A1479" s="1">
        <v>38153</v>
      </c>
      <c r="B1479">
        <v>10259</v>
      </c>
      <c r="C1479">
        <v>166</v>
      </c>
      <c r="D1479" t="s">
        <v>187</v>
      </c>
      <c r="E1479" t="s">
        <v>147</v>
      </c>
      <c r="F1479" t="s">
        <v>32</v>
      </c>
      <c r="G1479" t="s">
        <v>50</v>
      </c>
      <c r="H1479">
        <v>46</v>
      </c>
      <c r="I1479" s="2">
        <v>117.32</v>
      </c>
      <c r="J1479" s="2">
        <v>55.7</v>
      </c>
      <c r="K1479" s="2">
        <v>5396.72</v>
      </c>
      <c r="L1479" s="2">
        <v>2562.1999999999998</v>
      </c>
      <c r="M1479" s="2">
        <v>2834.52</v>
      </c>
      <c r="N1479">
        <v>2</v>
      </c>
    </row>
    <row r="1480" spans="1:14" x14ac:dyDescent="0.3">
      <c r="A1480" s="1">
        <v>38153</v>
      </c>
      <c r="B1480">
        <v>10259</v>
      </c>
      <c r="C1480">
        <v>166</v>
      </c>
      <c r="D1480" t="s">
        <v>187</v>
      </c>
      <c r="E1480" t="s">
        <v>147</v>
      </c>
      <c r="F1480" t="s">
        <v>29</v>
      </c>
      <c r="G1480" t="s">
        <v>51</v>
      </c>
      <c r="H1480">
        <v>30</v>
      </c>
      <c r="I1480" s="2">
        <v>134.26</v>
      </c>
      <c r="J1480" s="2">
        <v>101.51</v>
      </c>
      <c r="K1480" s="2">
        <v>4027.8</v>
      </c>
      <c r="L1480" s="2">
        <v>3045.3</v>
      </c>
      <c r="M1480" s="2">
        <v>982.5</v>
      </c>
      <c r="N1480">
        <v>2</v>
      </c>
    </row>
    <row r="1481" spans="1:14" x14ac:dyDescent="0.3">
      <c r="A1481" s="1">
        <v>38153</v>
      </c>
      <c r="B1481">
        <v>10259</v>
      </c>
      <c r="C1481">
        <v>166</v>
      </c>
      <c r="D1481" t="s">
        <v>187</v>
      </c>
      <c r="E1481" t="s">
        <v>147</v>
      </c>
      <c r="F1481" t="s">
        <v>32</v>
      </c>
      <c r="G1481" t="s">
        <v>52</v>
      </c>
      <c r="H1481">
        <v>34</v>
      </c>
      <c r="I1481" s="2">
        <v>120.28</v>
      </c>
      <c r="J1481" s="2">
        <v>74.86</v>
      </c>
      <c r="K1481" s="2">
        <v>4089.52</v>
      </c>
      <c r="L1481" s="2">
        <v>2545.2399999999998</v>
      </c>
      <c r="M1481" s="2">
        <v>1544.28</v>
      </c>
      <c r="N1481">
        <v>2</v>
      </c>
    </row>
    <row r="1482" spans="1:14" x14ac:dyDescent="0.3">
      <c r="A1482" s="1">
        <v>38153</v>
      </c>
      <c r="B1482">
        <v>10259</v>
      </c>
      <c r="C1482">
        <v>166</v>
      </c>
      <c r="D1482" t="s">
        <v>187</v>
      </c>
      <c r="E1482" t="s">
        <v>147</v>
      </c>
      <c r="F1482" t="s">
        <v>32</v>
      </c>
      <c r="G1482" t="s">
        <v>35</v>
      </c>
      <c r="H1482">
        <v>30</v>
      </c>
      <c r="I1482" s="2">
        <v>59.55</v>
      </c>
      <c r="J1482" s="2">
        <v>24.92</v>
      </c>
      <c r="K1482" s="2">
        <v>1786.5</v>
      </c>
      <c r="L1482" s="2">
        <v>747.6</v>
      </c>
      <c r="M1482" s="2">
        <v>1038.9000000000001</v>
      </c>
      <c r="N1482">
        <v>2</v>
      </c>
    </row>
    <row r="1483" spans="1:14" x14ac:dyDescent="0.3">
      <c r="A1483" s="1">
        <v>38153</v>
      </c>
      <c r="B1483">
        <v>10259</v>
      </c>
      <c r="C1483">
        <v>166</v>
      </c>
      <c r="D1483" t="s">
        <v>187</v>
      </c>
      <c r="E1483" t="s">
        <v>147</v>
      </c>
      <c r="F1483" t="s">
        <v>29</v>
      </c>
      <c r="G1483" t="s">
        <v>53</v>
      </c>
      <c r="H1483">
        <v>27</v>
      </c>
      <c r="I1483" s="2">
        <v>152.41</v>
      </c>
      <c r="J1483" s="2">
        <v>77.900000000000006</v>
      </c>
      <c r="K1483" s="2">
        <v>4115.07</v>
      </c>
      <c r="L1483" s="2">
        <v>2103.3000000000002</v>
      </c>
      <c r="M1483" s="2">
        <v>2011.77</v>
      </c>
      <c r="N1483">
        <v>2</v>
      </c>
    </row>
    <row r="1484" spans="1:14" x14ac:dyDescent="0.3">
      <c r="A1484" s="1">
        <v>38153</v>
      </c>
      <c r="B1484">
        <v>10259</v>
      </c>
      <c r="C1484">
        <v>166</v>
      </c>
      <c r="D1484" t="s">
        <v>187</v>
      </c>
      <c r="E1484" t="s">
        <v>147</v>
      </c>
      <c r="F1484" t="s">
        <v>32</v>
      </c>
      <c r="G1484" t="s">
        <v>40</v>
      </c>
      <c r="H1484">
        <v>41</v>
      </c>
      <c r="I1484" s="2">
        <v>107.76</v>
      </c>
      <c r="J1484" s="2">
        <v>84.76</v>
      </c>
      <c r="K1484" s="2">
        <v>4418.16</v>
      </c>
      <c r="L1484" s="2">
        <v>3475.16</v>
      </c>
      <c r="M1484" s="2">
        <v>943</v>
      </c>
      <c r="N1484">
        <v>2</v>
      </c>
    </row>
    <row r="1485" spans="1:14" x14ac:dyDescent="0.3">
      <c r="A1485" s="1">
        <v>38153</v>
      </c>
      <c r="B1485">
        <v>10259</v>
      </c>
      <c r="C1485">
        <v>166</v>
      </c>
      <c r="D1485" t="s">
        <v>187</v>
      </c>
      <c r="E1485" t="s">
        <v>147</v>
      </c>
      <c r="F1485" t="s">
        <v>29</v>
      </c>
      <c r="G1485" t="s">
        <v>55</v>
      </c>
      <c r="H1485">
        <v>28</v>
      </c>
      <c r="I1485" s="2">
        <v>46.82</v>
      </c>
      <c r="J1485" s="2">
        <v>32.369999999999997</v>
      </c>
      <c r="K1485" s="2">
        <v>1310.96</v>
      </c>
      <c r="L1485" s="2">
        <v>906.36</v>
      </c>
      <c r="M1485" s="2">
        <v>404.6</v>
      </c>
      <c r="N1485">
        <v>2</v>
      </c>
    </row>
    <row r="1486" spans="1:14" x14ac:dyDescent="0.3">
      <c r="A1486" s="1">
        <v>38153</v>
      </c>
      <c r="B1486">
        <v>10259</v>
      </c>
      <c r="C1486">
        <v>166</v>
      </c>
      <c r="D1486" t="s">
        <v>187</v>
      </c>
      <c r="E1486" t="s">
        <v>147</v>
      </c>
      <c r="F1486" t="s">
        <v>32</v>
      </c>
      <c r="G1486" t="s">
        <v>42</v>
      </c>
      <c r="H1486">
        <v>47</v>
      </c>
      <c r="I1486" s="2">
        <v>121.4</v>
      </c>
      <c r="J1486" s="2">
        <v>61.34</v>
      </c>
      <c r="K1486" s="2">
        <v>5705.8</v>
      </c>
      <c r="L1486" s="2">
        <v>2882.98</v>
      </c>
      <c r="M1486" s="2">
        <v>2822.82</v>
      </c>
      <c r="N1486">
        <v>2</v>
      </c>
    </row>
    <row r="1487" spans="1:14" x14ac:dyDescent="0.3">
      <c r="A1487" s="1">
        <v>38153</v>
      </c>
      <c r="B1487">
        <v>10259</v>
      </c>
      <c r="C1487">
        <v>166</v>
      </c>
      <c r="D1487" t="s">
        <v>187</v>
      </c>
      <c r="E1487" t="s">
        <v>147</v>
      </c>
      <c r="F1487" t="s">
        <v>29</v>
      </c>
      <c r="G1487" t="s">
        <v>56</v>
      </c>
      <c r="H1487">
        <v>31</v>
      </c>
      <c r="I1487" s="2">
        <v>31.47</v>
      </c>
      <c r="J1487" s="2">
        <v>15.91</v>
      </c>
      <c r="K1487" s="2">
        <v>975.57</v>
      </c>
      <c r="L1487" s="2">
        <v>493.21</v>
      </c>
      <c r="M1487" s="2">
        <v>482.36</v>
      </c>
      <c r="N1487">
        <v>2</v>
      </c>
    </row>
    <row r="1488" spans="1:14" x14ac:dyDescent="0.3">
      <c r="A1488" s="1">
        <v>38153</v>
      </c>
      <c r="B1488">
        <v>10259</v>
      </c>
      <c r="C1488">
        <v>166</v>
      </c>
      <c r="D1488" t="s">
        <v>187</v>
      </c>
      <c r="E1488" t="s">
        <v>147</v>
      </c>
      <c r="F1488" t="s">
        <v>32</v>
      </c>
      <c r="G1488" t="s">
        <v>44</v>
      </c>
      <c r="H1488">
        <v>45</v>
      </c>
      <c r="I1488" s="2">
        <v>95.35</v>
      </c>
      <c r="J1488" s="2">
        <v>53.93</v>
      </c>
      <c r="K1488" s="2">
        <v>4290.75</v>
      </c>
      <c r="L1488" s="2">
        <v>2426.85</v>
      </c>
      <c r="M1488" s="2">
        <v>1863.9</v>
      </c>
      <c r="N1488">
        <v>2</v>
      </c>
    </row>
    <row r="1489" spans="1:14" x14ac:dyDescent="0.3">
      <c r="A1489" s="1">
        <v>38153</v>
      </c>
      <c r="B1489">
        <v>10259</v>
      </c>
      <c r="C1489">
        <v>166</v>
      </c>
      <c r="D1489" t="s">
        <v>187</v>
      </c>
      <c r="E1489" t="s">
        <v>147</v>
      </c>
      <c r="F1489" t="s">
        <v>32</v>
      </c>
      <c r="G1489" t="s">
        <v>58</v>
      </c>
      <c r="H1489">
        <v>40</v>
      </c>
      <c r="I1489" s="2">
        <v>45.99</v>
      </c>
      <c r="J1489" s="2">
        <v>25.98</v>
      </c>
      <c r="K1489" s="2">
        <v>1839.6</v>
      </c>
      <c r="L1489" s="2">
        <v>1039.2</v>
      </c>
      <c r="M1489" s="2">
        <v>800.4</v>
      </c>
      <c r="N1489">
        <v>2</v>
      </c>
    </row>
    <row r="1490" spans="1:14" x14ac:dyDescent="0.3">
      <c r="A1490" s="1">
        <v>38153</v>
      </c>
      <c r="B1490">
        <v>10259</v>
      </c>
      <c r="C1490">
        <v>166</v>
      </c>
      <c r="D1490" t="s">
        <v>187</v>
      </c>
      <c r="E1490" t="s">
        <v>147</v>
      </c>
      <c r="F1490" t="s">
        <v>32</v>
      </c>
      <c r="G1490" t="s">
        <v>61</v>
      </c>
      <c r="H1490">
        <v>29</v>
      </c>
      <c r="I1490" s="2">
        <v>105.33</v>
      </c>
      <c r="J1490" s="2">
        <v>68.290000000000006</v>
      </c>
      <c r="K1490" s="2">
        <v>3054.57</v>
      </c>
      <c r="L1490" s="2">
        <v>1980.41</v>
      </c>
      <c r="M1490" s="2">
        <v>1074.1600000000001</v>
      </c>
      <c r="N1490">
        <v>2</v>
      </c>
    </row>
    <row r="1491" spans="1:14" x14ac:dyDescent="0.3">
      <c r="A1491" s="1">
        <v>38154</v>
      </c>
      <c r="B1491">
        <v>10260</v>
      </c>
      <c r="C1491">
        <v>357</v>
      </c>
      <c r="D1491" t="s">
        <v>234</v>
      </c>
      <c r="E1491" t="s">
        <v>159</v>
      </c>
      <c r="F1491" t="s">
        <v>29</v>
      </c>
      <c r="G1491" t="s">
        <v>66</v>
      </c>
      <c r="H1491">
        <v>46</v>
      </c>
      <c r="I1491" s="2">
        <v>180.79</v>
      </c>
      <c r="J1491" s="2">
        <v>95.59</v>
      </c>
      <c r="K1491" s="2">
        <v>8316.34</v>
      </c>
      <c r="L1491" s="2">
        <v>4397.1400000000003</v>
      </c>
      <c r="M1491" s="2">
        <v>3919.2</v>
      </c>
      <c r="N1491">
        <v>2</v>
      </c>
    </row>
    <row r="1492" spans="1:14" x14ac:dyDescent="0.3">
      <c r="A1492" s="1">
        <v>38154</v>
      </c>
      <c r="B1492">
        <v>10260</v>
      </c>
      <c r="C1492">
        <v>357</v>
      </c>
      <c r="D1492" t="s">
        <v>234</v>
      </c>
      <c r="E1492" t="s">
        <v>159</v>
      </c>
      <c r="F1492" t="s">
        <v>29</v>
      </c>
      <c r="G1492" t="s">
        <v>49</v>
      </c>
      <c r="H1492">
        <v>30</v>
      </c>
      <c r="I1492" s="2">
        <v>140.5</v>
      </c>
      <c r="J1492" s="2">
        <v>89.14</v>
      </c>
      <c r="K1492" s="2">
        <v>4215</v>
      </c>
      <c r="L1492" s="2">
        <v>2674.2</v>
      </c>
      <c r="M1492" s="2">
        <v>1540.8</v>
      </c>
      <c r="N1492">
        <v>2</v>
      </c>
    </row>
    <row r="1493" spans="1:14" x14ac:dyDescent="0.3">
      <c r="A1493" s="1">
        <v>38154</v>
      </c>
      <c r="B1493">
        <v>10260</v>
      </c>
      <c r="C1493">
        <v>357</v>
      </c>
      <c r="D1493" t="s">
        <v>234</v>
      </c>
      <c r="E1493" t="s">
        <v>159</v>
      </c>
      <c r="F1493" t="s">
        <v>29</v>
      </c>
      <c r="G1493" t="s">
        <v>67</v>
      </c>
      <c r="H1493">
        <v>44</v>
      </c>
      <c r="I1493" s="2">
        <v>169.56</v>
      </c>
      <c r="J1493" s="2">
        <v>83.05</v>
      </c>
      <c r="K1493" s="2">
        <v>7460.64</v>
      </c>
      <c r="L1493" s="2">
        <v>3654.2</v>
      </c>
      <c r="M1493" s="2">
        <v>3806.44</v>
      </c>
      <c r="N1493">
        <v>2</v>
      </c>
    </row>
    <row r="1494" spans="1:14" x14ac:dyDescent="0.3">
      <c r="A1494" s="1">
        <v>38154</v>
      </c>
      <c r="B1494">
        <v>10260</v>
      </c>
      <c r="C1494">
        <v>357</v>
      </c>
      <c r="D1494" t="s">
        <v>234</v>
      </c>
      <c r="E1494" t="s">
        <v>159</v>
      </c>
      <c r="F1494" t="s">
        <v>15</v>
      </c>
      <c r="G1494" t="s">
        <v>68</v>
      </c>
      <c r="H1494">
        <v>32</v>
      </c>
      <c r="I1494" s="2">
        <v>121.57</v>
      </c>
      <c r="J1494" s="2">
        <v>68.3</v>
      </c>
      <c r="K1494" s="2">
        <v>3890.24</v>
      </c>
      <c r="L1494" s="2">
        <v>2185.6</v>
      </c>
      <c r="M1494" s="2">
        <v>1704.64</v>
      </c>
      <c r="N1494">
        <v>2</v>
      </c>
    </row>
    <row r="1495" spans="1:14" x14ac:dyDescent="0.3">
      <c r="A1495" s="1">
        <v>38154</v>
      </c>
      <c r="B1495">
        <v>10260</v>
      </c>
      <c r="C1495">
        <v>357</v>
      </c>
      <c r="D1495" t="s">
        <v>234</v>
      </c>
      <c r="E1495" t="s">
        <v>159</v>
      </c>
      <c r="F1495" t="s">
        <v>59</v>
      </c>
      <c r="G1495" t="s">
        <v>69</v>
      </c>
      <c r="H1495">
        <v>29</v>
      </c>
      <c r="I1495" s="2">
        <v>92.77</v>
      </c>
      <c r="J1495" s="2">
        <v>67.56</v>
      </c>
      <c r="K1495" s="2">
        <v>2690.33</v>
      </c>
      <c r="L1495" s="2">
        <v>1959.24</v>
      </c>
      <c r="M1495" s="2">
        <v>731.09</v>
      </c>
      <c r="N1495">
        <v>2</v>
      </c>
    </row>
    <row r="1496" spans="1:14" x14ac:dyDescent="0.3">
      <c r="A1496" s="1">
        <v>38154</v>
      </c>
      <c r="B1496">
        <v>10260</v>
      </c>
      <c r="C1496">
        <v>357</v>
      </c>
      <c r="D1496" t="s">
        <v>234</v>
      </c>
      <c r="E1496" t="s">
        <v>159</v>
      </c>
      <c r="F1496" t="s">
        <v>29</v>
      </c>
      <c r="G1496" t="s">
        <v>54</v>
      </c>
      <c r="H1496">
        <v>23</v>
      </c>
      <c r="I1496" s="2">
        <v>137.88</v>
      </c>
      <c r="J1496" s="2">
        <v>91.92</v>
      </c>
      <c r="K1496" s="2">
        <v>3171.24</v>
      </c>
      <c r="L1496" s="2">
        <v>2114.16</v>
      </c>
      <c r="M1496" s="2">
        <v>1057.08</v>
      </c>
      <c r="N1496">
        <v>2</v>
      </c>
    </row>
    <row r="1497" spans="1:14" x14ac:dyDescent="0.3">
      <c r="A1497" s="1">
        <v>38154</v>
      </c>
      <c r="B1497">
        <v>10260</v>
      </c>
      <c r="C1497">
        <v>357</v>
      </c>
      <c r="D1497" t="s">
        <v>234</v>
      </c>
      <c r="E1497" t="s">
        <v>159</v>
      </c>
      <c r="F1497" t="s">
        <v>29</v>
      </c>
      <c r="G1497" t="s">
        <v>57</v>
      </c>
      <c r="H1497">
        <v>23</v>
      </c>
      <c r="I1497" s="2">
        <v>117.1</v>
      </c>
      <c r="J1497" s="2">
        <v>69.78</v>
      </c>
      <c r="K1497" s="2">
        <v>2693.3</v>
      </c>
      <c r="L1497" s="2">
        <v>1604.94</v>
      </c>
      <c r="M1497" s="2">
        <v>1088.3599999999999</v>
      </c>
      <c r="N1497">
        <v>2</v>
      </c>
    </row>
    <row r="1498" spans="1:14" x14ac:dyDescent="0.3">
      <c r="A1498" s="1">
        <v>38154</v>
      </c>
      <c r="B1498">
        <v>10260</v>
      </c>
      <c r="C1498">
        <v>357</v>
      </c>
      <c r="D1498" t="s">
        <v>234</v>
      </c>
      <c r="E1498" t="s">
        <v>159</v>
      </c>
      <c r="F1498" t="s">
        <v>59</v>
      </c>
      <c r="G1498" t="s">
        <v>60</v>
      </c>
      <c r="H1498">
        <v>27</v>
      </c>
      <c r="I1498" s="2">
        <v>55.3</v>
      </c>
      <c r="J1498" s="2">
        <v>26.72</v>
      </c>
      <c r="K1498" s="2">
        <v>1493.1</v>
      </c>
      <c r="L1498" s="2">
        <v>721.44</v>
      </c>
      <c r="M1498" s="2">
        <v>771.66</v>
      </c>
      <c r="N1498">
        <v>2</v>
      </c>
    </row>
    <row r="1499" spans="1:14" x14ac:dyDescent="0.3">
      <c r="A1499" s="1">
        <v>38154</v>
      </c>
      <c r="B1499">
        <v>10260</v>
      </c>
      <c r="C1499">
        <v>357</v>
      </c>
      <c r="D1499" t="s">
        <v>234</v>
      </c>
      <c r="E1499" t="s">
        <v>159</v>
      </c>
      <c r="F1499" t="s">
        <v>59</v>
      </c>
      <c r="G1499" t="s">
        <v>62</v>
      </c>
      <c r="H1499">
        <v>21</v>
      </c>
      <c r="I1499" s="2">
        <v>56.24</v>
      </c>
      <c r="J1499" s="2">
        <v>37.49</v>
      </c>
      <c r="K1499" s="2">
        <v>1181.04</v>
      </c>
      <c r="L1499" s="2">
        <v>787.29</v>
      </c>
      <c r="M1499" s="2">
        <v>393.75</v>
      </c>
      <c r="N1499">
        <v>2</v>
      </c>
    </row>
    <row r="1500" spans="1:14" x14ac:dyDescent="0.3">
      <c r="A1500" s="1">
        <v>38154</v>
      </c>
      <c r="B1500">
        <v>10260</v>
      </c>
      <c r="C1500">
        <v>357</v>
      </c>
      <c r="D1500" t="s">
        <v>234</v>
      </c>
      <c r="E1500" t="s">
        <v>159</v>
      </c>
      <c r="F1500" t="s">
        <v>71</v>
      </c>
      <c r="G1500" t="s">
        <v>76</v>
      </c>
      <c r="H1500">
        <v>33</v>
      </c>
      <c r="I1500" s="2">
        <v>80.55</v>
      </c>
      <c r="J1500" s="2">
        <v>43.3</v>
      </c>
      <c r="K1500" s="2">
        <v>2658.15</v>
      </c>
      <c r="L1500" s="2">
        <v>1428.9</v>
      </c>
      <c r="M1500" s="2">
        <v>1229.25</v>
      </c>
      <c r="N1500">
        <v>2</v>
      </c>
    </row>
    <row r="1501" spans="1:14" x14ac:dyDescent="0.3">
      <c r="A1501" s="1">
        <v>38155</v>
      </c>
      <c r="B1501">
        <v>10261</v>
      </c>
      <c r="C1501">
        <v>233</v>
      </c>
      <c r="D1501" t="s">
        <v>171</v>
      </c>
      <c r="E1501" t="s">
        <v>172</v>
      </c>
      <c r="F1501" t="s">
        <v>29</v>
      </c>
      <c r="G1501" t="s">
        <v>65</v>
      </c>
      <c r="H1501">
        <v>27</v>
      </c>
      <c r="I1501" s="2">
        <v>116.96</v>
      </c>
      <c r="J1501" s="2">
        <v>85.68</v>
      </c>
      <c r="K1501" s="2">
        <v>3157.92</v>
      </c>
      <c r="L1501" s="2">
        <v>2313.36</v>
      </c>
      <c r="M1501" s="2">
        <v>844.56</v>
      </c>
      <c r="N1501">
        <v>2</v>
      </c>
    </row>
    <row r="1502" spans="1:14" x14ac:dyDescent="0.3">
      <c r="A1502" s="1">
        <v>38155</v>
      </c>
      <c r="B1502">
        <v>10261</v>
      </c>
      <c r="C1502">
        <v>233</v>
      </c>
      <c r="D1502" t="s">
        <v>171</v>
      </c>
      <c r="E1502" t="s">
        <v>172</v>
      </c>
      <c r="F1502" t="s">
        <v>15</v>
      </c>
      <c r="G1502" t="s">
        <v>70</v>
      </c>
      <c r="H1502">
        <v>20</v>
      </c>
      <c r="I1502" s="2">
        <v>80.75</v>
      </c>
      <c r="J1502" s="2">
        <v>52.66</v>
      </c>
      <c r="K1502" s="2">
        <v>1615</v>
      </c>
      <c r="L1502" s="2">
        <v>1053.2</v>
      </c>
      <c r="M1502" s="2">
        <v>561.79999999999995</v>
      </c>
      <c r="N1502">
        <v>2</v>
      </c>
    </row>
    <row r="1503" spans="1:14" x14ac:dyDescent="0.3">
      <c r="A1503" s="1">
        <v>38155</v>
      </c>
      <c r="B1503">
        <v>10261</v>
      </c>
      <c r="C1503">
        <v>233</v>
      </c>
      <c r="D1503" t="s">
        <v>171</v>
      </c>
      <c r="E1503" t="s">
        <v>172</v>
      </c>
      <c r="F1503" t="s">
        <v>71</v>
      </c>
      <c r="G1503" t="s">
        <v>72</v>
      </c>
      <c r="H1503">
        <v>36</v>
      </c>
      <c r="I1503" s="2">
        <v>105.69</v>
      </c>
      <c r="J1503" s="2">
        <v>82.34</v>
      </c>
      <c r="K1503" s="2">
        <v>3804.84</v>
      </c>
      <c r="L1503" s="2">
        <v>2964.24</v>
      </c>
      <c r="M1503" s="2">
        <v>840.6</v>
      </c>
      <c r="N1503">
        <v>2</v>
      </c>
    </row>
    <row r="1504" spans="1:14" x14ac:dyDescent="0.3">
      <c r="A1504" s="1">
        <v>38155</v>
      </c>
      <c r="B1504">
        <v>10261</v>
      </c>
      <c r="C1504">
        <v>233</v>
      </c>
      <c r="D1504" t="s">
        <v>171</v>
      </c>
      <c r="E1504" t="s">
        <v>172</v>
      </c>
      <c r="F1504" t="s">
        <v>15</v>
      </c>
      <c r="G1504" t="s">
        <v>73</v>
      </c>
      <c r="H1504">
        <v>22</v>
      </c>
      <c r="I1504" s="2">
        <v>79.66</v>
      </c>
      <c r="J1504" s="2">
        <v>46.91</v>
      </c>
      <c r="K1504" s="2">
        <v>1752.52</v>
      </c>
      <c r="L1504" s="2">
        <v>1032.02</v>
      </c>
      <c r="M1504" s="2">
        <v>720.5</v>
      </c>
      <c r="N1504">
        <v>2</v>
      </c>
    </row>
    <row r="1505" spans="1:14" x14ac:dyDescent="0.3">
      <c r="A1505" s="1">
        <v>38155</v>
      </c>
      <c r="B1505">
        <v>10261</v>
      </c>
      <c r="C1505">
        <v>233</v>
      </c>
      <c r="D1505" t="s">
        <v>171</v>
      </c>
      <c r="E1505" t="s">
        <v>172</v>
      </c>
      <c r="F1505" t="s">
        <v>71</v>
      </c>
      <c r="G1505" t="s">
        <v>75</v>
      </c>
      <c r="H1505">
        <v>34</v>
      </c>
      <c r="I1505" s="2">
        <v>64</v>
      </c>
      <c r="J1505" s="2">
        <v>34</v>
      </c>
      <c r="K1505" s="2">
        <v>2176</v>
      </c>
      <c r="L1505" s="2">
        <v>1156</v>
      </c>
      <c r="M1505" s="2">
        <v>1020</v>
      </c>
      <c r="N1505">
        <v>2</v>
      </c>
    </row>
    <row r="1506" spans="1:14" x14ac:dyDescent="0.3">
      <c r="A1506" s="1">
        <v>38155</v>
      </c>
      <c r="B1506">
        <v>10261</v>
      </c>
      <c r="C1506">
        <v>233</v>
      </c>
      <c r="D1506" t="s">
        <v>171</v>
      </c>
      <c r="E1506" t="s">
        <v>172</v>
      </c>
      <c r="F1506" t="s">
        <v>71</v>
      </c>
      <c r="G1506" t="s">
        <v>77</v>
      </c>
      <c r="H1506">
        <v>44</v>
      </c>
      <c r="I1506" s="2">
        <v>58.55</v>
      </c>
      <c r="J1506" s="2">
        <v>33.97</v>
      </c>
      <c r="K1506" s="2">
        <v>2576.1999999999998</v>
      </c>
      <c r="L1506" s="2">
        <v>1494.68</v>
      </c>
      <c r="M1506" s="2">
        <v>1081.52</v>
      </c>
      <c r="N1506">
        <v>2</v>
      </c>
    </row>
    <row r="1507" spans="1:14" x14ac:dyDescent="0.3">
      <c r="A1507" s="1">
        <v>38155</v>
      </c>
      <c r="B1507">
        <v>10261</v>
      </c>
      <c r="C1507">
        <v>233</v>
      </c>
      <c r="D1507" t="s">
        <v>171</v>
      </c>
      <c r="E1507" t="s">
        <v>172</v>
      </c>
      <c r="F1507" t="s">
        <v>71</v>
      </c>
      <c r="G1507" t="s">
        <v>78</v>
      </c>
      <c r="H1507">
        <v>25</v>
      </c>
      <c r="I1507" s="2">
        <v>89.15</v>
      </c>
      <c r="J1507" s="2">
        <v>51.09</v>
      </c>
      <c r="K1507" s="2">
        <v>2228.75</v>
      </c>
      <c r="L1507" s="2">
        <v>1277.25</v>
      </c>
      <c r="M1507" s="2">
        <v>951.5</v>
      </c>
      <c r="N1507">
        <v>2</v>
      </c>
    </row>
    <row r="1508" spans="1:14" x14ac:dyDescent="0.3">
      <c r="A1508" s="1">
        <v>38155</v>
      </c>
      <c r="B1508">
        <v>10261</v>
      </c>
      <c r="C1508">
        <v>233</v>
      </c>
      <c r="D1508" t="s">
        <v>171</v>
      </c>
      <c r="E1508" t="s">
        <v>172</v>
      </c>
      <c r="F1508" t="s">
        <v>71</v>
      </c>
      <c r="G1508" t="s">
        <v>79</v>
      </c>
      <c r="H1508">
        <v>50</v>
      </c>
      <c r="I1508" s="2">
        <v>88.39</v>
      </c>
      <c r="J1508" s="2">
        <v>53.63</v>
      </c>
      <c r="K1508" s="2">
        <v>4419.5</v>
      </c>
      <c r="L1508" s="2">
        <v>2681.5</v>
      </c>
      <c r="M1508" s="2">
        <v>1738</v>
      </c>
      <c r="N1508">
        <v>2</v>
      </c>
    </row>
    <row r="1509" spans="1:14" x14ac:dyDescent="0.3">
      <c r="A1509" s="1">
        <v>38155</v>
      </c>
      <c r="B1509">
        <v>10261</v>
      </c>
      <c r="C1509">
        <v>233</v>
      </c>
      <c r="D1509" t="s">
        <v>171</v>
      </c>
      <c r="E1509" t="s">
        <v>172</v>
      </c>
      <c r="F1509" t="s">
        <v>71</v>
      </c>
      <c r="G1509" t="s">
        <v>80</v>
      </c>
      <c r="H1509">
        <v>29</v>
      </c>
      <c r="I1509" s="2">
        <v>43.68</v>
      </c>
      <c r="J1509" s="2">
        <v>33.299999999999997</v>
      </c>
      <c r="K1509" s="2">
        <v>1266.72</v>
      </c>
      <c r="L1509" s="2">
        <v>965.7</v>
      </c>
      <c r="M1509" s="2">
        <v>301.02</v>
      </c>
      <c r="N1509">
        <v>2</v>
      </c>
    </row>
    <row r="1510" spans="1:14" x14ac:dyDescent="0.3">
      <c r="A1510" s="1">
        <v>38162</v>
      </c>
      <c r="B1510">
        <v>10262</v>
      </c>
      <c r="C1510">
        <v>141</v>
      </c>
      <c r="D1510" t="s">
        <v>47</v>
      </c>
      <c r="E1510" t="s">
        <v>48</v>
      </c>
      <c r="F1510" t="s">
        <v>83</v>
      </c>
      <c r="G1510" t="s">
        <v>84</v>
      </c>
      <c r="H1510">
        <v>49</v>
      </c>
      <c r="I1510" s="2">
        <v>157.69</v>
      </c>
      <c r="J1510" s="2">
        <v>77.27</v>
      </c>
      <c r="K1510" s="2">
        <v>7726.81</v>
      </c>
      <c r="L1510" s="2">
        <v>3786.23</v>
      </c>
      <c r="M1510" s="2">
        <v>3940.58</v>
      </c>
      <c r="N1510">
        <v>12</v>
      </c>
    </row>
    <row r="1511" spans="1:14" x14ac:dyDescent="0.3">
      <c r="A1511" s="1">
        <v>38162</v>
      </c>
      <c r="B1511">
        <v>10262</v>
      </c>
      <c r="C1511">
        <v>141</v>
      </c>
      <c r="D1511" t="s">
        <v>47</v>
      </c>
      <c r="E1511" t="s">
        <v>48</v>
      </c>
      <c r="F1511" t="s">
        <v>71</v>
      </c>
      <c r="G1511" t="s">
        <v>86</v>
      </c>
      <c r="H1511">
        <v>32</v>
      </c>
      <c r="I1511" s="2">
        <v>81.72</v>
      </c>
      <c r="J1511" s="2">
        <v>51.61</v>
      </c>
      <c r="K1511" s="2">
        <v>2615.04</v>
      </c>
      <c r="L1511" s="2">
        <v>1651.52</v>
      </c>
      <c r="M1511" s="2">
        <v>963.52</v>
      </c>
      <c r="N1511">
        <v>12</v>
      </c>
    </row>
    <row r="1512" spans="1:14" x14ac:dyDescent="0.3">
      <c r="A1512" s="1">
        <v>38162</v>
      </c>
      <c r="B1512">
        <v>10262</v>
      </c>
      <c r="C1512">
        <v>141</v>
      </c>
      <c r="D1512" t="s">
        <v>47</v>
      </c>
      <c r="E1512" t="s">
        <v>48</v>
      </c>
      <c r="F1512" t="s">
        <v>15</v>
      </c>
      <c r="G1512" t="s">
        <v>87</v>
      </c>
      <c r="H1512">
        <v>34</v>
      </c>
      <c r="I1512" s="2">
        <v>85.75</v>
      </c>
      <c r="J1512" s="2">
        <v>64.58</v>
      </c>
      <c r="K1512" s="2">
        <v>2915.5</v>
      </c>
      <c r="L1512" s="2">
        <v>2195.7199999999998</v>
      </c>
      <c r="M1512" s="2">
        <v>719.78</v>
      </c>
      <c r="N1512">
        <v>12</v>
      </c>
    </row>
    <row r="1513" spans="1:14" x14ac:dyDescent="0.3">
      <c r="A1513" s="1">
        <v>38162</v>
      </c>
      <c r="B1513">
        <v>10262</v>
      </c>
      <c r="C1513">
        <v>141</v>
      </c>
      <c r="D1513" t="s">
        <v>47</v>
      </c>
      <c r="E1513" t="s">
        <v>48</v>
      </c>
      <c r="F1513" t="s">
        <v>83</v>
      </c>
      <c r="G1513" t="s">
        <v>88</v>
      </c>
      <c r="H1513">
        <v>34</v>
      </c>
      <c r="I1513" s="2">
        <v>98.48</v>
      </c>
      <c r="J1513" s="2">
        <v>66.739999999999995</v>
      </c>
      <c r="K1513" s="2">
        <v>3348.32</v>
      </c>
      <c r="L1513" s="2">
        <v>2269.16</v>
      </c>
      <c r="M1513" s="2">
        <v>1079.1600000000001</v>
      </c>
      <c r="N1513">
        <v>12</v>
      </c>
    </row>
    <row r="1514" spans="1:14" x14ac:dyDescent="0.3">
      <c r="A1514" s="1">
        <v>38162</v>
      </c>
      <c r="B1514">
        <v>10262</v>
      </c>
      <c r="C1514">
        <v>141</v>
      </c>
      <c r="D1514" t="s">
        <v>47</v>
      </c>
      <c r="E1514" t="s">
        <v>48</v>
      </c>
      <c r="F1514" t="s">
        <v>83</v>
      </c>
      <c r="G1514" t="s">
        <v>89</v>
      </c>
      <c r="H1514">
        <v>24</v>
      </c>
      <c r="I1514" s="2">
        <v>63.71</v>
      </c>
      <c r="J1514" s="2">
        <v>34.25</v>
      </c>
      <c r="K1514" s="2">
        <v>1529.04</v>
      </c>
      <c r="L1514" s="2">
        <v>822</v>
      </c>
      <c r="M1514" s="2">
        <v>707.04</v>
      </c>
      <c r="N1514">
        <v>12</v>
      </c>
    </row>
    <row r="1515" spans="1:14" x14ac:dyDescent="0.3">
      <c r="A1515" s="1">
        <v>38162</v>
      </c>
      <c r="B1515">
        <v>10262</v>
      </c>
      <c r="C1515">
        <v>141</v>
      </c>
      <c r="D1515" t="s">
        <v>47</v>
      </c>
      <c r="E1515" t="s">
        <v>48</v>
      </c>
      <c r="F1515" t="s">
        <v>15</v>
      </c>
      <c r="G1515" t="s">
        <v>90</v>
      </c>
      <c r="H1515">
        <v>46</v>
      </c>
      <c r="I1515" s="2">
        <v>65.75</v>
      </c>
      <c r="J1515" s="2">
        <v>26.3</v>
      </c>
      <c r="K1515" s="2">
        <v>3024.5</v>
      </c>
      <c r="L1515" s="2">
        <v>1209.8</v>
      </c>
      <c r="M1515" s="2">
        <v>1814.7</v>
      </c>
      <c r="N1515">
        <v>12</v>
      </c>
    </row>
    <row r="1516" spans="1:14" x14ac:dyDescent="0.3">
      <c r="A1516" s="1">
        <v>38162</v>
      </c>
      <c r="B1516">
        <v>10262</v>
      </c>
      <c r="C1516">
        <v>141</v>
      </c>
      <c r="D1516" t="s">
        <v>47</v>
      </c>
      <c r="E1516" t="s">
        <v>48</v>
      </c>
      <c r="F1516" t="s">
        <v>15</v>
      </c>
      <c r="G1516" t="s">
        <v>74</v>
      </c>
      <c r="H1516">
        <v>49</v>
      </c>
      <c r="I1516" s="2">
        <v>82.18</v>
      </c>
      <c r="J1516" s="2">
        <v>48.64</v>
      </c>
      <c r="K1516" s="2">
        <v>4026.82</v>
      </c>
      <c r="L1516" s="2">
        <v>2383.36</v>
      </c>
      <c r="M1516" s="2">
        <v>1643.46</v>
      </c>
      <c r="N1516">
        <v>12</v>
      </c>
    </row>
    <row r="1517" spans="1:14" x14ac:dyDescent="0.3">
      <c r="A1517" s="1">
        <v>38162</v>
      </c>
      <c r="B1517">
        <v>10262</v>
      </c>
      <c r="C1517">
        <v>141</v>
      </c>
      <c r="D1517" t="s">
        <v>47</v>
      </c>
      <c r="E1517" t="s">
        <v>48</v>
      </c>
      <c r="F1517" t="s">
        <v>83</v>
      </c>
      <c r="G1517" t="s">
        <v>91</v>
      </c>
      <c r="H1517">
        <v>48</v>
      </c>
      <c r="I1517" s="2">
        <v>58.69</v>
      </c>
      <c r="J1517" s="2">
        <v>29.34</v>
      </c>
      <c r="K1517" s="2">
        <v>2817.12</v>
      </c>
      <c r="L1517" s="2">
        <v>1408.32</v>
      </c>
      <c r="M1517" s="2">
        <v>1408.8</v>
      </c>
      <c r="N1517">
        <v>12</v>
      </c>
    </row>
    <row r="1518" spans="1:14" x14ac:dyDescent="0.3">
      <c r="A1518" s="1">
        <v>38162</v>
      </c>
      <c r="B1518">
        <v>10262</v>
      </c>
      <c r="C1518">
        <v>141</v>
      </c>
      <c r="D1518" t="s">
        <v>47</v>
      </c>
      <c r="E1518" t="s">
        <v>48</v>
      </c>
      <c r="F1518" t="s">
        <v>15</v>
      </c>
      <c r="G1518" t="s">
        <v>93</v>
      </c>
      <c r="H1518">
        <v>40</v>
      </c>
      <c r="I1518" s="2">
        <v>63.97</v>
      </c>
      <c r="J1518" s="2">
        <v>33.020000000000003</v>
      </c>
      <c r="K1518" s="2">
        <v>2558.8000000000002</v>
      </c>
      <c r="L1518" s="2">
        <v>1320.8</v>
      </c>
      <c r="M1518" s="2">
        <v>1238</v>
      </c>
      <c r="N1518">
        <v>12</v>
      </c>
    </row>
    <row r="1519" spans="1:14" x14ac:dyDescent="0.3">
      <c r="A1519" s="1">
        <v>38162</v>
      </c>
      <c r="B1519">
        <v>10262</v>
      </c>
      <c r="C1519">
        <v>141</v>
      </c>
      <c r="D1519" t="s">
        <v>47</v>
      </c>
      <c r="E1519" t="s">
        <v>48</v>
      </c>
      <c r="F1519" t="s">
        <v>15</v>
      </c>
      <c r="G1519" t="s">
        <v>94</v>
      </c>
      <c r="H1519">
        <v>49</v>
      </c>
      <c r="I1519" s="2">
        <v>35.78</v>
      </c>
      <c r="J1519" s="2">
        <v>27.06</v>
      </c>
      <c r="K1519" s="2">
        <v>1753.22</v>
      </c>
      <c r="L1519" s="2">
        <v>1325.94</v>
      </c>
      <c r="M1519" s="2">
        <v>427.28</v>
      </c>
      <c r="N1519">
        <v>12</v>
      </c>
    </row>
    <row r="1520" spans="1:14" x14ac:dyDescent="0.3">
      <c r="A1520" s="1">
        <v>38162</v>
      </c>
      <c r="B1520">
        <v>10262</v>
      </c>
      <c r="C1520">
        <v>141</v>
      </c>
      <c r="D1520" t="s">
        <v>47</v>
      </c>
      <c r="E1520" t="s">
        <v>48</v>
      </c>
      <c r="F1520" t="s">
        <v>83</v>
      </c>
      <c r="G1520" t="s">
        <v>95</v>
      </c>
      <c r="H1520">
        <v>40</v>
      </c>
      <c r="I1520" s="2">
        <v>87.69</v>
      </c>
      <c r="J1520" s="2">
        <v>51.15</v>
      </c>
      <c r="K1520" s="2">
        <v>3507.6</v>
      </c>
      <c r="L1520" s="2">
        <v>2046</v>
      </c>
      <c r="M1520" s="2">
        <v>1461.6</v>
      </c>
      <c r="N1520">
        <v>12</v>
      </c>
    </row>
    <row r="1521" spans="1:14" x14ac:dyDescent="0.3">
      <c r="A1521" s="1">
        <v>38162</v>
      </c>
      <c r="B1521">
        <v>10262</v>
      </c>
      <c r="C1521">
        <v>141</v>
      </c>
      <c r="D1521" t="s">
        <v>47</v>
      </c>
      <c r="E1521" t="s">
        <v>48</v>
      </c>
      <c r="F1521" t="s">
        <v>71</v>
      </c>
      <c r="G1521" t="s">
        <v>96</v>
      </c>
      <c r="H1521">
        <v>44</v>
      </c>
      <c r="I1521" s="2">
        <v>83.28</v>
      </c>
      <c r="J1521" s="2">
        <v>39.83</v>
      </c>
      <c r="K1521" s="2">
        <v>3664.32</v>
      </c>
      <c r="L1521" s="2">
        <v>1752.52</v>
      </c>
      <c r="M1521" s="2">
        <v>1911.8</v>
      </c>
      <c r="N1521">
        <v>12</v>
      </c>
    </row>
    <row r="1522" spans="1:14" x14ac:dyDescent="0.3">
      <c r="A1522" s="1">
        <v>38162</v>
      </c>
      <c r="B1522">
        <v>10262</v>
      </c>
      <c r="C1522">
        <v>141</v>
      </c>
      <c r="D1522" t="s">
        <v>47</v>
      </c>
      <c r="E1522" t="s">
        <v>48</v>
      </c>
      <c r="F1522" t="s">
        <v>83</v>
      </c>
      <c r="G1522" t="s">
        <v>97</v>
      </c>
      <c r="H1522">
        <v>33</v>
      </c>
      <c r="I1522" s="2">
        <v>81.77</v>
      </c>
      <c r="J1522" s="2">
        <v>68.8</v>
      </c>
      <c r="K1522" s="2">
        <v>2698.41</v>
      </c>
      <c r="L1522" s="2">
        <v>2270.4</v>
      </c>
      <c r="M1522" s="2">
        <v>428.01</v>
      </c>
      <c r="N1522">
        <v>12</v>
      </c>
    </row>
    <row r="1523" spans="1:14" x14ac:dyDescent="0.3">
      <c r="A1523" s="1">
        <v>38162</v>
      </c>
      <c r="B1523">
        <v>10262</v>
      </c>
      <c r="C1523">
        <v>141</v>
      </c>
      <c r="D1523" t="s">
        <v>47</v>
      </c>
      <c r="E1523" t="s">
        <v>48</v>
      </c>
      <c r="F1523" t="s">
        <v>83</v>
      </c>
      <c r="G1523" t="s">
        <v>99</v>
      </c>
      <c r="H1523">
        <v>27</v>
      </c>
      <c r="I1523" s="2">
        <v>64.8</v>
      </c>
      <c r="J1523" s="2">
        <v>54.4</v>
      </c>
      <c r="K1523" s="2">
        <v>1749.6</v>
      </c>
      <c r="L1523" s="2">
        <v>1468.8</v>
      </c>
      <c r="M1523" s="2">
        <v>280.8</v>
      </c>
      <c r="N1523">
        <v>12</v>
      </c>
    </row>
    <row r="1524" spans="1:14" x14ac:dyDescent="0.3">
      <c r="A1524" s="1">
        <v>38162</v>
      </c>
      <c r="B1524">
        <v>10262</v>
      </c>
      <c r="C1524">
        <v>141</v>
      </c>
      <c r="D1524" t="s">
        <v>47</v>
      </c>
      <c r="E1524" t="s">
        <v>48</v>
      </c>
      <c r="F1524" t="s">
        <v>83</v>
      </c>
      <c r="G1524" t="s">
        <v>100</v>
      </c>
      <c r="H1524">
        <v>35</v>
      </c>
      <c r="I1524" s="2">
        <v>64.41</v>
      </c>
      <c r="J1524" s="2">
        <v>36.270000000000003</v>
      </c>
      <c r="K1524" s="2">
        <v>2254.35</v>
      </c>
      <c r="L1524" s="2">
        <v>1269.45</v>
      </c>
      <c r="M1524" s="2">
        <v>984.9</v>
      </c>
      <c r="N1524">
        <v>12</v>
      </c>
    </row>
    <row r="1525" spans="1:14" x14ac:dyDescent="0.3">
      <c r="A1525" s="1">
        <v>38162</v>
      </c>
      <c r="B1525">
        <v>10262</v>
      </c>
      <c r="C1525">
        <v>141</v>
      </c>
      <c r="D1525" t="s">
        <v>47</v>
      </c>
      <c r="E1525" t="s">
        <v>48</v>
      </c>
      <c r="F1525" t="s">
        <v>83</v>
      </c>
      <c r="G1525" t="s">
        <v>101</v>
      </c>
      <c r="H1525">
        <v>21</v>
      </c>
      <c r="I1525" s="2">
        <v>41.71</v>
      </c>
      <c r="J1525" s="2">
        <v>32.770000000000003</v>
      </c>
      <c r="K1525" s="2">
        <v>875.91</v>
      </c>
      <c r="L1525" s="2">
        <v>688.17</v>
      </c>
      <c r="M1525" s="2">
        <v>187.74</v>
      </c>
      <c r="N1525">
        <v>12</v>
      </c>
    </row>
    <row r="1526" spans="1:14" x14ac:dyDescent="0.3">
      <c r="A1526" s="1">
        <v>38166</v>
      </c>
      <c r="B1526">
        <v>10263</v>
      </c>
      <c r="C1526">
        <v>175</v>
      </c>
      <c r="D1526" t="s">
        <v>228</v>
      </c>
      <c r="E1526" t="s">
        <v>14</v>
      </c>
      <c r="F1526" t="s">
        <v>102</v>
      </c>
      <c r="G1526" t="s">
        <v>103</v>
      </c>
      <c r="H1526">
        <v>34</v>
      </c>
      <c r="I1526" s="2">
        <v>89</v>
      </c>
      <c r="J1526" s="2">
        <v>48.81</v>
      </c>
      <c r="K1526" s="2">
        <v>3026</v>
      </c>
      <c r="L1526" s="2">
        <v>1659.54</v>
      </c>
      <c r="M1526" s="2">
        <v>1366.46</v>
      </c>
      <c r="N1526">
        <v>2</v>
      </c>
    </row>
    <row r="1527" spans="1:14" x14ac:dyDescent="0.3">
      <c r="A1527" s="1">
        <v>38166</v>
      </c>
      <c r="B1527">
        <v>10263</v>
      </c>
      <c r="C1527">
        <v>175</v>
      </c>
      <c r="D1527" t="s">
        <v>228</v>
      </c>
      <c r="E1527" t="s">
        <v>14</v>
      </c>
      <c r="F1527" t="s">
        <v>102</v>
      </c>
      <c r="G1527" t="s">
        <v>104</v>
      </c>
      <c r="H1527">
        <v>40</v>
      </c>
      <c r="I1527" s="2">
        <v>107.05</v>
      </c>
      <c r="J1527" s="2">
        <v>68.989999999999995</v>
      </c>
      <c r="K1527" s="2">
        <v>4282</v>
      </c>
      <c r="L1527" s="2">
        <v>2759.6</v>
      </c>
      <c r="M1527" s="2">
        <v>1522.4</v>
      </c>
      <c r="N1527">
        <v>2</v>
      </c>
    </row>
    <row r="1528" spans="1:14" x14ac:dyDescent="0.3">
      <c r="A1528" s="1">
        <v>38166</v>
      </c>
      <c r="B1528">
        <v>10263</v>
      </c>
      <c r="C1528">
        <v>175</v>
      </c>
      <c r="D1528" t="s">
        <v>228</v>
      </c>
      <c r="E1528" t="s">
        <v>14</v>
      </c>
      <c r="F1528" t="s">
        <v>102</v>
      </c>
      <c r="G1528" t="s">
        <v>105</v>
      </c>
      <c r="H1528">
        <v>41</v>
      </c>
      <c r="I1528" s="2">
        <v>193.66</v>
      </c>
      <c r="J1528" s="2">
        <v>91.02</v>
      </c>
      <c r="K1528" s="2">
        <v>7940.06</v>
      </c>
      <c r="L1528" s="2">
        <v>3731.82</v>
      </c>
      <c r="M1528" s="2">
        <v>4208.24</v>
      </c>
      <c r="N1528">
        <v>2</v>
      </c>
    </row>
    <row r="1529" spans="1:14" x14ac:dyDescent="0.3">
      <c r="A1529" s="1">
        <v>38166</v>
      </c>
      <c r="B1529">
        <v>10263</v>
      </c>
      <c r="C1529">
        <v>175</v>
      </c>
      <c r="D1529" t="s">
        <v>228</v>
      </c>
      <c r="E1529" t="s">
        <v>14</v>
      </c>
      <c r="F1529" t="s">
        <v>102</v>
      </c>
      <c r="G1529" t="s">
        <v>106</v>
      </c>
      <c r="H1529">
        <v>48</v>
      </c>
      <c r="I1529" s="2">
        <v>123.51</v>
      </c>
      <c r="J1529" s="2">
        <v>66.27</v>
      </c>
      <c r="K1529" s="2">
        <v>5928.48</v>
      </c>
      <c r="L1529" s="2">
        <v>3180.96</v>
      </c>
      <c r="M1529" s="2">
        <v>2747.52</v>
      </c>
      <c r="N1529">
        <v>2</v>
      </c>
    </row>
    <row r="1530" spans="1:14" x14ac:dyDescent="0.3">
      <c r="A1530" s="1">
        <v>38166</v>
      </c>
      <c r="B1530">
        <v>10263</v>
      </c>
      <c r="C1530">
        <v>175</v>
      </c>
      <c r="D1530" t="s">
        <v>228</v>
      </c>
      <c r="E1530" t="s">
        <v>14</v>
      </c>
      <c r="F1530" t="s">
        <v>83</v>
      </c>
      <c r="G1530" t="s">
        <v>85</v>
      </c>
      <c r="H1530">
        <v>33</v>
      </c>
      <c r="I1530" s="2">
        <v>67.58</v>
      </c>
      <c r="J1530" s="2">
        <v>49</v>
      </c>
      <c r="K1530" s="2">
        <v>2230.14</v>
      </c>
      <c r="L1530" s="2">
        <v>1617</v>
      </c>
      <c r="M1530" s="2">
        <v>613.14</v>
      </c>
      <c r="N1530">
        <v>2</v>
      </c>
    </row>
    <row r="1531" spans="1:14" x14ac:dyDescent="0.3">
      <c r="A1531" s="1">
        <v>38166</v>
      </c>
      <c r="B1531">
        <v>10263</v>
      </c>
      <c r="C1531">
        <v>175</v>
      </c>
      <c r="D1531" t="s">
        <v>228</v>
      </c>
      <c r="E1531" t="s">
        <v>14</v>
      </c>
      <c r="F1531" t="s">
        <v>102</v>
      </c>
      <c r="G1531" t="s">
        <v>107</v>
      </c>
      <c r="H1531">
        <v>34</v>
      </c>
      <c r="I1531" s="2">
        <v>50.27</v>
      </c>
      <c r="J1531" s="2">
        <v>24.23</v>
      </c>
      <c r="K1531" s="2">
        <v>1709.18</v>
      </c>
      <c r="L1531" s="2">
        <v>823.82</v>
      </c>
      <c r="M1531" s="2">
        <v>885.36</v>
      </c>
      <c r="N1531">
        <v>2</v>
      </c>
    </row>
    <row r="1532" spans="1:14" x14ac:dyDescent="0.3">
      <c r="A1532" s="1">
        <v>38166</v>
      </c>
      <c r="B1532">
        <v>10263</v>
      </c>
      <c r="C1532">
        <v>175</v>
      </c>
      <c r="D1532" t="s">
        <v>228</v>
      </c>
      <c r="E1532" t="s">
        <v>14</v>
      </c>
      <c r="F1532" t="s">
        <v>102</v>
      </c>
      <c r="G1532" t="s">
        <v>108</v>
      </c>
      <c r="H1532">
        <v>42</v>
      </c>
      <c r="I1532" s="2">
        <v>109.32</v>
      </c>
      <c r="J1532" s="2">
        <v>60.86</v>
      </c>
      <c r="K1532" s="2">
        <v>4591.4399999999996</v>
      </c>
      <c r="L1532" s="2">
        <v>2556.12</v>
      </c>
      <c r="M1532" s="2">
        <v>2035.32</v>
      </c>
      <c r="N1532">
        <v>2</v>
      </c>
    </row>
    <row r="1533" spans="1:14" x14ac:dyDescent="0.3">
      <c r="A1533" s="1">
        <v>38166</v>
      </c>
      <c r="B1533">
        <v>10263</v>
      </c>
      <c r="C1533">
        <v>175</v>
      </c>
      <c r="D1533" t="s">
        <v>228</v>
      </c>
      <c r="E1533" t="s">
        <v>14</v>
      </c>
      <c r="F1533" t="s">
        <v>102</v>
      </c>
      <c r="G1533" t="s">
        <v>109</v>
      </c>
      <c r="H1533">
        <v>37</v>
      </c>
      <c r="I1533" s="2">
        <v>67.03</v>
      </c>
      <c r="J1533" s="2">
        <v>37.32</v>
      </c>
      <c r="K1533" s="2">
        <v>2480.11</v>
      </c>
      <c r="L1533" s="2">
        <v>1380.84</v>
      </c>
      <c r="M1533" s="2">
        <v>1099.27</v>
      </c>
      <c r="N1533">
        <v>2</v>
      </c>
    </row>
    <row r="1534" spans="1:14" x14ac:dyDescent="0.3">
      <c r="A1534" s="1">
        <v>38166</v>
      </c>
      <c r="B1534">
        <v>10263</v>
      </c>
      <c r="C1534">
        <v>175</v>
      </c>
      <c r="D1534" t="s">
        <v>228</v>
      </c>
      <c r="E1534" t="s">
        <v>14</v>
      </c>
      <c r="F1534" t="s">
        <v>83</v>
      </c>
      <c r="G1534" t="s">
        <v>92</v>
      </c>
      <c r="H1534">
        <v>24</v>
      </c>
      <c r="I1534" s="2">
        <v>59.41</v>
      </c>
      <c r="J1534" s="2">
        <v>36.229999999999997</v>
      </c>
      <c r="K1534" s="2">
        <v>1425.84</v>
      </c>
      <c r="L1534" s="2">
        <v>869.52</v>
      </c>
      <c r="M1534" s="2">
        <v>556.32000000000005</v>
      </c>
      <c r="N1534">
        <v>2</v>
      </c>
    </row>
    <row r="1535" spans="1:14" x14ac:dyDescent="0.3">
      <c r="A1535" s="1">
        <v>38166</v>
      </c>
      <c r="B1535">
        <v>10263</v>
      </c>
      <c r="C1535">
        <v>175</v>
      </c>
      <c r="D1535" t="s">
        <v>228</v>
      </c>
      <c r="E1535" t="s">
        <v>14</v>
      </c>
      <c r="F1535" t="s">
        <v>102</v>
      </c>
      <c r="G1535" t="s">
        <v>110</v>
      </c>
      <c r="H1535">
        <v>31</v>
      </c>
      <c r="I1535" s="2">
        <v>93.9</v>
      </c>
      <c r="J1535" s="2">
        <v>66.92</v>
      </c>
      <c r="K1535" s="2">
        <v>2910.9</v>
      </c>
      <c r="L1535" s="2">
        <v>2074.52</v>
      </c>
      <c r="M1535" s="2">
        <v>836.38</v>
      </c>
      <c r="N1535">
        <v>2</v>
      </c>
    </row>
    <row r="1536" spans="1:14" x14ac:dyDescent="0.3">
      <c r="A1536" s="1">
        <v>38166</v>
      </c>
      <c r="B1536">
        <v>10263</v>
      </c>
      <c r="C1536">
        <v>175</v>
      </c>
      <c r="D1536" t="s">
        <v>228</v>
      </c>
      <c r="E1536" t="s">
        <v>14</v>
      </c>
      <c r="F1536" t="s">
        <v>83</v>
      </c>
      <c r="G1536" t="s">
        <v>98</v>
      </c>
      <c r="H1536">
        <v>47</v>
      </c>
      <c r="I1536" s="2">
        <v>117.46</v>
      </c>
      <c r="J1536" s="2">
        <v>59.33</v>
      </c>
      <c r="K1536" s="2">
        <v>5520.62</v>
      </c>
      <c r="L1536" s="2">
        <v>2788.51</v>
      </c>
      <c r="M1536" s="2">
        <v>2732.11</v>
      </c>
      <c r="N1536">
        <v>2</v>
      </c>
    </row>
    <row r="1537" spans="1:14" x14ac:dyDescent="0.3">
      <c r="A1537" s="1">
        <v>38168</v>
      </c>
      <c r="B1537">
        <v>10264</v>
      </c>
      <c r="C1537">
        <v>362</v>
      </c>
      <c r="D1537" t="s">
        <v>244</v>
      </c>
      <c r="E1537" t="s">
        <v>14</v>
      </c>
      <c r="F1537" t="s">
        <v>102</v>
      </c>
      <c r="G1537" t="s">
        <v>119</v>
      </c>
      <c r="H1537">
        <v>48</v>
      </c>
      <c r="I1537" s="2">
        <v>58.44</v>
      </c>
      <c r="J1537" s="2">
        <v>32.950000000000003</v>
      </c>
      <c r="K1537" s="2">
        <v>2805.12</v>
      </c>
      <c r="L1537" s="2">
        <v>1581.6</v>
      </c>
      <c r="M1537" s="2">
        <v>1223.52</v>
      </c>
      <c r="N1537">
        <v>1</v>
      </c>
    </row>
    <row r="1538" spans="1:14" x14ac:dyDescent="0.3">
      <c r="A1538" s="1">
        <v>38168</v>
      </c>
      <c r="B1538">
        <v>10264</v>
      </c>
      <c r="C1538">
        <v>362</v>
      </c>
      <c r="D1538" t="s">
        <v>244</v>
      </c>
      <c r="E1538" t="s">
        <v>14</v>
      </c>
      <c r="F1538" t="s">
        <v>29</v>
      </c>
      <c r="G1538" t="s">
        <v>120</v>
      </c>
      <c r="H1538">
        <v>20</v>
      </c>
      <c r="I1538" s="2">
        <v>124.99</v>
      </c>
      <c r="J1538" s="2">
        <v>69.930000000000007</v>
      </c>
      <c r="K1538" s="2">
        <v>2499.8000000000002</v>
      </c>
      <c r="L1538" s="2">
        <v>1398.6</v>
      </c>
      <c r="M1538" s="2">
        <v>1101.2</v>
      </c>
      <c r="N1538">
        <v>1</v>
      </c>
    </row>
    <row r="1539" spans="1:14" x14ac:dyDescent="0.3">
      <c r="A1539" s="1">
        <v>38168</v>
      </c>
      <c r="B1539">
        <v>10264</v>
      </c>
      <c r="C1539">
        <v>362</v>
      </c>
      <c r="D1539" t="s">
        <v>244</v>
      </c>
      <c r="E1539" t="s">
        <v>14</v>
      </c>
      <c r="F1539" t="s">
        <v>102</v>
      </c>
      <c r="G1539" t="s">
        <v>121</v>
      </c>
      <c r="H1539">
        <v>37</v>
      </c>
      <c r="I1539" s="2">
        <v>61.64</v>
      </c>
      <c r="J1539" s="2">
        <v>47.1</v>
      </c>
      <c r="K1539" s="2">
        <v>2280.6799999999998</v>
      </c>
      <c r="L1539" s="2">
        <v>1742.7</v>
      </c>
      <c r="M1539" s="2">
        <v>537.98</v>
      </c>
      <c r="N1539">
        <v>1</v>
      </c>
    </row>
    <row r="1540" spans="1:14" x14ac:dyDescent="0.3">
      <c r="A1540" s="1">
        <v>38168</v>
      </c>
      <c r="B1540">
        <v>10264</v>
      </c>
      <c r="C1540">
        <v>362</v>
      </c>
      <c r="D1540" t="s">
        <v>244</v>
      </c>
      <c r="E1540" t="s">
        <v>14</v>
      </c>
      <c r="F1540" t="s">
        <v>29</v>
      </c>
      <c r="G1540" t="s">
        <v>124</v>
      </c>
      <c r="H1540">
        <v>47</v>
      </c>
      <c r="I1540" s="2">
        <v>75.180000000000007</v>
      </c>
      <c r="J1540" s="2">
        <v>32.33</v>
      </c>
      <c r="K1540" s="2">
        <v>3533.46</v>
      </c>
      <c r="L1540" s="2">
        <v>1519.51</v>
      </c>
      <c r="M1540" s="2">
        <v>2013.95</v>
      </c>
      <c r="N1540">
        <v>1</v>
      </c>
    </row>
    <row r="1541" spans="1:14" x14ac:dyDescent="0.3">
      <c r="A1541" s="1">
        <v>38168</v>
      </c>
      <c r="B1541">
        <v>10264</v>
      </c>
      <c r="C1541">
        <v>362</v>
      </c>
      <c r="D1541" t="s">
        <v>244</v>
      </c>
      <c r="E1541" t="s">
        <v>14</v>
      </c>
      <c r="F1541" t="s">
        <v>102</v>
      </c>
      <c r="G1541" t="s">
        <v>125</v>
      </c>
      <c r="H1541">
        <v>20</v>
      </c>
      <c r="I1541" s="2">
        <v>39.020000000000003</v>
      </c>
      <c r="J1541" s="2">
        <v>24.14</v>
      </c>
      <c r="K1541" s="2">
        <v>780.4</v>
      </c>
      <c r="L1541" s="2">
        <v>482.8</v>
      </c>
      <c r="M1541" s="2">
        <v>297.60000000000002</v>
      </c>
      <c r="N1541">
        <v>1</v>
      </c>
    </row>
    <row r="1542" spans="1:14" x14ac:dyDescent="0.3">
      <c r="A1542" s="1">
        <v>38168</v>
      </c>
      <c r="B1542">
        <v>10264</v>
      </c>
      <c r="C1542">
        <v>362</v>
      </c>
      <c r="D1542" t="s">
        <v>244</v>
      </c>
      <c r="E1542" t="s">
        <v>14</v>
      </c>
      <c r="F1542" t="s">
        <v>102</v>
      </c>
      <c r="G1542" t="s">
        <v>126</v>
      </c>
      <c r="H1542">
        <v>34</v>
      </c>
      <c r="I1542" s="2">
        <v>100.01</v>
      </c>
      <c r="J1542" s="2">
        <v>56.13</v>
      </c>
      <c r="K1542" s="2">
        <v>3400.34</v>
      </c>
      <c r="L1542" s="2">
        <v>1908.42</v>
      </c>
      <c r="M1542" s="2">
        <v>1491.92</v>
      </c>
      <c r="N1542">
        <v>1</v>
      </c>
    </row>
    <row r="1543" spans="1:14" x14ac:dyDescent="0.3">
      <c r="A1543" s="1">
        <v>38168</v>
      </c>
      <c r="B1543">
        <v>10264</v>
      </c>
      <c r="C1543">
        <v>362</v>
      </c>
      <c r="D1543" t="s">
        <v>244</v>
      </c>
      <c r="E1543" t="s">
        <v>14</v>
      </c>
      <c r="F1543" t="s">
        <v>102</v>
      </c>
      <c r="G1543" t="s">
        <v>127</v>
      </c>
      <c r="H1543">
        <v>47</v>
      </c>
      <c r="I1543" s="2">
        <v>67.53</v>
      </c>
      <c r="J1543" s="2">
        <v>34.17</v>
      </c>
      <c r="K1543" s="2">
        <v>3173.91</v>
      </c>
      <c r="L1543" s="2">
        <v>1605.99</v>
      </c>
      <c r="M1543" s="2">
        <v>1567.92</v>
      </c>
      <c r="N1543">
        <v>1</v>
      </c>
    </row>
    <row r="1544" spans="1:14" x14ac:dyDescent="0.3">
      <c r="A1544" s="1">
        <v>38170</v>
      </c>
      <c r="B1544">
        <v>10265</v>
      </c>
      <c r="C1544">
        <v>471</v>
      </c>
      <c r="D1544" t="s">
        <v>181</v>
      </c>
      <c r="E1544" t="s">
        <v>151</v>
      </c>
      <c r="F1544" t="s">
        <v>29</v>
      </c>
      <c r="G1544" t="s">
        <v>117</v>
      </c>
      <c r="H1544">
        <v>45</v>
      </c>
      <c r="I1544" s="2">
        <v>74.78</v>
      </c>
      <c r="J1544" s="2">
        <v>49.05</v>
      </c>
      <c r="K1544" s="2">
        <v>3365.1</v>
      </c>
      <c r="L1544" s="2">
        <v>2207.25</v>
      </c>
      <c r="M1544" s="2">
        <v>1157.8499999999999</v>
      </c>
      <c r="N1544">
        <v>2</v>
      </c>
    </row>
    <row r="1545" spans="1:14" x14ac:dyDescent="0.3">
      <c r="A1545" s="1">
        <v>38170</v>
      </c>
      <c r="B1545">
        <v>10265</v>
      </c>
      <c r="C1545">
        <v>471</v>
      </c>
      <c r="D1545" t="s">
        <v>181</v>
      </c>
      <c r="E1545" t="s">
        <v>151</v>
      </c>
      <c r="F1545" t="s">
        <v>29</v>
      </c>
      <c r="G1545" t="s">
        <v>118</v>
      </c>
      <c r="H1545">
        <v>49</v>
      </c>
      <c r="I1545" s="2">
        <v>123.47</v>
      </c>
      <c r="J1545" s="2">
        <v>73.489999999999995</v>
      </c>
      <c r="K1545" s="2">
        <v>6050.03</v>
      </c>
      <c r="L1545" s="2">
        <v>3601.01</v>
      </c>
      <c r="M1545" s="2">
        <v>2449.02</v>
      </c>
      <c r="N1545">
        <v>2</v>
      </c>
    </row>
    <row r="1546" spans="1:14" x14ac:dyDescent="0.3">
      <c r="A1546" s="1">
        <v>38174</v>
      </c>
      <c r="B1546">
        <v>10266</v>
      </c>
      <c r="C1546">
        <v>386</v>
      </c>
      <c r="D1546" t="s">
        <v>173</v>
      </c>
      <c r="E1546" t="s">
        <v>82</v>
      </c>
      <c r="F1546" t="s">
        <v>29</v>
      </c>
      <c r="G1546" t="s">
        <v>112</v>
      </c>
      <c r="H1546">
        <v>44</v>
      </c>
      <c r="I1546" s="2">
        <v>188.73</v>
      </c>
      <c r="J1546" s="2">
        <v>95.34</v>
      </c>
      <c r="K1546" s="2">
        <v>8304.1200000000008</v>
      </c>
      <c r="L1546" s="2">
        <v>4194.96</v>
      </c>
      <c r="M1546" s="2">
        <v>4109.16</v>
      </c>
      <c r="N1546">
        <v>2</v>
      </c>
    </row>
    <row r="1547" spans="1:14" x14ac:dyDescent="0.3">
      <c r="A1547" s="1">
        <v>38174</v>
      </c>
      <c r="B1547">
        <v>10266</v>
      </c>
      <c r="C1547">
        <v>386</v>
      </c>
      <c r="D1547" t="s">
        <v>173</v>
      </c>
      <c r="E1547" t="s">
        <v>82</v>
      </c>
      <c r="F1547" t="s">
        <v>29</v>
      </c>
      <c r="G1547" t="s">
        <v>113</v>
      </c>
      <c r="H1547">
        <v>22</v>
      </c>
      <c r="I1547" s="2">
        <v>110.39</v>
      </c>
      <c r="J1547" s="2">
        <v>75.16</v>
      </c>
      <c r="K1547" s="2">
        <v>2428.58</v>
      </c>
      <c r="L1547" s="2">
        <v>1653.52</v>
      </c>
      <c r="M1547" s="2">
        <v>775.06</v>
      </c>
      <c r="N1547">
        <v>2</v>
      </c>
    </row>
    <row r="1548" spans="1:14" x14ac:dyDescent="0.3">
      <c r="A1548" s="1">
        <v>38174</v>
      </c>
      <c r="B1548">
        <v>10266</v>
      </c>
      <c r="C1548">
        <v>386</v>
      </c>
      <c r="D1548" t="s">
        <v>173</v>
      </c>
      <c r="E1548" t="s">
        <v>82</v>
      </c>
      <c r="F1548" t="s">
        <v>29</v>
      </c>
      <c r="G1548" t="s">
        <v>114</v>
      </c>
      <c r="H1548">
        <v>35</v>
      </c>
      <c r="I1548" s="2">
        <v>67.83</v>
      </c>
      <c r="J1548" s="2">
        <v>31.92</v>
      </c>
      <c r="K1548" s="2">
        <v>2374.0500000000002</v>
      </c>
      <c r="L1548" s="2">
        <v>1117.2</v>
      </c>
      <c r="M1548" s="2">
        <v>1256.8499999999999</v>
      </c>
      <c r="N1548">
        <v>2</v>
      </c>
    </row>
    <row r="1549" spans="1:14" x14ac:dyDescent="0.3">
      <c r="A1549" s="1">
        <v>38174</v>
      </c>
      <c r="B1549">
        <v>10266</v>
      </c>
      <c r="C1549">
        <v>386</v>
      </c>
      <c r="D1549" t="s">
        <v>173</v>
      </c>
      <c r="E1549" t="s">
        <v>82</v>
      </c>
      <c r="F1549" t="s">
        <v>29</v>
      </c>
      <c r="G1549" t="s">
        <v>115</v>
      </c>
      <c r="H1549">
        <v>40</v>
      </c>
      <c r="I1549" s="2">
        <v>112.86</v>
      </c>
      <c r="J1549" s="2">
        <v>58.73</v>
      </c>
      <c r="K1549" s="2">
        <v>4514.3999999999996</v>
      </c>
      <c r="L1549" s="2">
        <v>2349.1999999999998</v>
      </c>
      <c r="M1549" s="2">
        <v>2165.1999999999998</v>
      </c>
      <c r="N1549">
        <v>2</v>
      </c>
    </row>
    <row r="1550" spans="1:14" x14ac:dyDescent="0.3">
      <c r="A1550" s="1">
        <v>38174</v>
      </c>
      <c r="B1550">
        <v>10266</v>
      </c>
      <c r="C1550">
        <v>386</v>
      </c>
      <c r="D1550" t="s">
        <v>173</v>
      </c>
      <c r="E1550" t="s">
        <v>82</v>
      </c>
      <c r="F1550" t="s">
        <v>29</v>
      </c>
      <c r="G1550" t="s">
        <v>128</v>
      </c>
      <c r="H1550">
        <v>21</v>
      </c>
      <c r="I1550" s="2">
        <v>131.63</v>
      </c>
      <c r="J1550" s="2">
        <v>83.51</v>
      </c>
      <c r="K1550" s="2">
        <v>2764.23</v>
      </c>
      <c r="L1550" s="2">
        <v>1753.71</v>
      </c>
      <c r="M1550" s="2">
        <v>1010.52</v>
      </c>
      <c r="N1550">
        <v>2</v>
      </c>
    </row>
    <row r="1551" spans="1:14" x14ac:dyDescent="0.3">
      <c r="A1551" s="1">
        <v>38174</v>
      </c>
      <c r="B1551">
        <v>10266</v>
      </c>
      <c r="C1551">
        <v>386</v>
      </c>
      <c r="D1551" t="s">
        <v>173</v>
      </c>
      <c r="E1551" t="s">
        <v>82</v>
      </c>
      <c r="F1551" t="s">
        <v>29</v>
      </c>
      <c r="G1551" t="s">
        <v>134</v>
      </c>
      <c r="H1551">
        <v>36</v>
      </c>
      <c r="I1551" s="2">
        <v>99.55</v>
      </c>
      <c r="J1551" s="2">
        <v>65.959999999999994</v>
      </c>
      <c r="K1551" s="2">
        <v>3583.8</v>
      </c>
      <c r="L1551" s="2">
        <v>2374.56</v>
      </c>
      <c r="M1551" s="2">
        <v>1209.24</v>
      </c>
      <c r="N1551">
        <v>2</v>
      </c>
    </row>
    <row r="1552" spans="1:14" x14ac:dyDescent="0.3">
      <c r="A1552" s="1">
        <v>38174</v>
      </c>
      <c r="B1552">
        <v>10266</v>
      </c>
      <c r="C1552">
        <v>386</v>
      </c>
      <c r="D1552" t="s">
        <v>173</v>
      </c>
      <c r="E1552" t="s">
        <v>82</v>
      </c>
      <c r="F1552" t="s">
        <v>29</v>
      </c>
      <c r="G1552" t="s">
        <v>116</v>
      </c>
      <c r="H1552">
        <v>33</v>
      </c>
      <c r="I1552" s="2">
        <v>77</v>
      </c>
      <c r="J1552" s="2">
        <v>53.9</v>
      </c>
      <c r="K1552" s="2">
        <v>2541</v>
      </c>
      <c r="L1552" s="2">
        <v>1778.7</v>
      </c>
      <c r="M1552" s="2">
        <v>762.3</v>
      </c>
      <c r="N1552">
        <v>2</v>
      </c>
    </row>
    <row r="1553" spans="1:14" x14ac:dyDescent="0.3">
      <c r="A1553" s="1">
        <v>38174</v>
      </c>
      <c r="B1553">
        <v>10266</v>
      </c>
      <c r="C1553">
        <v>386</v>
      </c>
      <c r="D1553" t="s">
        <v>173</v>
      </c>
      <c r="E1553" t="s">
        <v>82</v>
      </c>
      <c r="F1553" t="s">
        <v>29</v>
      </c>
      <c r="G1553" t="s">
        <v>129</v>
      </c>
      <c r="H1553">
        <v>49</v>
      </c>
      <c r="I1553" s="2">
        <v>139.41</v>
      </c>
      <c r="J1553" s="2">
        <v>93.89</v>
      </c>
      <c r="K1553" s="2">
        <v>6831.09</v>
      </c>
      <c r="L1553" s="2">
        <v>4600.6099999999997</v>
      </c>
      <c r="M1553" s="2">
        <v>2230.48</v>
      </c>
      <c r="N1553">
        <v>2</v>
      </c>
    </row>
    <row r="1554" spans="1:14" x14ac:dyDescent="0.3">
      <c r="A1554" s="1">
        <v>38174</v>
      </c>
      <c r="B1554">
        <v>10266</v>
      </c>
      <c r="C1554">
        <v>386</v>
      </c>
      <c r="D1554" t="s">
        <v>173</v>
      </c>
      <c r="E1554" t="s">
        <v>82</v>
      </c>
      <c r="F1554" t="s">
        <v>29</v>
      </c>
      <c r="G1554" t="s">
        <v>130</v>
      </c>
      <c r="H1554">
        <v>20</v>
      </c>
      <c r="I1554" s="2">
        <v>113.52</v>
      </c>
      <c r="J1554" s="2">
        <v>56.76</v>
      </c>
      <c r="K1554" s="2">
        <v>2270.4</v>
      </c>
      <c r="L1554" s="2">
        <v>1135.2</v>
      </c>
      <c r="M1554" s="2">
        <v>1135.2</v>
      </c>
      <c r="N1554">
        <v>2</v>
      </c>
    </row>
    <row r="1555" spans="1:14" x14ac:dyDescent="0.3">
      <c r="A1555" s="1">
        <v>38174</v>
      </c>
      <c r="B1555">
        <v>10266</v>
      </c>
      <c r="C1555">
        <v>386</v>
      </c>
      <c r="D1555" t="s">
        <v>173</v>
      </c>
      <c r="E1555" t="s">
        <v>82</v>
      </c>
      <c r="F1555" t="s">
        <v>29</v>
      </c>
      <c r="G1555" t="s">
        <v>53</v>
      </c>
      <c r="H1555">
        <v>29</v>
      </c>
      <c r="I1555" s="2">
        <v>137.16999999999999</v>
      </c>
      <c r="J1555" s="2">
        <v>77.900000000000006</v>
      </c>
      <c r="K1555" s="2">
        <v>3977.93</v>
      </c>
      <c r="L1555" s="2">
        <v>2259.1</v>
      </c>
      <c r="M1555" s="2">
        <v>1718.83</v>
      </c>
      <c r="N1555">
        <v>2</v>
      </c>
    </row>
    <row r="1556" spans="1:14" x14ac:dyDescent="0.3">
      <c r="A1556" s="1">
        <v>38174</v>
      </c>
      <c r="B1556">
        <v>10266</v>
      </c>
      <c r="C1556">
        <v>386</v>
      </c>
      <c r="D1556" t="s">
        <v>173</v>
      </c>
      <c r="E1556" t="s">
        <v>82</v>
      </c>
      <c r="F1556" t="s">
        <v>29</v>
      </c>
      <c r="G1556" t="s">
        <v>131</v>
      </c>
      <c r="H1556">
        <v>33</v>
      </c>
      <c r="I1556" s="2">
        <v>127.15</v>
      </c>
      <c r="J1556" s="2">
        <v>62.16</v>
      </c>
      <c r="K1556" s="2">
        <v>4195.95</v>
      </c>
      <c r="L1556" s="2">
        <v>2051.2800000000002</v>
      </c>
      <c r="M1556" s="2">
        <v>2144.67</v>
      </c>
      <c r="N1556">
        <v>2</v>
      </c>
    </row>
    <row r="1557" spans="1:14" x14ac:dyDescent="0.3">
      <c r="A1557" s="1">
        <v>38174</v>
      </c>
      <c r="B1557">
        <v>10266</v>
      </c>
      <c r="C1557">
        <v>386</v>
      </c>
      <c r="D1557" t="s">
        <v>173</v>
      </c>
      <c r="E1557" t="s">
        <v>82</v>
      </c>
      <c r="F1557" t="s">
        <v>29</v>
      </c>
      <c r="G1557" t="s">
        <v>137</v>
      </c>
      <c r="H1557">
        <v>28</v>
      </c>
      <c r="I1557" s="2">
        <v>40.25</v>
      </c>
      <c r="J1557" s="2">
        <v>29.18</v>
      </c>
      <c r="K1557" s="2">
        <v>1127</v>
      </c>
      <c r="L1557" s="2">
        <v>817.04</v>
      </c>
      <c r="M1557" s="2">
        <v>309.95999999999998</v>
      </c>
      <c r="N1557">
        <v>2</v>
      </c>
    </row>
    <row r="1558" spans="1:14" x14ac:dyDescent="0.3">
      <c r="A1558" s="1">
        <v>38174</v>
      </c>
      <c r="B1558">
        <v>10266</v>
      </c>
      <c r="C1558">
        <v>386</v>
      </c>
      <c r="D1558" t="s">
        <v>173</v>
      </c>
      <c r="E1558" t="s">
        <v>82</v>
      </c>
      <c r="F1558" t="s">
        <v>29</v>
      </c>
      <c r="G1558" t="s">
        <v>132</v>
      </c>
      <c r="H1558">
        <v>34</v>
      </c>
      <c r="I1558" s="2">
        <v>35.119999999999997</v>
      </c>
      <c r="J1558" s="2">
        <v>16.239999999999998</v>
      </c>
      <c r="K1558" s="2">
        <v>1194.08</v>
      </c>
      <c r="L1558" s="2">
        <v>552.16</v>
      </c>
      <c r="M1558" s="2">
        <v>641.91999999999996</v>
      </c>
      <c r="N1558">
        <v>2</v>
      </c>
    </row>
    <row r="1559" spans="1:14" x14ac:dyDescent="0.3">
      <c r="A1559" s="1">
        <v>38174</v>
      </c>
      <c r="B1559">
        <v>10266</v>
      </c>
      <c r="C1559">
        <v>386</v>
      </c>
      <c r="D1559" t="s">
        <v>173</v>
      </c>
      <c r="E1559" t="s">
        <v>82</v>
      </c>
      <c r="F1559" t="s">
        <v>29</v>
      </c>
      <c r="G1559" t="s">
        <v>122</v>
      </c>
      <c r="H1559">
        <v>47</v>
      </c>
      <c r="I1559" s="2">
        <v>56.33</v>
      </c>
      <c r="J1559" s="2">
        <v>38.58</v>
      </c>
      <c r="K1559" s="2">
        <v>2647.51</v>
      </c>
      <c r="L1559" s="2">
        <v>1813.26</v>
      </c>
      <c r="M1559" s="2">
        <v>834.25</v>
      </c>
      <c r="N1559">
        <v>2</v>
      </c>
    </row>
    <row r="1560" spans="1:14" x14ac:dyDescent="0.3">
      <c r="A1560" s="1">
        <v>38174</v>
      </c>
      <c r="B1560">
        <v>10266</v>
      </c>
      <c r="C1560">
        <v>386</v>
      </c>
      <c r="D1560" t="s">
        <v>173</v>
      </c>
      <c r="E1560" t="s">
        <v>82</v>
      </c>
      <c r="F1560" t="s">
        <v>29</v>
      </c>
      <c r="G1560" t="s">
        <v>123</v>
      </c>
      <c r="H1560">
        <v>24</v>
      </c>
      <c r="I1560" s="2">
        <v>119.37</v>
      </c>
      <c r="J1560" s="2">
        <v>98.3</v>
      </c>
      <c r="K1560" s="2">
        <v>2864.88</v>
      </c>
      <c r="L1560" s="2">
        <v>2359.1999999999998</v>
      </c>
      <c r="M1560" s="2">
        <v>505.68</v>
      </c>
      <c r="N1560">
        <v>2</v>
      </c>
    </row>
    <row r="1561" spans="1:14" x14ac:dyDescent="0.3">
      <c r="A1561" s="1">
        <v>38175</v>
      </c>
      <c r="B1561">
        <v>10267</v>
      </c>
      <c r="C1561">
        <v>151</v>
      </c>
      <c r="D1561" t="s">
        <v>157</v>
      </c>
      <c r="E1561" t="s">
        <v>14</v>
      </c>
      <c r="F1561" t="s">
        <v>29</v>
      </c>
      <c r="G1561" t="s">
        <v>135</v>
      </c>
      <c r="H1561">
        <v>36</v>
      </c>
      <c r="I1561" s="2">
        <v>71.27</v>
      </c>
      <c r="J1561" s="2">
        <v>34.21</v>
      </c>
      <c r="K1561" s="2">
        <v>2565.7199999999998</v>
      </c>
      <c r="L1561" s="2">
        <v>1231.56</v>
      </c>
      <c r="M1561" s="2">
        <v>1334.16</v>
      </c>
      <c r="N1561">
        <v>3</v>
      </c>
    </row>
    <row r="1562" spans="1:14" x14ac:dyDescent="0.3">
      <c r="A1562" s="1">
        <v>38175</v>
      </c>
      <c r="B1562">
        <v>10267</v>
      </c>
      <c r="C1562">
        <v>151</v>
      </c>
      <c r="D1562" t="s">
        <v>157</v>
      </c>
      <c r="E1562" t="s">
        <v>14</v>
      </c>
      <c r="F1562" t="s">
        <v>29</v>
      </c>
      <c r="G1562" t="s">
        <v>136</v>
      </c>
      <c r="H1562">
        <v>40</v>
      </c>
      <c r="I1562" s="2">
        <v>72.02</v>
      </c>
      <c r="J1562" s="2">
        <v>49.24</v>
      </c>
      <c r="K1562" s="2">
        <v>2880.8</v>
      </c>
      <c r="L1562" s="2">
        <v>1969.6</v>
      </c>
      <c r="M1562" s="2">
        <v>911.2</v>
      </c>
      <c r="N1562">
        <v>3</v>
      </c>
    </row>
    <row r="1563" spans="1:14" x14ac:dyDescent="0.3">
      <c r="A1563" s="1">
        <v>38175</v>
      </c>
      <c r="B1563">
        <v>10267</v>
      </c>
      <c r="C1563">
        <v>151</v>
      </c>
      <c r="D1563" t="s">
        <v>157</v>
      </c>
      <c r="E1563" t="s">
        <v>14</v>
      </c>
      <c r="F1563" t="s">
        <v>29</v>
      </c>
      <c r="G1563" t="s">
        <v>138</v>
      </c>
      <c r="H1563">
        <v>38</v>
      </c>
      <c r="I1563" s="2">
        <v>76.33</v>
      </c>
      <c r="J1563" s="2">
        <v>47.25</v>
      </c>
      <c r="K1563" s="2">
        <v>2900.54</v>
      </c>
      <c r="L1563" s="2">
        <v>1795.5</v>
      </c>
      <c r="M1563" s="2">
        <v>1105.04</v>
      </c>
      <c r="N1563">
        <v>3</v>
      </c>
    </row>
    <row r="1564" spans="1:14" x14ac:dyDescent="0.3">
      <c r="A1564" s="1">
        <v>38175</v>
      </c>
      <c r="B1564">
        <v>10267</v>
      </c>
      <c r="C1564">
        <v>151</v>
      </c>
      <c r="D1564" t="s">
        <v>157</v>
      </c>
      <c r="E1564" t="s">
        <v>14</v>
      </c>
      <c r="F1564" t="s">
        <v>29</v>
      </c>
      <c r="G1564" t="s">
        <v>139</v>
      </c>
      <c r="H1564">
        <v>43</v>
      </c>
      <c r="I1564" s="2">
        <v>93.95</v>
      </c>
      <c r="J1564" s="2">
        <v>72.819999999999993</v>
      </c>
      <c r="K1564" s="2">
        <v>4039.85</v>
      </c>
      <c r="L1564" s="2">
        <v>3131.26</v>
      </c>
      <c r="M1564" s="2">
        <v>908.59</v>
      </c>
      <c r="N1564">
        <v>3</v>
      </c>
    </row>
    <row r="1565" spans="1:14" x14ac:dyDescent="0.3">
      <c r="A1565" s="1">
        <v>38175</v>
      </c>
      <c r="B1565">
        <v>10267</v>
      </c>
      <c r="C1565">
        <v>151</v>
      </c>
      <c r="D1565" t="s">
        <v>157</v>
      </c>
      <c r="E1565" t="s">
        <v>14</v>
      </c>
      <c r="F1565" t="s">
        <v>29</v>
      </c>
      <c r="G1565" t="s">
        <v>140</v>
      </c>
      <c r="H1565">
        <v>44</v>
      </c>
      <c r="I1565" s="2">
        <v>83.9</v>
      </c>
      <c r="J1565" s="2">
        <v>50.51</v>
      </c>
      <c r="K1565" s="2">
        <v>3691.6</v>
      </c>
      <c r="L1565" s="2">
        <v>2222.44</v>
      </c>
      <c r="M1565" s="2">
        <v>1469.16</v>
      </c>
      <c r="N1565">
        <v>3</v>
      </c>
    </row>
    <row r="1566" spans="1:14" x14ac:dyDescent="0.3">
      <c r="A1566" s="1">
        <v>38175</v>
      </c>
      <c r="B1566">
        <v>10267</v>
      </c>
      <c r="C1566">
        <v>151</v>
      </c>
      <c r="D1566" t="s">
        <v>157</v>
      </c>
      <c r="E1566" t="s">
        <v>14</v>
      </c>
      <c r="F1566" t="s">
        <v>29</v>
      </c>
      <c r="G1566" t="s">
        <v>141</v>
      </c>
      <c r="H1566">
        <v>43</v>
      </c>
      <c r="I1566" s="2">
        <v>98.51</v>
      </c>
      <c r="J1566" s="2">
        <v>62.11</v>
      </c>
      <c r="K1566" s="2">
        <v>4235.93</v>
      </c>
      <c r="L1566" s="2">
        <v>2670.73</v>
      </c>
      <c r="M1566" s="2">
        <v>1565.2</v>
      </c>
      <c r="N1566">
        <v>3</v>
      </c>
    </row>
    <row r="1567" spans="1:14" x14ac:dyDescent="0.3">
      <c r="A1567" s="1">
        <v>38180</v>
      </c>
      <c r="B1567">
        <v>10268</v>
      </c>
      <c r="C1567">
        <v>412</v>
      </c>
      <c r="D1567" t="s">
        <v>192</v>
      </c>
      <c r="E1567" t="s">
        <v>159</v>
      </c>
      <c r="F1567" t="s">
        <v>15</v>
      </c>
      <c r="G1567" t="s">
        <v>25</v>
      </c>
      <c r="H1567">
        <v>49</v>
      </c>
      <c r="I1567" s="2">
        <v>93.49</v>
      </c>
      <c r="J1567" s="2">
        <v>60.62</v>
      </c>
      <c r="K1567" s="2">
        <v>4581.01</v>
      </c>
      <c r="L1567" s="2">
        <v>2970.38</v>
      </c>
      <c r="M1567" s="2">
        <v>1610.63</v>
      </c>
      <c r="N1567">
        <v>2</v>
      </c>
    </row>
    <row r="1568" spans="1:14" x14ac:dyDescent="0.3">
      <c r="A1568" s="1">
        <v>38180</v>
      </c>
      <c r="B1568">
        <v>10268</v>
      </c>
      <c r="C1568">
        <v>412</v>
      </c>
      <c r="D1568" t="s">
        <v>192</v>
      </c>
      <c r="E1568" t="s">
        <v>159</v>
      </c>
      <c r="F1568" t="s">
        <v>15</v>
      </c>
      <c r="G1568" t="s">
        <v>26</v>
      </c>
      <c r="H1568">
        <v>26</v>
      </c>
      <c r="I1568" s="2">
        <v>45.82</v>
      </c>
      <c r="J1568" s="2">
        <v>24.26</v>
      </c>
      <c r="K1568" s="2">
        <v>1191.32</v>
      </c>
      <c r="L1568" s="2">
        <v>630.76</v>
      </c>
      <c r="M1568" s="2">
        <v>560.55999999999995</v>
      </c>
      <c r="N1568">
        <v>2</v>
      </c>
    </row>
    <row r="1569" spans="1:14" x14ac:dyDescent="0.3">
      <c r="A1569" s="1">
        <v>38180</v>
      </c>
      <c r="B1569">
        <v>10268</v>
      </c>
      <c r="C1569">
        <v>412</v>
      </c>
      <c r="D1569" t="s">
        <v>192</v>
      </c>
      <c r="E1569" t="s">
        <v>159</v>
      </c>
      <c r="F1569" t="s">
        <v>15</v>
      </c>
      <c r="G1569" t="s">
        <v>16</v>
      </c>
      <c r="H1569">
        <v>34</v>
      </c>
      <c r="I1569" s="2">
        <v>164.9</v>
      </c>
      <c r="J1569" s="2">
        <v>86.7</v>
      </c>
      <c r="K1569" s="2">
        <v>5606.6</v>
      </c>
      <c r="L1569" s="2">
        <v>2947.8</v>
      </c>
      <c r="M1569" s="2">
        <v>2658.8</v>
      </c>
      <c r="N1569">
        <v>2</v>
      </c>
    </row>
    <row r="1570" spans="1:14" x14ac:dyDescent="0.3">
      <c r="A1570" s="1">
        <v>38180</v>
      </c>
      <c r="B1570">
        <v>10268</v>
      </c>
      <c r="C1570">
        <v>412</v>
      </c>
      <c r="D1570" t="s">
        <v>192</v>
      </c>
      <c r="E1570" t="s">
        <v>159</v>
      </c>
      <c r="F1570" t="s">
        <v>15</v>
      </c>
      <c r="G1570" t="s">
        <v>17</v>
      </c>
      <c r="H1570">
        <v>31</v>
      </c>
      <c r="I1570" s="2">
        <v>60.54</v>
      </c>
      <c r="J1570" s="2">
        <v>33.299999999999997</v>
      </c>
      <c r="K1570" s="2">
        <v>1876.74</v>
      </c>
      <c r="L1570" s="2">
        <v>1032.3</v>
      </c>
      <c r="M1570" s="2">
        <v>844.44</v>
      </c>
      <c r="N1570">
        <v>2</v>
      </c>
    </row>
    <row r="1571" spans="1:14" x14ac:dyDescent="0.3">
      <c r="A1571" s="1">
        <v>38180</v>
      </c>
      <c r="B1571">
        <v>10268</v>
      </c>
      <c r="C1571">
        <v>412</v>
      </c>
      <c r="D1571" t="s">
        <v>192</v>
      </c>
      <c r="E1571" t="s">
        <v>159</v>
      </c>
      <c r="F1571" t="s">
        <v>15</v>
      </c>
      <c r="G1571" t="s">
        <v>21</v>
      </c>
      <c r="H1571">
        <v>50</v>
      </c>
      <c r="I1571" s="2">
        <v>124.59</v>
      </c>
      <c r="J1571" s="2">
        <v>58.48</v>
      </c>
      <c r="K1571" s="2">
        <v>6229.5</v>
      </c>
      <c r="L1571" s="2">
        <v>2924</v>
      </c>
      <c r="M1571" s="2">
        <v>3305.5</v>
      </c>
      <c r="N1571">
        <v>2</v>
      </c>
    </row>
    <row r="1572" spans="1:14" x14ac:dyDescent="0.3">
      <c r="A1572" s="1">
        <v>38180</v>
      </c>
      <c r="B1572">
        <v>10268</v>
      </c>
      <c r="C1572">
        <v>412</v>
      </c>
      <c r="D1572" t="s">
        <v>192</v>
      </c>
      <c r="E1572" t="s">
        <v>159</v>
      </c>
      <c r="F1572" t="s">
        <v>15</v>
      </c>
      <c r="G1572" t="s">
        <v>22</v>
      </c>
      <c r="H1572">
        <v>35</v>
      </c>
      <c r="I1572" s="2">
        <v>148.5</v>
      </c>
      <c r="J1572" s="2">
        <v>72.56</v>
      </c>
      <c r="K1572" s="2">
        <v>5197.5</v>
      </c>
      <c r="L1572" s="2">
        <v>2539.6</v>
      </c>
      <c r="M1572" s="2">
        <v>2657.9</v>
      </c>
      <c r="N1572">
        <v>2</v>
      </c>
    </row>
    <row r="1573" spans="1:14" x14ac:dyDescent="0.3">
      <c r="A1573" s="1">
        <v>38180</v>
      </c>
      <c r="B1573">
        <v>10268</v>
      </c>
      <c r="C1573">
        <v>412</v>
      </c>
      <c r="D1573" t="s">
        <v>192</v>
      </c>
      <c r="E1573" t="s">
        <v>159</v>
      </c>
      <c r="F1573" t="s">
        <v>15</v>
      </c>
      <c r="G1573" t="s">
        <v>39</v>
      </c>
      <c r="H1573">
        <v>39</v>
      </c>
      <c r="I1573" s="2">
        <v>96.23</v>
      </c>
      <c r="J1573" s="2">
        <v>57.54</v>
      </c>
      <c r="K1573" s="2">
        <v>3752.97</v>
      </c>
      <c r="L1573" s="2">
        <v>2244.06</v>
      </c>
      <c r="M1573" s="2">
        <v>1508.91</v>
      </c>
      <c r="N1573">
        <v>2</v>
      </c>
    </row>
    <row r="1574" spans="1:14" x14ac:dyDescent="0.3">
      <c r="A1574" s="1">
        <v>38180</v>
      </c>
      <c r="B1574">
        <v>10268</v>
      </c>
      <c r="C1574">
        <v>412</v>
      </c>
      <c r="D1574" t="s">
        <v>192</v>
      </c>
      <c r="E1574" t="s">
        <v>159</v>
      </c>
      <c r="F1574" t="s">
        <v>15</v>
      </c>
      <c r="G1574" t="s">
        <v>18</v>
      </c>
      <c r="H1574">
        <v>35</v>
      </c>
      <c r="I1574" s="2">
        <v>84.67</v>
      </c>
      <c r="J1574" s="2">
        <v>43.26</v>
      </c>
      <c r="K1574" s="2">
        <v>2963.45</v>
      </c>
      <c r="L1574" s="2">
        <v>1514.1</v>
      </c>
      <c r="M1574" s="2">
        <v>1449.35</v>
      </c>
      <c r="N1574">
        <v>2</v>
      </c>
    </row>
    <row r="1575" spans="1:14" x14ac:dyDescent="0.3">
      <c r="A1575" s="1">
        <v>38180</v>
      </c>
      <c r="B1575">
        <v>10268</v>
      </c>
      <c r="C1575">
        <v>412</v>
      </c>
      <c r="D1575" t="s">
        <v>192</v>
      </c>
      <c r="E1575" t="s">
        <v>159</v>
      </c>
      <c r="F1575" t="s">
        <v>15</v>
      </c>
      <c r="G1575" t="s">
        <v>23</v>
      </c>
      <c r="H1575">
        <v>33</v>
      </c>
      <c r="I1575" s="2">
        <v>31.86</v>
      </c>
      <c r="J1575" s="2">
        <v>22.57</v>
      </c>
      <c r="K1575" s="2">
        <v>1051.3800000000001</v>
      </c>
      <c r="L1575" s="2">
        <v>744.81</v>
      </c>
      <c r="M1575" s="2">
        <v>306.57</v>
      </c>
      <c r="N1575">
        <v>2</v>
      </c>
    </row>
    <row r="1576" spans="1:14" x14ac:dyDescent="0.3">
      <c r="A1576" s="1">
        <v>38180</v>
      </c>
      <c r="B1576">
        <v>10268</v>
      </c>
      <c r="C1576">
        <v>412</v>
      </c>
      <c r="D1576" t="s">
        <v>192</v>
      </c>
      <c r="E1576" t="s">
        <v>159</v>
      </c>
      <c r="F1576" t="s">
        <v>15</v>
      </c>
      <c r="G1576" t="s">
        <v>24</v>
      </c>
      <c r="H1576">
        <v>40</v>
      </c>
      <c r="I1576" s="2">
        <v>36.29</v>
      </c>
      <c r="J1576" s="2">
        <v>20.61</v>
      </c>
      <c r="K1576" s="2">
        <v>1451.6</v>
      </c>
      <c r="L1576" s="2">
        <v>824.4</v>
      </c>
      <c r="M1576" s="2">
        <v>627.20000000000005</v>
      </c>
      <c r="N1576">
        <v>2</v>
      </c>
    </row>
    <row r="1577" spans="1:14" x14ac:dyDescent="0.3">
      <c r="A1577" s="1">
        <v>38180</v>
      </c>
      <c r="B1577">
        <v>10268</v>
      </c>
      <c r="C1577">
        <v>412</v>
      </c>
      <c r="D1577" t="s">
        <v>192</v>
      </c>
      <c r="E1577" t="s">
        <v>159</v>
      </c>
      <c r="F1577" t="s">
        <v>15</v>
      </c>
      <c r="G1577" t="s">
        <v>19</v>
      </c>
      <c r="H1577">
        <v>30</v>
      </c>
      <c r="I1577" s="2">
        <v>37.75</v>
      </c>
      <c r="J1577" s="2">
        <v>21.75</v>
      </c>
      <c r="K1577" s="2">
        <v>1132.5</v>
      </c>
      <c r="L1577" s="2">
        <v>652.5</v>
      </c>
      <c r="M1577" s="2">
        <v>480</v>
      </c>
      <c r="N1577">
        <v>2</v>
      </c>
    </row>
    <row r="1578" spans="1:14" x14ac:dyDescent="0.3">
      <c r="A1578" s="1">
        <v>38184</v>
      </c>
      <c r="B1578">
        <v>10269</v>
      </c>
      <c r="C1578">
        <v>382</v>
      </c>
      <c r="D1578" t="s">
        <v>149</v>
      </c>
      <c r="E1578" t="s">
        <v>150</v>
      </c>
      <c r="F1578" t="s">
        <v>15</v>
      </c>
      <c r="G1578" t="s">
        <v>37</v>
      </c>
      <c r="H1578">
        <v>32</v>
      </c>
      <c r="I1578" s="2">
        <v>57.46</v>
      </c>
      <c r="J1578" s="2">
        <v>34.35</v>
      </c>
      <c r="K1578" s="2">
        <v>1838.72</v>
      </c>
      <c r="L1578" s="2">
        <v>1099.2</v>
      </c>
      <c r="M1578" s="2">
        <v>739.52</v>
      </c>
      <c r="N1578">
        <v>2</v>
      </c>
    </row>
    <row r="1579" spans="1:14" x14ac:dyDescent="0.3">
      <c r="A1579" s="1">
        <v>38184</v>
      </c>
      <c r="B1579">
        <v>10269</v>
      </c>
      <c r="C1579">
        <v>382</v>
      </c>
      <c r="D1579" t="s">
        <v>149</v>
      </c>
      <c r="E1579" t="s">
        <v>150</v>
      </c>
      <c r="F1579" t="s">
        <v>15</v>
      </c>
      <c r="G1579" t="s">
        <v>43</v>
      </c>
      <c r="H1579">
        <v>48</v>
      </c>
      <c r="I1579" s="2">
        <v>95.44</v>
      </c>
      <c r="J1579" s="2">
        <v>57.46</v>
      </c>
      <c r="K1579" s="2">
        <v>4581.12</v>
      </c>
      <c r="L1579" s="2">
        <v>2758.08</v>
      </c>
      <c r="M1579" s="2">
        <v>1823.04</v>
      </c>
      <c r="N1579">
        <v>2</v>
      </c>
    </row>
    <row r="1580" spans="1:14" x14ac:dyDescent="0.3">
      <c r="A1580" s="1">
        <v>38187</v>
      </c>
      <c r="B1580">
        <v>10270</v>
      </c>
      <c r="C1580">
        <v>282</v>
      </c>
      <c r="D1580" t="s">
        <v>214</v>
      </c>
      <c r="E1580" t="s">
        <v>151</v>
      </c>
      <c r="F1580" t="s">
        <v>29</v>
      </c>
      <c r="G1580" t="s">
        <v>30</v>
      </c>
      <c r="H1580">
        <v>21</v>
      </c>
      <c r="I1580" s="2">
        <v>171.44</v>
      </c>
      <c r="J1580" s="2">
        <v>98.58</v>
      </c>
      <c r="K1580" s="2">
        <v>3600.24</v>
      </c>
      <c r="L1580" s="2">
        <v>2070.1799999999998</v>
      </c>
      <c r="M1580" s="2">
        <v>1530.06</v>
      </c>
      <c r="N1580">
        <v>2</v>
      </c>
    </row>
    <row r="1581" spans="1:14" x14ac:dyDescent="0.3">
      <c r="A1581" s="1">
        <v>38187</v>
      </c>
      <c r="B1581">
        <v>10270</v>
      </c>
      <c r="C1581">
        <v>282</v>
      </c>
      <c r="D1581" t="s">
        <v>214</v>
      </c>
      <c r="E1581" t="s">
        <v>151</v>
      </c>
      <c r="F1581" t="s">
        <v>29</v>
      </c>
      <c r="G1581" t="s">
        <v>31</v>
      </c>
      <c r="H1581">
        <v>32</v>
      </c>
      <c r="I1581" s="2">
        <v>124.1</v>
      </c>
      <c r="J1581" s="2">
        <v>103.42</v>
      </c>
      <c r="K1581" s="2">
        <v>3971.2</v>
      </c>
      <c r="L1581" s="2">
        <v>3309.44</v>
      </c>
      <c r="M1581" s="2">
        <v>661.76</v>
      </c>
      <c r="N1581">
        <v>2</v>
      </c>
    </row>
    <row r="1582" spans="1:14" x14ac:dyDescent="0.3">
      <c r="A1582" s="1">
        <v>38187</v>
      </c>
      <c r="B1582">
        <v>10270</v>
      </c>
      <c r="C1582">
        <v>282</v>
      </c>
      <c r="D1582" t="s">
        <v>214</v>
      </c>
      <c r="E1582" t="s">
        <v>151</v>
      </c>
      <c r="F1582" t="s">
        <v>32</v>
      </c>
      <c r="G1582" t="s">
        <v>33</v>
      </c>
      <c r="H1582">
        <v>28</v>
      </c>
      <c r="I1582" s="2">
        <v>135.30000000000001</v>
      </c>
      <c r="J1582" s="2">
        <v>77.900000000000006</v>
      </c>
      <c r="K1582" s="2">
        <v>3788.4</v>
      </c>
      <c r="L1582" s="2">
        <v>2181.1999999999998</v>
      </c>
      <c r="M1582" s="2">
        <v>1607.2</v>
      </c>
      <c r="N1582">
        <v>2</v>
      </c>
    </row>
    <row r="1583" spans="1:14" x14ac:dyDescent="0.3">
      <c r="A1583" s="1">
        <v>38187</v>
      </c>
      <c r="B1583">
        <v>10270</v>
      </c>
      <c r="C1583">
        <v>282</v>
      </c>
      <c r="D1583" t="s">
        <v>214</v>
      </c>
      <c r="E1583" t="s">
        <v>151</v>
      </c>
      <c r="F1583" t="s">
        <v>32</v>
      </c>
      <c r="G1583" t="s">
        <v>34</v>
      </c>
      <c r="H1583">
        <v>43</v>
      </c>
      <c r="I1583" s="2">
        <v>94.5</v>
      </c>
      <c r="J1583" s="2">
        <v>58.33</v>
      </c>
      <c r="K1583" s="2">
        <v>4063.5</v>
      </c>
      <c r="L1583" s="2">
        <v>2508.19</v>
      </c>
      <c r="M1583" s="2">
        <v>1555.31</v>
      </c>
      <c r="N1583">
        <v>2</v>
      </c>
    </row>
    <row r="1584" spans="1:14" x14ac:dyDescent="0.3">
      <c r="A1584" s="1">
        <v>38187</v>
      </c>
      <c r="B1584">
        <v>10270</v>
      </c>
      <c r="C1584">
        <v>282</v>
      </c>
      <c r="D1584" t="s">
        <v>214</v>
      </c>
      <c r="E1584" t="s">
        <v>151</v>
      </c>
      <c r="F1584" t="s">
        <v>15</v>
      </c>
      <c r="G1584" t="s">
        <v>36</v>
      </c>
      <c r="H1584">
        <v>31</v>
      </c>
      <c r="I1584" s="2">
        <v>81.05</v>
      </c>
      <c r="J1584" s="2">
        <v>60.78</v>
      </c>
      <c r="K1584" s="2">
        <v>2512.5500000000002</v>
      </c>
      <c r="L1584" s="2">
        <v>1884.18</v>
      </c>
      <c r="M1584" s="2">
        <v>628.37</v>
      </c>
      <c r="N1584">
        <v>2</v>
      </c>
    </row>
    <row r="1585" spans="1:14" x14ac:dyDescent="0.3">
      <c r="A1585" s="1">
        <v>38187</v>
      </c>
      <c r="B1585">
        <v>10270</v>
      </c>
      <c r="C1585">
        <v>282</v>
      </c>
      <c r="D1585" t="s">
        <v>214</v>
      </c>
      <c r="E1585" t="s">
        <v>151</v>
      </c>
      <c r="F1585" t="s">
        <v>15</v>
      </c>
      <c r="G1585" t="s">
        <v>38</v>
      </c>
      <c r="H1585">
        <v>38</v>
      </c>
      <c r="I1585" s="2">
        <v>85.87</v>
      </c>
      <c r="J1585" s="2">
        <v>60.74</v>
      </c>
      <c r="K1585" s="2">
        <v>3263.06</v>
      </c>
      <c r="L1585" s="2">
        <v>2308.12</v>
      </c>
      <c r="M1585" s="2">
        <v>954.94</v>
      </c>
      <c r="N1585">
        <v>2</v>
      </c>
    </row>
    <row r="1586" spans="1:14" x14ac:dyDescent="0.3">
      <c r="A1586" s="1">
        <v>38187</v>
      </c>
      <c r="B1586">
        <v>10270</v>
      </c>
      <c r="C1586">
        <v>282</v>
      </c>
      <c r="D1586" t="s">
        <v>214</v>
      </c>
      <c r="E1586" t="s">
        <v>151</v>
      </c>
      <c r="F1586" t="s">
        <v>32</v>
      </c>
      <c r="G1586" t="s">
        <v>40</v>
      </c>
      <c r="H1586">
        <v>38</v>
      </c>
      <c r="I1586" s="2">
        <v>107.76</v>
      </c>
      <c r="J1586" s="2">
        <v>84.76</v>
      </c>
      <c r="K1586" s="2">
        <v>4094.88</v>
      </c>
      <c r="L1586" s="2">
        <v>3220.88</v>
      </c>
      <c r="M1586" s="2">
        <v>874</v>
      </c>
      <c r="N1586">
        <v>2</v>
      </c>
    </row>
    <row r="1587" spans="1:14" x14ac:dyDescent="0.3">
      <c r="A1587" s="1">
        <v>38187</v>
      </c>
      <c r="B1587">
        <v>10270</v>
      </c>
      <c r="C1587">
        <v>282</v>
      </c>
      <c r="D1587" t="s">
        <v>214</v>
      </c>
      <c r="E1587" t="s">
        <v>151</v>
      </c>
      <c r="F1587" t="s">
        <v>15</v>
      </c>
      <c r="G1587" t="s">
        <v>41</v>
      </c>
      <c r="H1587">
        <v>44</v>
      </c>
      <c r="I1587" s="2">
        <v>40.25</v>
      </c>
      <c r="J1587" s="2">
        <v>23.14</v>
      </c>
      <c r="K1587" s="2">
        <v>1771</v>
      </c>
      <c r="L1587" s="2">
        <v>1018.16</v>
      </c>
      <c r="M1587" s="2">
        <v>752.84</v>
      </c>
      <c r="N1587">
        <v>2</v>
      </c>
    </row>
    <row r="1588" spans="1:14" x14ac:dyDescent="0.3">
      <c r="A1588" s="1">
        <v>38187</v>
      </c>
      <c r="B1588">
        <v>10270</v>
      </c>
      <c r="C1588">
        <v>282</v>
      </c>
      <c r="D1588" t="s">
        <v>214</v>
      </c>
      <c r="E1588" t="s">
        <v>151</v>
      </c>
      <c r="F1588" t="s">
        <v>32</v>
      </c>
      <c r="G1588" t="s">
        <v>44</v>
      </c>
      <c r="H1588">
        <v>32</v>
      </c>
      <c r="I1588" s="2">
        <v>93.42</v>
      </c>
      <c r="J1588" s="2">
        <v>53.93</v>
      </c>
      <c r="K1588" s="2">
        <v>2989.44</v>
      </c>
      <c r="L1588" s="2">
        <v>1725.76</v>
      </c>
      <c r="M1588" s="2">
        <v>1263.68</v>
      </c>
      <c r="N1588">
        <v>2</v>
      </c>
    </row>
    <row r="1589" spans="1:14" x14ac:dyDescent="0.3">
      <c r="A1589" s="1">
        <v>38187</v>
      </c>
      <c r="B1589">
        <v>10270</v>
      </c>
      <c r="C1589">
        <v>282</v>
      </c>
      <c r="D1589" t="s">
        <v>214</v>
      </c>
      <c r="E1589" t="s">
        <v>151</v>
      </c>
      <c r="F1589" t="s">
        <v>32</v>
      </c>
      <c r="G1589" t="s">
        <v>45</v>
      </c>
      <c r="H1589">
        <v>21</v>
      </c>
      <c r="I1589" s="2">
        <v>52.36</v>
      </c>
      <c r="J1589" s="2">
        <v>33.61</v>
      </c>
      <c r="K1589" s="2">
        <v>1099.56</v>
      </c>
      <c r="L1589" s="2">
        <v>705.81</v>
      </c>
      <c r="M1589" s="2">
        <v>393.75</v>
      </c>
      <c r="N1589">
        <v>2</v>
      </c>
    </row>
    <row r="1590" spans="1:14" x14ac:dyDescent="0.3">
      <c r="A1590" s="1">
        <v>38187</v>
      </c>
      <c r="B1590">
        <v>10270</v>
      </c>
      <c r="C1590">
        <v>282</v>
      </c>
      <c r="D1590" t="s">
        <v>214</v>
      </c>
      <c r="E1590" t="s">
        <v>151</v>
      </c>
      <c r="F1590" t="s">
        <v>29</v>
      </c>
      <c r="G1590" t="s">
        <v>46</v>
      </c>
      <c r="H1590">
        <v>46</v>
      </c>
      <c r="I1590" s="2">
        <v>101.15</v>
      </c>
      <c r="J1590" s="2">
        <v>46.53</v>
      </c>
      <c r="K1590" s="2">
        <v>4652.8999999999996</v>
      </c>
      <c r="L1590" s="2">
        <v>2140.38</v>
      </c>
      <c r="M1590" s="2">
        <v>2512.52</v>
      </c>
      <c r="N1590">
        <v>2</v>
      </c>
    </row>
    <row r="1591" spans="1:14" x14ac:dyDescent="0.3">
      <c r="A1591" s="1">
        <v>38188</v>
      </c>
      <c r="B1591">
        <v>10271</v>
      </c>
      <c r="C1591">
        <v>124</v>
      </c>
      <c r="D1591" t="s">
        <v>206</v>
      </c>
      <c r="E1591" t="s">
        <v>14</v>
      </c>
      <c r="F1591" t="s">
        <v>32</v>
      </c>
      <c r="G1591" t="s">
        <v>50</v>
      </c>
      <c r="H1591">
        <v>31</v>
      </c>
      <c r="I1591" s="2">
        <v>99.54</v>
      </c>
      <c r="J1591" s="2">
        <v>55.7</v>
      </c>
      <c r="K1591" s="2">
        <v>3085.74</v>
      </c>
      <c r="L1591" s="2">
        <v>1726.7</v>
      </c>
      <c r="M1591" s="2">
        <v>1359.04</v>
      </c>
      <c r="N1591">
        <v>6</v>
      </c>
    </row>
    <row r="1592" spans="1:14" x14ac:dyDescent="0.3">
      <c r="A1592" s="1">
        <v>38188</v>
      </c>
      <c r="B1592">
        <v>10271</v>
      </c>
      <c r="C1592">
        <v>124</v>
      </c>
      <c r="D1592" t="s">
        <v>206</v>
      </c>
      <c r="E1592" t="s">
        <v>14</v>
      </c>
      <c r="F1592" t="s">
        <v>29</v>
      </c>
      <c r="G1592" t="s">
        <v>51</v>
      </c>
      <c r="H1592">
        <v>50</v>
      </c>
      <c r="I1592" s="2">
        <v>147.36000000000001</v>
      </c>
      <c r="J1592" s="2">
        <v>101.51</v>
      </c>
      <c r="K1592" s="2">
        <v>7368</v>
      </c>
      <c r="L1592" s="2">
        <v>5075.5</v>
      </c>
      <c r="M1592" s="2">
        <v>2292.5</v>
      </c>
      <c r="N1592">
        <v>6</v>
      </c>
    </row>
    <row r="1593" spans="1:14" x14ac:dyDescent="0.3">
      <c r="A1593" s="1">
        <v>38188</v>
      </c>
      <c r="B1593">
        <v>10271</v>
      </c>
      <c r="C1593">
        <v>124</v>
      </c>
      <c r="D1593" t="s">
        <v>206</v>
      </c>
      <c r="E1593" t="s">
        <v>14</v>
      </c>
      <c r="F1593" t="s">
        <v>32</v>
      </c>
      <c r="G1593" t="s">
        <v>52</v>
      </c>
      <c r="H1593">
        <v>50</v>
      </c>
      <c r="I1593" s="2">
        <v>121.5</v>
      </c>
      <c r="J1593" s="2">
        <v>74.86</v>
      </c>
      <c r="K1593" s="2">
        <v>6075</v>
      </c>
      <c r="L1593" s="2">
        <v>3743</v>
      </c>
      <c r="M1593" s="2">
        <v>2332</v>
      </c>
      <c r="N1593">
        <v>6</v>
      </c>
    </row>
    <row r="1594" spans="1:14" x14ac:dyDescent="0.3">
      <c r="A1594" s="1">
        <v>38188</v>
      </c>
      <c r="B1594">
        <v>10271</v>
      </c>
      <c r="C1594">
        <v>124</v>
      </c>
      <c r="D1594" t="s">
        <v>206</v>
      </c>
      <c r="E1594" t="s">
        <v>14</v>
      </c>
      <c r="F1594" t="s">
        <v>32</v>
      </c>
      <c r="G1594" t="s">
        <v>35</v>
      </c>
      <c r="H1594">
        <v>25</v>
      </c>
      <c r="I1594" s="2">
        <v>59.55</v>
      </c>
      <c r="J1594" s="2">
        <v>24.92</v>
      </c>
      <c r="K1594" s="2">
        <v>1488.75</v>
      </c>
      <c r="L1594" s="2">
        <v>623</v>
      </c>
      <c r="M1594" s="2">
        <v>865.75</v>
      </c>
      <c r="N1594">
        <v>6</v>
      </c>
    </row>
    <row r="1595" spans="1:14" x14ac:dyDescent="0.3">
      <c r="A1595" s="1">
        <v>38188</v>
      </c>
      <c r="B1595">
        <v>10271</v>
      </c>
      <c r="C1595">
        <v>124</v>
      </c>
      <c r="D1595" t="s">
        <v>206</v>
      </c>
      <c r="E1595" t="s">
        <v>14</v>
      </c>
      <c r="F1595" t="s">
        <v>29</v>
      </c>
      <c r="G1595" t="s">
        <v>53</v>
      </c>
      <c r="H1595">
        <v>20</v>
      </c>
      <c r="I1595" s="2">
        <v>169.34</v>
      </c>
      <c r="J1595" s="2">
        <v>77.900000000000006</v>
      </c>
      <c r="K1595" s="2">
        <v>3386.8</v>
      </c>
      <c r="L1595" s="2">
        <v>1558</v>
      </c>
      <c r="M1595" s="2">
        <v>1828.8</v>
      </c>
      <c r="N1595">
        <v>6</v>
      </c>
    </row>
    <row r="1596" spans="1:14" x14ac:dyDescent="0.3">
      <c r="A1596" s="1">
        <v>38188</v>
      </c>
      <c r="B1596">
        <v>10271</v>
      </c>
      <c r="C1596">
        <v>124</v>
      </c>
      <c r="D1596" t="s">
        <v>206</v>
      </c>
      <c r="E1596" t="s">
        <v>14</v>
      </c>
      <c r="F1596" t="s">
        <v>29</v>
      </c>
      <c r="G1596" t="s">
        <v>55</v>
      </c>
      <c r="H1596">
        <v>45</v>
      </c>
      <c r="I1596" s="2">
        <v>49.71</v>
      </c>
      <c r="J1596" s="2">
        <v>32.369999999999997</v>
      </c>
      <c r="K1596" s="2">
        <v>2236.9499999999998</v>
      </c>
      <c r="L1596" s="2">
        <v>1456.65</v>
      </c>
      <c r="M1596" s="2">
        <v>780.3</v>
      </c>
      <c r="N1596">
        <v>6</v>
      </c>
    </row>
    <row r="1597" spans="1:14" x14ac:dyDescent="0.3">
      <c r="A1597" s="1">
        <v>38188</v>
      </c>
      <c r="B1597">
        <v>10271</v>
      </c>
      <c r="C1597">
        <v>124</v>
      </c>
      <c r="D1597" t="s">
        <v>206</v>
      </c>
      <c r="E1597" t="s">
        <v>14</v>
      </c>
      <c r="F1597" t="s">
        <v>32</v>
      </c>
      <c r="G1597" t="s">
        <v>42</v>
      </c>
      <c r="H1597">
        <v>43</v>
      </c>
      <c r="I1597" s="2">
        <v>122.68</v>
      </c>
      <c r="J1597" s="2">
        <v>61.34</v>
      </c>
      <c r="K1597" s="2">
        <v>5275.24</v>
      </c>
      <c r="L1597" s="2">
        <v>2637.62</v>
      </c>
      <c r="M1597" s="2">
        <v>2637.62</v>
      </c>
      <c r="N1597">
        <v>6</v>
      </c>
    </row>
    <row r="1598" spans="1:14" x14ac:dyDescent="0.3">
      <c r="A1598" s="1">
        <v>38188</v>
      </c>
      <c r="B1598">
        <v>10271</v>
      </c>
      <c r="C1598">
        <v>124</v>
      </c>
      <c r="D1598" t="s">
        <v>206</v>
      </c>
      <c r="E1598" t="s">
        <v>14</v>
      </c>
      <c r="F1598" t="s">
        <v>29</v>
      </c>
      <c r="G1598" t="s">
        <v>56</v>
      </c>
      <c r="H1598">
        <v>38</v>
      </c>
      <c r="I1598" s="2">
        <v>28.64</v>
      </c>
      <c r="J1598" s="2">
        <v>15.91</v>
      </c>
      <c r="K1598" s="2">
        <v>1088.32</v>
      </c>
      <c r="L1598" s="2">
        <v>604.58000000000004</v>
      </c>
      <c r="M1598" s="2">
        <v>483.74</v>
      </c>
      <c r="N1598">
        <v>6</v>
      </c>
    </row>
    <row r="1599" spans="1:14" x14ac:dyDescent="0.3">
      <c r="A1599" s="1">
        <v>38188</v>
      </c>
      <c r="B1599">
        <v>10271</v>
      </c>
      <c r="C1599">
        <v>124</v>
      </c>
      <c r="D1599" t="s">
        <v>206</v>
      </c>
      <c r="E1599" t="s">
        <v>14</v>
      </c>
      <c r="F1599" t="s">
        <v>29</v>
      </c>
      <c r="G1599" t="s">
        <v>57</v>
      </c>
      <c r="H1599">
        <v>22</v>
      </c>
      <c r="I1599" s="2">
        <v>110</v>
      </c>
      <c r="J1599" s="2">
        <v>69.78</v>
      </c>
      <c r="K1599" s="2">
        <v>2420</v>
      </c>
      <c r="L1599" s="2">
        <v>1535.16</v>
      </c>
      <c r="M1599" s="2">
        <v>884.84</v>
      </c>
      <c r="N1599">
        <v>6</v>
      </c>
    </row>
    <row r="1600" spans="1:14" x14ac:dyDescent="0.3">
      <c r="A1600" s="1">
        <v>38188</v>
      </c>
      <c r="B1600">
        <v>10271</v>
      </c>
      <c r="C1600">
        <v>124</v>
      </c>
      <c r="D1600" t="s">
        <v>206</v>
      </c>
      <c r="E1600" t="s">
        <v>14</v>
      </c>
      <c r="F1600" t="s">
        <v>32</v>
      </c>
      <c r="G1600" t="s">
        <v>58</v>
      </c>
      <c r="H1600">
        <v>35</v>
      </c>
      <c r="I1600" s="2">
        <v>51.95</v>
      </c>
      <c r="J1600" s="2">
        <v>25.98</v>
      </c>
      <c r="K1600" s="2">
        <v>1818.25</v>
      </c>
      <c r="L1600" s="2">
        <v>909.3</v>
      </c>
      <c r="M1600" s="2">
        <v>908.95</v>
      </c>
      <c r="N1600">
        <v>6</v>
      </c>
    </row>
    <row r="1601" spans="1:14" x14ac:dyDescent="0.3">
      <c r="A1601" s="1">
        <v>38188</v>
      </c>
      <c r="B1601">
        <v>10271</v>
      </c>
      <c r="C1601">
        <v>124</v>
      </c>
      <c r="D1601" t="s">
        <v>206</v>
      </c>
      <c r="E1601" t="s">
        <v>14</v>
      </c>
      <c r="F1601" t="s">
        <v>32</v>
      </c>
      <c r="G1601" t="s">
        <v>61</v>
      </c>
      <c r="H1601">
        <v>34</v>
      </c>
      <c r="I1601" s="2">
        <v>93.76</v>
      </c>
      <c r="J1601" s="2">
        <v>68.290000000000006</v>
      </c>
      <c r="K1601" s="2">
        <v>3187.84</v>
      </c>
      <c r="L1601" s="2">
        <v>2321.86</v>
      </c>
      <c r="M1601" s="2">
        <v>865.98</v>
      </c>
      <c r="N1601">
        <v>6</v>
      </c>
    </row>
    <row r="1602" spans="1:14" x14ac:dyDescent="0.3">
      <c r="A1602" s="1">
        <v>38188</v>
      </c>
      <c r="B1602">
        <v>10272</v>
      </c>
      <c r="C1602">
        <v>157</v>
      </c>
      <c r="D1602" t="s">
        <v>245</v>
      </c>
      <c r="E1602" t="s">
        <v>14</v>
      </c>
      <c r="F1602" t="s">
        <v>29</v>
      </c>
      <c r="G1602" t="s">
        <v>66</v>
      </c>
      <c r="H1602">
        <v>35</v>
      </c>
      <c r="I1602" s="2">
        <v>187.02</v>
      </c>
      <c r="J1602" s="2">
        <v>95.59</v>
      </c>
      <c r="K1602" s="2">
        <v>6545.7</v>
      </c>
      <c r="L1602" s="2">
        <v>3345.65</v>
      </c>
      <c r="M1602" s="2">
        <v>3200.05</v>
      </c>
      <c r="N1602">
        <v>1</v>
      </c>
    </row>
    <row r="1603" spans="1:14" x14ac:dyDescent="0.3">
      <c r="A1603" s="1">
        <v>38188</v>
      </c>
      <c r="B1603">
        <v>10272</v>
      </c>
      <c r="C1603">
        <v>157</v>
      </c>
      <c r="D1603" t="s">
        <v>245</v>
      </c>
      <c r="E1603" t="s">
        <v>14</v>
      </c>
      <c r="F1603" t="s">
        <v>29</v>
      </c>
      <c r="G1603" t="s">
        <v>49</v>
      </c>
      <c r="H1603">
        <v>27</v>
      </c>
      <c r="I1603" s="2">
        <v>123.89</v>
      </c>
      <c r="J1603" s="2">
        <v>89.14</v>
      </c>
      <c r="K1603" s="2">
        <v>3345.03</v>
      </c>
      <c r="L1603" s="2">
        <v>2406.7800000000002</v>
      </c>
      <c r="M1603" s="2">
        <v>938.25</v>
      </c>
      <c r="N1603">
        <v>1</v>
      </c>
    </row>
    <row r="1604" spans="1:14" x14ac:dyDescent="0.3">
      <c r="A1604" s="1">
        <v>38188</v>
      </c>
      <c r="B1604">
        <v>10272</v>
      </c>
      <c r="C1604">
        <v>157</v>
      </c>
      <c r="D1604" t="s">
        <v>245</v>
      </c>
      <c r="E1604" t="s">
        <v>14</v>
      </c>
      <c r="F1604" t="s">
        <v>29</v>
      </c>
      <c r="G1604" t="s">
        <v>67</v>
      </c>
      <c r="H1604">
        <v>39</v>
      </c>
      <c r="I1604" s="2">
        <v>148.80000000000001</v>
      </c>
      <c r="J1604" s="2">
        <v>83.05</v>
      </c>
      <c r="K1604" s="2">
        <v>5803.2</v>
      </c>
      <c r="L1604" s="2">
        <v>3238.95</v>
      </c>
      <c r="M1604" s="2">
        <v>2564.25</v>
      </c>
      <c r="N1604">
        <v>1</v>
      </c>
    </row>
    <row r="1605" spans="1:14" x14ac:dyDescent="0.3">
      <c r="A1605" s="1">
        <v>38188</v>
      </c>
      <c r="B1605">
        <v>10272</v>
      </c>
      <c r="C1605">
        <v>157</v>
      </c>
      <c r="D1605" t="s">
        <v>245</v>
      </c>
      <c r="E1605" t="s">
        <v>14</v>
      </c>
      <c r="F1605" t="s">
        <v>29</v>
      </c>
      <c r="G1605" t="s">
        <v>54</v>
      </c>
      <c r="H1605">
        <v>25</v>
      </c>
      <c r="I1605" s="2">
        <v>126.39</v>
      </c>
      <c r="J1605" s="2">
        <v>91.92</v>
      </c>
      <c r="K1605" s="2">
        <v>3159.75</v>
      </c>
      <c r="L1605" s="2">
        <v>2298</v>
      </c>
      <c r="M1605" s="2">
        <v>861.75</v>
      </c>
      <c r="N1605">
        <v>1</v>
      </c>
    </row>
    <row r="1606" spans="1:14" x14ac:dyDescent="0.3">
      <c r="A1606" s="1">
        <v>38188</v>
      </c>
      <c r="B1606">
        <v>10272</v>
      </c>
      <c r="C1606">
        <v>157</v>
      </c>
      <c r="D1606" t="s">
        <v>245</v>
      </c>
      <c r="E1606" t="s">
        <v>14</v>
      </c>
      <c r="F1606" t="s">
        <v>59</v>
      </c>
      <c r="G1606" t="s">
        <v>60</v>
      </c>
      <c r="H1606">
        <v>45</v>
      </c>
      <c r="I1606" s="2">
        <v>56.55</v>
      </c>
      <c r="J1606" s="2">
        <v>26.72</v>
      </c>
      <c r="K1606" s="2">
        <v>2544.75</v>
      </c>
      <c r="L1606" s="2">
        <v>1202.4000000000001</v>
      </c>
      <c r="M1606" s="2">
        <v>1342.35</v>
      </c>
      <c r="N1606">
        <v>1</v>
      </c>
    </row>
    <row r="1607" spans="1:14" x14ac:dyDescent="0.3">
      <c r="A1607" s="1">
        <v>38188</v>
      </c>
      <c r="B1607">
        <v>10272</v>
      </c>
      <c r="C1607">
        <v>157</v>
      </c>
      <c r="D1607" t="s">
        <v>245</v>
      </c>
      <c r="E1607" t="s">
        <v>14</v>
      </c>
      <c r="F1607" t="s">
        <v>59</v>
      </c>
      <c r="G1607" t="s">
        <v>62</v>
      </c>
      <c r="H1607">
        <v>43</v>
      </c>
      <c r="I1607" s="2">
        <v>53.89</v>
      </c>
      <c r="J1607" s="2">
        <v>37.49</v>
      </c>
      <c r="K1607" s="2">
        <v>2317.27</v>
      </c>
      <c r="L1607" s="2">
        <v>1612.07</v>
      </c>
      <c r="M1607" s="2">
        <v>705.2</v>
      </c>
      <c r="N1607">
        <v>1</v>
      </c>
    </row>
    <row r="1608" spans="1:14" x14ac:dyDescent="0.3">
      <c r="A1608" s="1">
        <v>38189</v>
      </c>
      <c r="B1608">
        <v>10273</v>
      </c>
      <c r="C1608">
        <v>314</v>
      </c>
      <c r="D1608" t="s">
        <v>189</v>
      </c>
      <c r="E1608" t="s">
        <v>146</v>
      </c>
      <c r="F1608" t="s">
        <v>29</v>
      </c>
      <c r="G1608" t="s">
        <v>65</v>
      </c>
      <c r="H1608">
        <v>30</v>
      </c>
      <c r="I1608" s="2">
        <v>136</v>
      </c>
      <c r="J1608" s="2">
        <v>85.68</v>
      </c>
      <c r="K1608" s="2">
        <v>4080</v>
      </c>
      <c r="L1608" s="2">
        <v>2570.4</v>
      </c>
      <c r="M1608" s="2">
        <v>1509.6</v>
      </c>
      <c r="N1608">
        <v>2</v>
      </c>
    </row>
    <row r="1609" spans="1:14" x14ac:dyDescent="0.3">
      <c r="A1609" s="1">
        <v>38189</v>
      </c>
      <c r="B1609">
        <v>10273</v>
      </c>
      <c r="C1609">
        <v>314</v>
      </c>
      <c r="D1609" t="s">
        <v>189</v>
      </c>
      <c r="E1609" t="s">
        <v>146</v>
      </c>
      <c r="F1609" t="s">
        <v>71</v>
      </c>
      <c r="G1609" t="s">
        <v>86</v>
      </c>
      <c r="H1609">
        <v>34</v>
      </c>
      <c r="I1609" s="2">
        <v>84.3</v>
      </c>
      <c r="J1609" s="2">
        <v>51.61</v>
      </c>
      <c r="K1609" s="2">
        <v>2866.2</v>
      </c>
      <c r="L1609" s="2">
        <v>1754.74</v>
      </c>
      <c r="M1609" s="2">
        <v>1111.46</v>
      </c>
      <c r="N1609">
        <v>2</v>
      </c>
    </row>
    <row r="1610" spans="1:14" x14ac:dyDescent="0.3">
      <c r="A1610" s="1">
        <v>38189</v>
      </c>
      <c r="B1610">
        <v>10273</v>
      </c>
      <c r="C1610">
        <v>314</v>
      </c>
      <c r="D1610" t="s">
        <v>189</v>
      </c>
      <c r="E1610" t="s">
        <v>146</v>
      </c>
      <c r="F1610" t="s">
        <v>15</v>
      </c>
      <c r="G1610" t="s">
        <v>68</v>
      </c>
      <c r="H1610">
        <v>40</v>
      </c>
      <c r="I1610" s="2">
        <v>117.47</v>
      </c>
      <c r="J1610" s="2">
        <v>68.3</v>
      </c>
      <c r="K1610" s="2">
        <v>4698.8</v>
      </c>
      <c r="L1610" s="2">
        <v>2732</v>
      </c>
      <c r="M1610" s="2">
        <v>1966.8</v>
      </c>
      <c r="N1610">
        <v>2</v>
      </c>
    </row>
    <row r="1611" spans="1:14" x14ac:dyDescent="0.3">
      <c r="A1611" s="1">
        <v>38189</v>
      </c>
      <c r="B1611">
        <v>10273</v>
      </c>
      <c r="C1611">
        <v>314</v>
      </c>
      <c r="D1611" t="s">
        <v>189</v>
      </c>
      <c r="E1611" t="s">
        <v>146</v>
      </c>
      <c r="F1611" t="s">
        <v>59</v>
      </c>
      <c r="G1611" t="s">
        <v>69</v>
      </c>
      <c r="H1611">
        <v>47</v>
      </c>
      <c r="I1611" s="2">
        <v>87.73</v>
      </c>
      <c r="J1611" s="2">
        <v>67.56</v>
      </c>
      <c r="K1611" s="2">
        <v>4123.3100000000004</v>
      </c>
      <c r="L1611" s="2">
        <v>3175.32</v>
      </c>
      <c r="M1611" s="2">
        <v>947.99</v>
      </c>
      <c r="N1611">
        <v>2</v>
      </c>
    </row>
    <row r="1612" spans="1:14" x14ac:dyDescent="0.3">
      <c r="A1612" s="1">
        <v>38189</v>
      </c>
      <c r="B1612">
        <v>10273</v>
      </c>
      <c r="C1612">
        <v>314</v>
      </c>
      <c r="D1612" t="s">
        <v>189</v>
      </c>
      <c r="E1612" t="s">
        <v>146</v>
      </c>
      <c r="F1612" t="s">
        <v>15</v>
      </c>
      <c r="G1612" t="s">
        <v>87</v>
      </c>
      <c r="H1612">
        <v>50</v>
      </c>
      <c r="I1612" s="2">
        <v>105.87</v>
      </c>
      <c r="J1612" s="2">
        <v>64.58</v>
      </c>
      <c r="K1612" s="2">
        <v>5293.5</v>
      </c>
      <c r="L1612" s="2">
        <v>3229</v>
      </c>
      <c r="M1612" s="2">
        <v>2064.5</v>
      </c>
      <c r="N1612">
        <v>2</v>
      </c>
    </row>
    <row r="1613" spans="1:14" x14ac:dyDescent="0.3">
      <c r="A1613" s="1">
        <v>38189</v>
      </c>
      <c r="B1613">
        <v>10273</v>
      </c>
      <c r="C1613">
        <v>314</v>
      </c>
      <c r="D1613" t="s">
        <v>189</v>
      </c>
      <c r="E1613" t="s">
        <v>146</v>
      </c>
      <c r="F1613" t="s">
        <v>15</v>
      </c>
      <c r="G1613" t="s">
        <v>70</v>
      </c>
      <c r="H1613">
        <v>33</v>
      </c>
      <c r="I1613" s="2">
        <v>72.849999999999994</v>
      </c>
      <c r="J1613" s="2">
        <v>52.66</v>
      </c>
      <c r="K1613" s="2">
        <v>2404.0500000000002</v>
      </c>
      <c r="L1613" s="2">
        <v>1737.78</v>
      </c>
      <c r="M1613" s="2">
        <v>666.27</v>
      </c>
      <c r="N1613">
        <v>2</v>
      </c>
    </row>
    <row r="1614" spans="1:14" x14ac:dyDescent="0.3">
      <c r="A1614" s="1">
        <v>38189</v>
      </c>
      <c r="B1614">
        <v>10273</v>
      </c>
      <c r="C1614">
        <v>314</v>
      </c>
      <c r="D1614" t="s">
        <v>189</v>
      </c>
      <c r="E1614" t="s">
        <v>146</v>
      </c>
      <c r="F1614" t="s">
        <v>71</v>
      </c>
      <c r="G1614" t="s">
        <v>72</v>
      </c>
      <c r="H1614">
        <v>22</v>
      </c>
      <c r="I1614" s="2">
        <v>103.23</v>
      </c>
      <c r="J1614" s="2">
        <v>82.34</v>
      </c>
      <c r="K1614" s="2">
        <v>2271.06</v>
      </c>
      <c r="L1614" s="2">
        <v>1811.48</v>
      </c>
      <c r="M1614" s="2">
        <v>459.58</v>
      </c>
      <c r="N1614">
        <v>2</v>
      </c>
    </row>
    <row r="1615" spans="1:14" x14ac:dyDescent="0.3">
      <c r="A1615" s="1">
        <v>38189</v>
      </c>
      <c r="B1615">
        <v>10273</v>
      </c>
      <c r="C1615">
        <v>314</v>
      </c>
      <c r="D1615" t="s">
        <v>189</v>
      </c>
      <c r="E1615" t="s">
        <v>146</v>
      </c>
      <c r="F1615" t="s">
        <v>15</v>
      </c>
      <c r="G1615" t="s">
        <v>73</v>
      </c>
      <c r="H1615">
        <v>27</v>
      </c>
      <c r="I1615" s="2">
        <v>84.08</v>
      </c>
      <c r="J1615" s="2">
        <v>46.91</v>
      </c>
      <c r="K1615" s="2">
        <v>2270.16</v>
      </c>
      <c r="L1615" s="2">
        <v>1266.57</v>
      </c>
      <c r="M1615" s="2">
        <v>1003.59</v>
      </c>
      <c r="N1615">
        <v>2</v>
      </c>
    </row>
    <row r="1616" spans="1:14" x14ac:dyDescent="0.3">
      <c r="A1616" s="1">
        <v>38189</v>
      </c>
      <c r="B1616">
        <v>10273</v>
      </c>
      <c r="C1616">
        <v>314</v>
      </c>
      <c r="D1616" t="s">
        <v>189</v>
      </c>
      <c r="E1616" t="s">
        <v>146</v>
      </c>
      <c r="F1616" t="s">
        <v>15</v>
      </c>
      <c r="G1616" t="s">
        <v>74</v>
      </c>
      <c r="H1616">
        <v>48</v>
      </c>
      <c r="I1616" s="2">
        <v>83.86</v>
      </c>
      <c r="J1616" s="2">
        <v>48.64</v>
      </c>
      <c r="K1616" s="2">
        <v>4025.28</v>
      </c>
      <c r="L1616" s="2">
        <v>2334.7199999999998</v>
      </c>
      <c r="M1616" s="2">
        <v>1690.56</v>
      </c>
      <c r="N1616">
        <v>2</v>
      </c>
    </row>
    <row r="1617" spans="1:14" x14ac:dyDescent="0.3">
      <c r="A1617" s="1">
        <v>38189</v>
      </c>
      <c r="B1617">
        <v>10273</v>
      </c>
      <c r="C1617">
        <v>314</v>
      </c>
      <c r="D1617" t="s">
        <v>189</v>
      </c>
      <c r="E1617" t="s">
        <v>146</v>
      </c>
      <c r="F1617" t="s">
        <v>71</v>
      </c>
      <c r="G1617" t="s">
        <v>75</v>
      </c>
      <c r="H1617">
        <v>21</v>
      </c>
      <c r="I1617" s="2">
        <v>66</v>
      </c>
      <c r="J1617" s="2">
        <v>34</v>
      </c>
      <c r="K1617" s="2">
        <v>1386</v>
      </c>
      <c r="L1617" s="2">
        <v>714</v>
      </c>
      <c r="M1617" s="2">
        <v>672</v>
      </c>
      <c r="N1617">
        <v>2</v>
      </c>
    </row>
    <row r="1618" spans="1:14" x14ac:dyDescent="0.3">
      <c r="A1618" s="1">
        <v>38189</v>
      </c>
      <c r="B1618">
        <v>10273</v>
      </c>
      <c r="C1618">
        <v>314</v>
      </c>
      <c r="D1618" t="s">
        <v>189</v>
      </c>
      <c r="E1618" t="s">
        <v>146</v>
      </c>
      <c r="F1618" t="s">
        <v>71</v>
      </c>
      <c r="G1618" t="s">
        <v>76</v>
      </c>
      <c r="H1618">
        <v>21</v>
      </c>
      <c r="I1618" s="2">
        <v>77.95</v>
      </c>
      <c r="J1618" s="2">
        <v>43.3</v>
      </c>
      <c r="K1618" s="2">
        <v>1636.95</v>
      </c>
      <c r="L1618" s="2">
        <v>909.3</v>
      </c>
      <c r="M1618" s="2">
        <v>727.65</v>
      </c>
      <c r="N1618">
        <v>2</v>
      </c>
    </row>
    <row r="1619" spans="1:14" x14ac:dyDescent="0.3">
      <c r="A1619" s="1">
        <v>38189</v>
      </c>
      <c r="B1619">
        <v>10273</v>
      </c>
      <c r="C1619">
        <v>314</v>
      </c>
      <c r="D1619" t="s">
        <v>189</v>
      </c>
      <c r="E1619" t="s">
        <v>146</v>
      </c>
      <c r="F1619" t="s">
        <v>71</v>
      </c>
      <c r="G1619" t="s">
        <v>77</v>
      </c>
      <c r="H1619">
        <v>42</v>
      </c>
      <c r="I1619" s="2">
        <v>57.82</v>
      </c>
      <c r="J1619" s="2">
        <v>33.97</v>
      </c>
      <c r="K1619" s="2">
        <v>2428.44</v>
      </c>
      <c r="L1619" s="2">
        <v>1426.74</v>
      </c>
      <c r="M1619" s="2">
        <v>1001.7</v>
      </c>
      <c r="N1619">
        <v>2</v>
      </c>
    </row>
    <row r="1620" spans="1:14" x14ac:dyDescent="0.3">
      <c r="A1620" s="1">
        <v>38189</v>
      </c>
      <c r="B1620">
        <v>10273</v>
      </c>
      <c r="C1620">
        <v>314</v>
      </c>
      <c r="D1620" t="s">
        <v>189</v>
      </c>
      <c r="E1620" t="s">
        <v>146</v>
      </c>
      <c r="F1620" t="s">
        <v>71</v>
      </c>
      <c r="G1620" t="s">
        <v>78</v>
      </c>
      <c r="H1620">
        <v>40</v>
      </c>
      <c r="I1620" s="2">
        <v>91.15</v>
      </c>
      <c r="J1620" s="2">
        <v>51.09</v>
      </c>
      <c r="K1620" s="2">
        <v>3646</v>
      </c>
      <c r="L1620" s="2">
        <v>2043.6</v>
      </c>
      <c r="M1620" s="2">
        <v>1602.4</v>
      </c>
      <c r="N1620">
        <v>2</v>
      </c>
    </row>
    <row r="1621" spans="1:14" x14ac:dyDescent="0.3">
      <c r="A1621" s="1">
        <v>38189</v>
      </c>
      <c r="B1621">
        <v>10273</v>
      </c>
      <c r="C1621">
        <v>314</v>
      </c>
      <c r="D1621" t="s">
        <v>189</v>
      </c>
      <c r="E1621" t="s">
        <v>146</v>
      </c>
      <c r="F1621" t="s">
        <v>71</v>
      </c>
      <c r="G1621" t="s">
        <v>79</v>
      </c>
      <c r="H1621">
        <v>26</v>
      </c>
      <c r="I1621" s="2">
        <v>89.38</v>
      </c>
      <c r="J1621" s="2">
        <v>53.63</v>
      </c>
      <c r="K1621" s="2">
        <v>2323.88</v>
      </c>
      <c r="L1621" s="2">
        <v>1394.38</v>
      </c>
      <c r="M1621" s="2">
        <v>929.5</v>
      </c>
      <c r="N1621">
        <v>2</v>
      </c>
    </row>
    <row r="1622" spans="1:14" x14ac:dyDescent="0.3">
      <c r="A1622" s="1">
        <v>38189</v>
      </c>
      <c r="B1622">
        <v>10273</v>
      </c>
      <c r="C1622">
        <v>314</v>
      </c>
      <c r="D1622" t="s">
        <v>189</v>
      </c>
      <c r="E1622" t="s">
        <v>146</v>
      </c>
      <c r="F1622" t="s">
        <v>71</v>
      </c>
      <c r="G1622" t="s">
        <v>80</v>
      </c>
      <c r="H1622">
        <v>37</v>
      </c>
      <c r="I1622" s="2">
        <v>51.32</v>
      </c>
      <c r="J1622" s="2">
        <v>33.299999999999997</v>
      </c>
      <c r="K1622" s="2">
        <v>1898.84</v>
      </c>
      <c r="L1622" s="2">
        <v>1232.0999999999999</v>
      </c>
      <c r="M1622" s="2">
        <v>666.74</v>
      </c>
      <c r="N1622">
        <v>2</v>
      </c>
    </row>
    <row r="1623" spans="1:14" x14ac:dyDescent="0.3">
      <c r="A1623" s="1">
        <v>38189</v>
      </c>
      <c r="B1623">
        <v>10274</v>
      </c>
      <c r="C1623">
        <v>379</v>
      </c>
      <c r="D1623" t="s">
        <v>218</v>
      </c>
      <c r="E1623" t="s">
        <v>14</v>
      </c>
      <c r="F1623" t="s">
        <v>83</v>
      </c>
      <c r="G1623" t="s">
        <v>84</v>
      </c>
      <c r="H1623">
        <v>41</v>
      </c>
      <c r="I1623" s="2">
        <v>129.31</v>
      </c>
      <c r="J1623" s="2">
        <v>77.27</v>
      </c>
      <c r="K1623" s="2">
        <v>5301.71</v>
      </c>
      <c r="L1623" s="2">
        <v>3168.07</v>
      </c>
      <c r="M1623" s="2">
        <v>2133.64</v>
      </c>
      <c r="N1623">
        <v>2</v>
      </c>
    </row>
    <row r="1624" spans="1:14" x14ac:dyDescent="0.3">
      <c r="A1624" s="1">
        <v>38189</v>
      </c>
      <c r="B1624">
        <v>10274</v>
      </c>
      <c r="C1624">
        <v>379</v>
      </c>
      <c r="D1624" t="s">
        <v>218</v>
      </c>
      <c r="E1624" t="s">
        <v>14</v>
      </c>
      <c r="F1624" t="s">
        <v>83</v>
      </c>
      <c r="G1624" t="s">
        <v>89</v>
      </c>
      <c r="H1624">
        <v>40</v>
      </c>
      <c r="I1624" s="2">
        <v>56.86</v>
      </c>
      <c r="J1624" s="2">
        <v>34.25</v>
      </c>
      <c r="K1624" s="2">
        <v>2274.4</v>
      </c>
      <c r="L1624" s="2">
        <v>1370</v>
      </c>
      <c r="M1624" s="2">
        <v>904.4</v>
      </c>
      <c r="N1624">
        <v>2</v>
      </c>
    </row>
    <row r="1625" spans="1:14" x14ac:dyDescent="0.3">
      <c r="A1625" s="1">
        <v>38189</v>
      </c>
      <c r="B1625">
        <v>10274</v>
      </c>
      <c r="C1625">
        <v>379</v>
      </c>
      <c r="D1625" t="s">
        <v>218</v>
      </c>
      <c r="E1625" t="s">
        <v>14</v>
      </c>
      <c r="F1625" t="s">
        <v>15</v>
      </c>
      <c r="G1625" t="s">
        <v>90</v>
      </c>
      <c r="H1625">
        <v>24</v>
      </c>
      <c r="I1625" s="2">
        <v>65.09</v>
      </c>
      <c r="J1625" s="2">
        <v>26.3</v>
      </c>
      <c r="K1625" s="2">
        <v>1562.16</v>
      </c>
      <c r="L1625" s="2">
        <v>631.20000000000005</v>
      </c>
      <c r="M1625" s="2">
        <v>930.96</v>
      </c>
      <c r="N1625">
        <v>2</v>
      </c>
    </row>
    <row r="1626" spans="1:14" x14ac:dyDescent="0.3">
      <c r="A1626" s="1">
        <v>38189</v>
      </c>
      <c r="B1626">
        <v>10274</v>
      </c>
      <c r="C1626">
        <v>379</v>
      </c>
      <c r="D1626" t="s">
        <v>218</v>
      </c>
      <c r="E1626" t="s">
        <v>14</v>
      </c>
      <c r="F1626" t="s">
        <v>71</v>
      </c>
      <c r="G1626" t="s">
        <v>96</v>
      </c>
      <c r="H1626">
        <v>24</v>
      </c>
      <c r="I1626" s="2">
        <v>75.13</v>
      </c>
      <c r="J1626" s="2">
        <v>39.83</v>
      </c>
      <c r="K1626" s="2">
        <v>1803.12</v>
      </c>
      <c r="L1626" s="2">
        <v>955.92</v>
      </c>
      <c r="M1626" s="2">
        <v>847.2</v>
      </c>
      <c r="N1626">
        <v>2</v>
      </c>
    </row>
    <row r="1627" spans="1:14" x14ac:dyDescent="0.3">
      <c r="A1627" s="1">
        <v>38189</v>
      </c>
      <c r="B1627">
        <v>10274</v>
      </c>
      <c r="C1627">
        <v>379</v>
      </c>
      <c r="D1627" t="s">
        <v>218</v>
      </c>
      <c r="E1627" t="s">
        <v>14</v>
      </c>
      <c r="F1627" t="s">
        <v>83</v>
      </c>
      <c r="G1627" t="s">
        <v>101</v>
      </c>
      <c r="H1627">
        <v>32</v>
      </c>
      <c r="I1627" s="2">
        <v>49.66</v>
      </c>
      <c r="J1627" s="2">
        <v>32.770000000000003</v>
      </c>
      <c r="K1627" s="2">
        <v>1589.12</v>
      </c>
      <c r="L1627" s="2">
        <v>1048.6400000000001</v>
      </c>
      <c r="M1627" s="2">
        <v>540.48</v>
      </c>
      <c r="N1627">
        <v>2</v>
      </c>
    </row>
    <row r="1628" spans="1:14" x14ac:dyDescent="0.3">
      <c r="A1628" s="1">
        <v>38191</v>
      </c>
      <c r="B1628">
        <v>10275</v>
      </c>
      <c r="C1628">
        <v>119</v>
      </c>
      <c r="D1628" t="s">
        <v>196</v>
      </c>
      <c r="E1628" t="s">
        <v>144</v>
      </c>
      <c r="F1628" t="s">
        <v>102</v>
      </c>
      <c r="G1628" t="s">
        <v>103</v>
      </c>
      <c r="H1628">
        <v>45</v>
      </c>
      <c r="I1628" s="2">
        <v>81.349999999999994</v>
      </c>
      <c r="J1628" s="2">
        <v>48.81</v>
      </c>
      <c r="K1628" s="2">
        <v>3660.75</v>
      </c>
      <c r="L1628" s="2">
        <v>2196.4499999999998</v>
      </c>
      <c r="M1628" s="2">
        <v>1464.3</v>
      </c>
      <c r="N1628">
        <v>1</v>
      </c>
    </row>
    <row r="1629" spans="1:14" x14ac:dyDescent="0.3">
      <c r="A1629" s="1">
        <v>38191</v>
      </c>
      <c r="B1629">
        <v>10275</v>
      </c>
      <c r="C1629">
        <v>119</v>
      </c>
      <c r="D1629" t="s">
        <v>196</v>
      </c>
      <c r="E1629" t="s">
        <v>144</v>
      </c>
      <c r="F1629" t="s">
        <v>102</v>
      </c>
      <c r="G1629" t="s">
        <v>104</v>
      </c>
      <c r="H1629">
        <v>22</v>
      </c>
      <c r="I1629" s="2">
        <v>115.37</v>
      </c>
      <c r="J1629" s="2">
        <v>68.989999999999995</v>
      </c>
      <c r="K1629" s="2">
        <v>2538.14</v>
      </c>
      <c r="L1629" s="2">
        <v>1517.78</v>
      </c>
      <c r="M1629" s="2">
        <v>1020.36</v>
      </c>
      <c r="N1629">
        <v>1</v>
      </c>
    </row>
    <row r="1630" spans="1:14" x14ac:dyDescent="0.3">
      <c r="A1630" s="1">
        <v>38191</v>
      </c>
      <c r="B1630">
        <v>10275</v>
      </c>
      <c r="C1630">
        <v>119</v>
      </c>
      <c r="D1630" t="s">
        <v>196</v>
      </c>
      <c r="E1630" t="s">
        <v>144</v>
      </c>
      <c r="F1630" t="s">
        <v>102</v>
      </c>
      <c r="G1630" t="s">
        <v>105</v>
      </c>
      <c r="H1630">
        <v>36</v>
      </c>
      <c r="I1630" s="2">
        <v>154.93</v>
      </c>
      <c r="J1630" s="2">
        <v>91.02</v>
      </c>
      <c r="K1630" s="2">
        <v>5577.48</v>
      </c>
      <c r="L1630" s="2">
        <v>3276.72</v>
      </c>
      <c r="M1630" s="2">
        <v>2300.7600000000002</v>
      </c>
      <c r="N1630">
        <v>1</v>
      </c>
    </row>
    <row r="1631" spans="1:14" x14ac:dyDescent="0.3">
      <c r="A1631" s="1">
        <v>38191</v>
      </c>
      <c r="B1631">
        <v>10275</v>
      </c>
      <c r="C1631">
        <v>119</v>
      </c>
      <c r="D1631" t="s">
        <v>196</v>
      </c>
      <c r="E1631" t="s">
        <v>144</v>
      </c>
      <c r="F1631" t="s">
        <v>83</v>
      </c>
      <c r="G1631" t="s">
        <v>85</v>
      </c>
      <c r="H1631">
        <v>35</v>
      </c>
      <c r="I1631" s="2">
        <v>70.12</v>
      </c>
      <c r="J1631" s="2">
        <v>49</v>
      </c>
      <c r="K1631" s="2">
        <v>2454.1999999999998</v>
      </c>
      <c r="L1631" s="2">
        <v>1715</v>
      </c>
      <c r="M1631" s="2">
        <v>739.2</v>
      </c>
      <c r="N1631">
        <v>1</v>
      </c>
    </row>
    <row r="1632" spans="1:14" x14ac:dyDescent="0.3">
      <c r="A1632" s="1">
        <v>38191</v>
      </c>
      <c r="B1632">
        <v>10275</v>
      </c>
      <c r="C1632">
        <v>119</v>
      </c>
      <c r="D1632" t="s">
        <v>196</v>
      </c>
      <c r="E1632" t="s">
        <v>144</v>
      </c>
      <c r="F1632" t="s">
        <v>102</v>
      </c>
      <c r="G1632" t="s">
        <v>107</v>
      </c>
      <c r="H1632">
        <v>37</v>
      </c>
      <c r="I1632" s="2">
        <v>52.09</v>
      </c>
      <c r="J1632" s="2">
        <v>24.23</v>
      </c>
      <c r="K1632" s="2">
        <v>1927.33</v>
      </c>
      <c r="L1632" s="2">
        <v>896.51</v>
      </c>
      <c r="M1632" s="2">
        <v>1030.82</v>
      </c>
      <c r="N1632">
        <v>1</v>
      </c>
    </row>
    <row r="1633" spans="1:14" x14ac:dyDescent="0.3">
      <c r="A1633" s="1">
        <v>38191</v>
      </c>
      <c r="B1633">
        <v>10275</v>
      </c>
      <c r="C1633">
        <v>119</v>
      </c>
      <c r="D1633" t="s">
        <v>196</v>
      </c>
      <c r="E1633" t="s">
        <v>144</v>
      </c>
      <c r="F1633" t="s">
        <v>102</v>
      </c>
      <c r="G1633" t="s">
        <v>108</v>
      </c>
      <c r="H1633">
        <v>21</v>
      </c>
      <c r="I1633" s="2">
        <v>105.94</v>
      </c>
      <c r="J1633" s="2">
        <v>60.86</v>
      </c>
      <c r="K1633" s="2">
        <v>2224.7399999999998</v>
      </c>
      <c r="L1633" s="2">
        <v>1278.06</v>
      </c>
      <c r="M1633" s="2">
        <v>946.68</v>
      </c>
      <c r="N1633">
        <v>1</v>
      </c>
    </row>
    <row r="1634" spans="1:14" x14ac:dyDescent="0.3">
      <c r="A1634" s="1">
        <v>38191</v>
      </c>
      <c r="B1634">
        <v>10275</v>
      </c>
      <c r="C1634">
        <v>119</v>
      </c>
      <c r="D1634" t="s">
        <v>196</v>
      </c>
      <c r="E1634" t="s">
        <v>144</v>
      </c>
      <c r="F1634" t="s">
        <v>83</v>
      </c>
      <c r="G1634" t="s">
        <v>88</v>
      </c>
      <c r="H1634">
        <v>25</v>
      </c>
      <c r="I1634" s="2">
        <v>97.38</v>
      </c>
      <c r="J1634" s="2">
        <v>66.739999999999995</v>
      </c>
      <c r="K1634" s="2">
        <v>2434.5</v>
      </c>
      <c r="L1634" s="2">
        <v>1668.5</v>
      </c>
      <c r="M1634" s="2">
        <v>766</v>
      </c>
      <c r="N1634">
        <v>1</v>
      </c>
    </row>
    <row r="1635" spans="1:14" x14ac:dyDescent="0.3">
      <c r="A1635" s="1">
        <v>38191</v>
      </c>
      <c r="B1635">
        <v>10275</v>
      </c>
      <c r="C1635">
        <v>119</v>
      </c>
      <c r="D1635" t="s">
        <v>196</v>
      </c>
      <c r="E1635" t="s">
        <v>144</v>
      </c>
      <c r="F1635" t="s">
        <v>102</v>
      </c>
      <c r="G1635" t="s">
        <v>109</v>
      </c>
      <c r="H1635">
        <v>30</v>
      </c>
      <c r="I1635" s="2">
        <v>61.7</v>
      </c>
      <c r="J1635" s="2">
        <v>37.32</v>
      </c>
      <c r="K1635" s="2">
        <v>1851</v>
      </c>
      <c r="L1635" s="2">
        <v>1119.5999999999999</v>
      </c>
      <c r="M1635" s="2">
        <v>731.4</v>
      </c>
      <c r="N1635">
        <v>1</v>
      </c>
    </row>
    <row r="1636" spans="1:14" x14ac:dyDescent="0.3">
      <c r="A1636" s="1">
        <v>38191</v>
      </c>
      <c r="B1636">
        <v>10275</v>
      </c>
      <c r="C1636">
        <v>119</v>
      </c>
      <c r="D1636" t="s">
        <v>196</v>
      </c>
      <c r="E1636" t="s">
        <v>144</v>
      </c>
      <c r="F1636" t="s">
        <v>83</v>
      </c>
      <c r="G1636" t="s">
        <v>91</v>
      </c>
      <c r="H1636">
        <v>41</v>
      </c>
      <c r="I1636" s="2">
        <v>58</v>
      </c>
      <c r="J1636" s="2">
        <v>29.34</v>
      </c>
      <c r="K1636" s="2">
        <v>2378</v>
      </c>
      <c r="L1636" s="2">
        <v>1202.94</v>
      </c>
      <c r="M1636" s="2">
        <v>1175.06</v>
      </c>
      <c r="N1636">
        <v>1</v>
      </c>
    </row>
    <row r="1637" spans="1:14" x14ac:dyDescent="0.3">
      <c r="A1637" s="1">
        <v>38191</v>
      </c>
      <c r="B1637">
        <v>10275</v>
      </c>
      <c r="C1637">
        <v>119</v>
      </c>
      <c r="D1637" t="s">
        <v>196</v>
      </c>
      <c r="E1637" t="s">
        <v>144</v>
      </c>
      <c r="F1637" t="s">
        <v>83</v>
      </c>
      <c r="G1637" t="s">
        <v>92</v>
      </c>
      <c r="H1637">
        <v>27</v>
      </c>
      <c r="I1637" s="2">
        <v>67.38</v>
      </c>
      <c r="J1637" s="2">
        <v>36.229999999999997</v>
      </c>
      <c r="K1637" s="2">
        <v>1819.26</v>
      </c>
      <c r="L1637" s="2">
        <v>978.21</v>
      </c>
      <c r="M1637" s="2">
        <v>841.05</v>
      </c>
      <c r="N1637">
        <v>1</v>
      </c>
    </row>
    <row r="1638" spans="1:14" x14ac:dyDescent="0.3">
      <c r="A1638" s="1">
        <v>38191</v>
      </c>
      <c r="B1638">
        <v>10275</v>
      </c>
      <c r="C1638">
        <v>119</v>
      </c>
      <c r="D1638" t="s">
        <v>196</v>
      </c>
      <c r="E1638" t="s">
        <v>144</v>
      </c>
      <c r="F1638" t="s">
        <v>102</v>
      </c>
      <c r="G1638" t="s">
        <v>110</v>
      </c>
      <c r="H1638">
        <v>23</v>
      </c>
      <c r="I1638" s="2">
        <v>89.9</v>
      </c>
      <c r="J1638" s="2">
        <v>66.92</v>
      </c>
      <c r="K1638" s="2">
        <v>2067.6999999999998</v>
      </c>
      <c r="L1638" s="2">
        <v>1539.16</v>
      </c>
      <c r="M1638" s="2">
        <v>528.54</v>
      </c>
      <c r="N1638">
        <v>1</v>
      </c>
    </row>
    <row r="1639" spans="1:14" x14ac:dyDescent="0.3">
      <c r="A1639" s="1">
        <v>38191</v>
      </c>
      <c r="B1639">
        <v>10275</v>
      </c>
      <c r="C1639">
        <v>119</v>
      </c>
      <c r="D1639" t="s">
        <v>196</v>
      </c>
      <c r="E1639" t="s">
        <v>144</v>
      </c>
      <c r="F1639" t="s">
        <v>15</v>
      </c>
      <c r="G1639" t="s">
        <v>93</v>
      </c>
      <c r="H1639">
        <v>28</v>
      </c>
      <c r="I1639" s="2">
        <v>58.47</v>
      </c>
      <c r="J1639" s="2">
        <v>33.020000000000003</v>
      </c>
      <c r="K1639" s="2">
        <v>1637.16</v>
      </c>
      <c r="L1639" s="2">
        <v>924.56</v>
      </c>
      <c r="M1639" s="2">
        <v>712.6</v>
      </c>
      <c r="N1639">
        <v>1</v>
      </c>
    </row>
    <row r="1640" spans="1:14" x14ac:dyDescent="0.3">
      <c r="A1640" s="1">
        <v>38191</v>
      </c>
      <c r="B1640">
        <v>10275</v>
      </c>
      <c r="C1640">
        <v>119</v>
      </c>
      <c r="D1640" t="s">
        <v>196</v>
      </c>
      <c r="E1640" t="s">
        <v>144</v>
      </c>
      <c r="F1640" t="s">
        <v>15</v>
      </c>
      <c r="G1640" t="s">
        <v>94</v>
      </c>
      <c r="H1640">
        <v>38</v>
      </c>
      <c r="I1640" s="2">
        <v>40.15</v>
      </c>
      <c r="J1640" s="2">
        <v>27.06</v>
      </c>
      <c r="K1640" s="2">
        <v>1525.7</v>
      </c>
      <c r="L1640" s="2">
        <v>1028.28</v>
      </c>
      <c r="M1640" s="2">
        <v>497.42</v>
      </c>
      <c r="N1640">
        <v>1</v>
      </c>
    </row>
    <row r="1641" spans="1:14" x14ac:dyDescent="0.3">
      <c r="A1641" s="1">
        <v>38191</v>
      </c>
      <c r="B1641">
        <v>10275</v>
      </c>
      <c r="C1641">
        <v>119</v>
      </c>
      <c r="D1641" t="s">
        <v>196</v>
      </c>
      <c r="E1641" t="s">
        <v>144</v>
      </c>
      <c r="F1641" t="s">
        <v>83</v>
      </c>
      <c r="G1641" t="s">
        <v>95</v>
      </c>
      <c r="H1641">
        <v>32</v>
      </c>
      <c r="I1641" s="2">
        <v>85.86</v>
      </c>
      <c r="J1641" s="2">
        <v>51.15</v>
      </c>
      <c r="K1641" s="2">
        <v>2747.52</v>
      </c>
      <c r="L1641" s="2">
        <v>1636.8</v>
      </c>
      <c r="M1641" s="2">
        <v>1110.72</v>
      </c>
      <c r="N1641">
        <v>1</v>
      </c>
    </row>
    <row r="1642" spans="1:14" x14ac:dyDescent="0.3">
      <c r="A1642" s="1">
        <v>38191</v>
      </c>
      <c r="B1642">
        <v>10275</v>
      </c>
      <c r="C1642">
        <v>119</v>
      </c>
      <c r="D1642" t="s">
        <v>196</v>
      </c>
      <c r="E1642" t="s">
        <v>144</v>
      </c>
      <c r="F1642" t="s">
        <v>83</v>
      </c>
      <c r="G1642" t="s">
        <v>97</v>
      </c>
      <c r="H1642">
        <v>39</v>
      </c>
      <c r="I1642" s="2">
        <v>82.77</v>
      </c>
      <c r="J1642" s="2">
        <v>68.8</v>
      </c>
      <c r="K1642" s="2">
        <v>3228.03</v>
      </c>
      <c r="L1642" s="2">
        <v>2683.2</v>
      </c>
      <c r="M1642" s="2">
        <v>544.83000000000004</v>
      </c>
      <c r="N1642">
        <v>1</v>
      </c>
    </row>
    <row r="1643" spans="1:14" x14ac:dyDescent="0.3">
      <c r="A1643" s="1">
        <v>38191</v>
      </c>
      <c r="B1643">
        <v>10275</v>
      </c>
      <c r="C1643">
        <v>119</v>
      </c>
      <c r="D1643" t="s">
        <v>196</v>
      </c>
      <c r="E1643" t="s">
        <v>144</v>
      </c>
      <c r="F1643" t="s">
        <v>83</v>
      </c>
      <c r="G1643" t="s">
        <v>98</v>
      </c>
      <c r="H1643">
        <v>48</v>
      </c>
      <c r="I1643" s="2">
        <v>102.04</v>
      </c>
      <c r="J1643" s="2">
        <v>59.33</v>
      </c>
      <c r="K1643" s="2">
        <v>4897.92</v>
      </c>
      <c r="L1643" s="2">
        <v>2847.84</v>
      </c>
      <c r="M1643" s="2">
        <v>2050.08</v>
      </c>
      <c r="N1643">
        <v>1</v>
      </c>
    </row>
    <row r="1644" spans="1:14" x14ac:dyDescent="0.3">
      <c r="A1644" s="1">
        <v>38191</v>
      </c>
      <c r="B1644">
        <v>10275</v>
      </c>
      <c r="C1644">
        <v>119</v>
      </c>
      <c r="D1644" t="s">
        <v>196</v>
      </c>
      <c r="E1644" t="s">
        <v>144</v>
      </c>
      <c r="F1644" t="s">
        <v>83</v>
      </c>
      <c r="G1644" t="s">
        <v>99</v>
      </c>
      <c r="H1644">
        <v>43</v>
      </c>
      <c r="I1644" s="2">
        <v>72</v>
      </c>
      <c r="J1644" s="2">
        <v>54.4</v>
      </c>
      <c r="K1644" s="2">
        <v>3096</v>
      </c>
      <c r="L1644" s="2">
        <v>2339.1999999999998</v>
      </c>
      <c r="M1644" s="2">
        <v>756.8</v>
      </c>
      <c r="N1644">
        <v>1</v>
      </c>
    </row>
    <row r="1645" spans="1:14" x14ac:dyDescent="0.3">
      <c r="A1645" s="1">
        <v>38191</v>
      </c>
      <c r="B1645">
        <v>10275</v>
      </c>
      <c r="C1645">
        <v>119</v>
      </c>
      <c r="D1645" t="s">
        <v>196</v>
      </c>
      <c r="E1645" t="s">
        <v>144</v>
      </c>
      <c r="F1645" t="s">
        <v>83</v>
      </c>
      <c r="G1645" t="s">
        <v>100</v>
      </c>
      <c r="H1645">
        <v>31</v>
      </c>
      <c r="I1645" s="2">
        <v>59.96</v>
      </c>
      <c r="J1645" s="2">
        <v>36.270000000000003</v>
      </c>
      <c r="K1645" s="2">
        <v>1858.76</v>
      </c>
      <c r="L1645" s="2">
        <v>1124.3699999999999</v>
      </c>
      <c r="M1645" s="2">
        <v>734.39</v>
      </c>
      <c r="N1645">
        <v>1</v>
      </c>
    </row>
    <row r="1646" spans="1:14" x14ac:dyDescent="0.3">
      <c r="A1646" s="1">
        <v>38201</v>
      </c>
      <c r="B1646">
        <v>10276</v>
      </c>
      <c r="C1646">
        <v>204</v>
      </c>
      <c r="D1646" t="s">
        <v>197</v>
      </c>
      <c r="E1646" t="s">
        <v>14</v>
      </c>
      <c r="F1646" t="s">
        <v>29</v>
      </c>
      <c r="G1646" t="s">
        <v>112</v>
      </c>
      <c r="H1646">
        <v>50</v>
      </c>
      <c r="I1646" s="2">
        <v>184.84</v>
      </c>
      <c r="J1646" s="2">
        <v>95.34</v>
      </c>
      <c r="K1646" s="2">
        <v>9242</v>
      </c>
      <c r="L1646" s="2">
        <v>4767</v>
      </c>
      <c r="M1646" s="2">
        <v>4475</v>
      </c>
      <c r="N1646">
        <v>1</v>
      </c>
    </row>
    <row r="1647" spans="1:14" x14ac:dyDescent="0.3">
      <c r="A1647" s="1">
        <v>38201</v>
      </c>
      <c r="B1647">
        <v>10276</v>
      </c>
      <c r="C1647">
        <v>204</v>
      </c>
      <c r="D1647" t="s">
        <v>197</v>
      </c>
      <c r="E1647" t="s">
        <v>14</v>
      </c>
      <c r="F1647" t="s">
        <v>102</v>
      </c>
      <c r="G1647" t="s">
        <v>106</v>
      </c>
      <c r="H1647">
        <v>43</v>
      </c>
      <c r="I1647" s="2">
        <v>150.62</v>
      </c>
      <c r="J1647" s="2">
        <v>66.27</v>
      </c>
      <c r="K1647" s="2">
        <v>6476.66</v>
      </c>
      <c r="L1647" s="2">
        <v>2849.61</v>
      </c>
      <c r="M1647" s="2">
        <v>3627.05</v>
      </c>
      <c r="N1647">
        <v>1</v>
      </c>
    </row>
    <row r="1648" spans="1:14" x14ac:dyDescent="0.3">
      <c r="A1648" s="1">
        <v>38201</v>
      </c>
      <c r="B1648">
        <v>10276</v>
      </c>
      <c r="C1648">
        <v>204</v>
      </c>
      <c r="D1648" t="s">
        <v>197</v>
      </c>
      <c r="E1648" t="s">
        <v>14</v>
      </c>
      <c r="F1648" t="s">
        <v>29</v>
      </c>
      <c r="G1648" t="s">
        <v>113</v>
      </c>
      <c r="H1648">
        <v>47</v>
      </c>
      <c r="I1648" s="2">
        <v>104.52</v>
      </c>
      <c r="J1648" s="2">
        <v>75.16</v>
      </c>
      <c r="K1648" s="2">
        <v>4912.4399999999996</v>
      </c>
      <c r="L1648" s="2">
        <v>3532.52</v>
      </c>
      <c r="M1648" s="2">
        <v>1379.92</v>
      </c>
      <c r="N1648">
        <v>1</v>
      </c>
    </row>
    <row r="1649" spans="1:14" x14ac:dyDescent="0.3">
      <c r="A1649" s="1">
        <v>38201</v>
      </c>
      <c r="B1649">
        <v>10276</v>
      </c>
      <c r="C1649">
        <v>204</v>
      </c>
      <c r="D1649" t="s">
        <v>197</v>
      </c>
      <c r="E1649" t="s">
        <v>14</v>
      </c>
      <c r="F1649" t="s">
        <v>29</v>
      </c>
      <c r="G1649" t="s">
        <v>114</v>
      </c>
      <c r="H1649">
        <v>38</v>
      </c>
      <c r="I1649" s="2">
        <v>67.83</v>
      </c>
      <c r="J1649" s="2">
        <v>31.92</v>
      </c>
      <c r="K1649" s="2">
        <v>2577.54</v>
      </c>
      <c r="L1649" s="2">
        <v>1212.96</v>
      </c>
      <c r="M1649" s="2">
        <v>1364.58</v>
      </c>
      <c r="N1649">
        <v>1</v>
      </c>
    </row>
    <row r="1650" spans="1:14" x14ac:dyDescent="0.3">
      <c r="A1650" s="1">
        <v>38201</v>
      </c>
      <c r="B1650">
        <v>10276</v>
      </c>
      <c r="C1650">
        <v>204</v>
      </c>
      <c r="D1650" t="s">
        <v>197</v>
      </c>
      <c r="E1650" t="s">
        <v>14</v>
      </c>
      <c r="F1650" t="s">
        <v>29</v>
      </c>
      <c r="G1650" t="s">
        <v>117</v>
      </c>
      <c r="H1650">
        <v>38</v>
      </c>
      <c r="I1650" s="2">
        <v>78</v>
      </c>
      <c r="J1650" s="2">
        <v>49.05</v>
      </c>
      <c r="K1650" s="2">
        <v>2964</v>
      </c>
      <c r="L1650" s="2">
        <v>1863.9</v>
      </c>
      <c r="M1650" s="2">
        <v>1100.0999999999999</v>
      </c>
      <c r="N1650">
        <v>1</v>
      </c>
    </row>
    <row r="1651" spans="1:14" x14ac:dyDescent="0.3">
      <c r="A1651" s="1">
        <v>38201</v>
      </c>
      <c r="B1651">
        <v>10276</v>
      </c>
      <c r="C1651">
        <v>204</v>
      </c>
      <c r="D1651" t="s">
        <v>197</v>
      </c>
      <c r="E1651" t="s">
        <v>14</v>
      </c>
      <c r="F1651" t="s">
        <v>29</v>
      </c>
      <c r="G1651" t="s">
        <v>118</v>
      </c>
      <c r="H1651">
        <v>30</v>
      </c>
      <c r="I1651" s="2">
        <v>139.63999999999999</v>
      </c>
      <c r="J1651" s="2">
        <v>73.489999999999995</v>
      </c>
      <c r="K1651" s="2">
        <v>4189.2</v>
      </c>
      <c r="L1651" s="2">
        <v>2204.6999999999998</v>
      </c>
      <c r="M1651" s="2">
        <v>1984.5</v>
      </c>
      <c r="N1651">
        <v>1</v>
      </c>
    </row>
    <row r="1652" spans="1:14" x14ac:dyDescent="0.3">
      <c r="A1652" s="1">
        <v>38201</v>
      </c>
      <c r="B1652">
        <v>10276</v>
      </c>
      <c r="C1652">
        <v>204</v>
      </c>
      <c r="D1652" t="s">
        <v>197</v>
      </c>
      <c r="E1652" t="s">
        <v>14</v>
      </c>
      <c r="F1652" t="s">
        <v>102</v>
      </c>
      <c r="G1652" t="s">
        <v>119</v>
      </c>
      <c r="H1652">
        <v>33</v>
      </c>
      <c r="I1652" s="2">
        <v>54.71</v>
      </c>
      <c r="J1652" s="2">
        <v>32.950000000000003</v>
      </c>
      <c r="K1652" s="2">
        <v>1805.43</v>
      </c>
      <c r="L1652" s="2">
        <v>1087.3499999999999</v>
      </c>
      <c r="M1652" s="2">
        <v>718.08</v>
      </c>
      <c r="N1652">
        <v>1</v>
      </c>
    </row>
    <row r="1653" spans="1:14" x14ac:dyDescent="0.3">
      <c r="A1653" s="1">
        <v>38201</v>
      </c>
      <c r="B1653">
        <v>10276</v>
      </c>
      <c r="C1653">
        <v>204</v>
      </c>
      <c r="D1653" t="s">
        <v>197</v>
      </c>
      <c r="E1653" t="s">
        <v>14</v>
      </c>
      <c r="F1653" t="s">
        <v>29</v>
      </c>
      <c r="G1653" t="s">
        <v>120</v>
      </c>
      <c r="H1653">
        <v>48</v>
      </c>
      <c r="I1653" s="2">
        <v>120.53</v>
      </c>
      <c r="J1653" s="2">
        <v>69.930000000000007</v>
      </c>
      <c r="K1653" s="2">
        <v>5785.44</v>
      </c>
      <c r="L1653" s="2">
        <v>3356.64</v>
      </c>
      <c r="M1653" s="2">
        <v>2428.8000000000002</v>
      </c>
      <c r="N1653">
        <v>1</v>
      </c>
    </row>
    <row r="1654" spans="1:14" x14ac:dyDescent="0.3">
      <c r="A1654" s="1">
        <v>38201</v>
      </c>
      <c r="B1654">
        <v>10276</v>
      </c>
      <c r="C1654">
        <v>204</v>
      </c>
      <c r="D1654" t="s">
        <v>197</v>
      </c>
      <c r="E1654" t="s">
        <v>14</v>
      </c>
      <c r="F1654" t="s">
        <v>102</v>
      </c>
      <c r="G1654" t="s">
        <v>121</v>
      </c>
      <c r="H1654">
        <v>46</v>
      </c>
      <c r="I1654" s="2">
        <v>61.64</v>
      </c>
      <c r="J1654" s="2">
        <v>47.1</v>
      </c>
      <c r="K1654" s="2">
        <v>2835.44</v>
      </c>
      <c r="L1654" s="2">
        <v>2166.6</v>
      </c>
      <c r="M1654" s="2">
        <v>668.84</v>
      </c>
      <c r="N1654">
        <v>1</v>
      </c>
    </row>
    <row r="1655" spans="1:14" x14ac:dyDescent="0.3">
      <c r="A1655" s="1">
        <v>38201</v>
      </c>
      <c r="B1655">
        <v>10276</v>
      </c>
      <c r="C1655">
        <v>204</v>
      </c>
      <c r="D1655" t="s">
        <v>197</v>
      </c>
      <c r="E1655" t="s">
        <v>14</v>
      </c>
      <c r="F1655" t="s">
        <v>29</v>
      </c>
      <c r="G1655" t="s">
        <v>122</v>
      </c>
      <c r="H1655">
        <v>20</v>
      </c>
      <c r="I1655" s="2">
        <v>58.17</v>
      </c>
      <c r="J1655" s="2">
        <v>38.58</v>
      </c>
      <c r="K1655" s="2">
        <v>1163.4000000000001</v>
      </c>
      <c r="L1655" s="2">
        <v>771.6</v>
      </c>
      <c r="M1655" s="2">
        <v>391.8</v>
      </c>
      <c r="N1655">
        <v>1</v>
      </c>
    </row>
    <row r="1656" spans="1:14" x14ac:dyDescent="0.3">
      <c r="A1656" s="1">
        <v>38201</v>
      </c>
      <c r="B1656">
        <v>10276</v>
      </c>
      <c r="C1656">
        <v>204</v>
      </c>
      <c r="D1656" t="s">
        <v>197</v>
      </c>
      <c r="E1656" t="s">
        <v>14</v>
      </c>
      <c r="F1656" t="s">
        <v>29</v>
      </c>
      <c r="G1656" t="s">
        <v>124</v>
      </c>
      <c r="H1656">
        <v>48</v>
      </c>
      <c r="I1656" s="2">
        <v>67.099999999999994</v>
      </c>
      <c r="J1656" s="2">
        <v>32.33</v>
      </c>
      <c r="K1656" s="2">
        <v>3220.8</v>
      </c>
      <c r="L1656" s="2">
        <v>1551.84</v>
      </c>
      <c r="M1656" s="2">
        <v>1668.96</v>
      </c>
      <c r="N1656">
        <v>1</v>
      </c>
    </row>
    <row r="1657" spans="1:14" x14ac:dyDescent="0.3">
      <c r="A1657" s="1">
        <v>38201</v>
      </c>
      <c r="B1657">
        <v>10276</v>
      </c>
      <c r="C1657">
        <v>204</v>
      </c>
      <c r="D1657" t="s">
        <v>197</v>
      </c>
      <c r="E1657" t="s">
        <v>14</v>
      </c>
      <c r="F1657" t="s">
        <v>102</v>
      </c>
      <c r="G1657" t="s">
        <v>125</v>
      </c>
      <c r="H1657">
        <v>27</v>
      </c>
      <c r="I1657" s="2">
        <v>35.4</v>
      </c>
      <c r="J1657" s="2">
        <v>24.14</v>
      </c>
      <c r="K1657" s="2">
        <v>955.8</v>
      </c>
      <c r="L1657" s="2">
        <v>651.78</v>
      </c>
      <c r="M1657" s="2">
        <v>304.02</v>
      </c>
      <c r="N1657">
        <v>1</v>
      </c>
    </row>
    <row r="1658" spans="1:14" x14ac:dyDescent="0.3">
      <c r="A1658" s="1">
        <v>38201</v>
      </c>
      <c r="B1658">
        <v>10276</v>
      </c>
      <c r="C1658">
        <v>204</v>
      </c>
      <c r="D1658" t="s">
        <v>197</v>
      </c>
      <c r="E1658" t="s">
        <v>14</v>
      </c>
      <c r="F1658" t="s">
        <v>102</v>
      </c>
      <c r="G1658" t="s">
        <v>126</v>
      </c>
      <c r="H1658">
        <v>38</v>
      </c>
      <c r="I1658" s="2">
        <v>94.91</v>
      </c>
      <c r="J1658" s="2">
        <v>56.13</v>
      </c>
      <c r="K1658" s="2">
        <v>3606.58</v>
      </c>
      <c r="L1658" s="2">
        <v>2132.94</v>
      </c>
      <c r="M1658" s="2">
        <v>1473.64</v>
      </c>
      <c r="N1658">
        <v>1</v>
      </c>
    </row>
    <row r="1659" spans="1:14" x14ac:dyDescent="0.3">
      <c r="A1659" s="1">
        <v>38201</v>
      </c>
      <c r="B1659">
        <v>10276</v>
      </c>
      <c r="C1659">
        <v>204</v>
      </c>
      <c r="D1659" t="s">
        <v>197</v>
      </c>
      <c r="E1659" t="s">
        <v>14</v>
      </c>
      <c r="F1659" t="s">
        <v>102</v>
      </c>
      <c r="G1659" t="s">
        <v>127</v>
      </c>
      <c r="H1659">
        <v>21</v>
      </c>
      <c r="I1659" s="2">
        <v>67.53</v>
      </c>
      <c r="J1659" s="2">
        <v>34.17</v>
      </c>
      <c r="K1659" s="2">
        <v>1418.13</v>
      </c>
      <c r="L1659" s="2">
        <v>717.57</v>
      </c>
      <c r="M1659" s="2">
        <v>700.56</v>
      </c>
      <c r="N1659">
        <v>1</v>
      </c>
    </row>
    <row r="1660" spans="1:14" x14ac:dyDescent="0.3">
      <c r="A1660" s="1">
        <v>38203</v>
      </c>
      <c r="B1660">
        <v>10277</v>
      </c>
      <c r="C1660">
        <v>148</v>
      </c>
      <c r="D1660" t="s">
        <v>209</v>
      </c>
      <c r="E1660" t="s">
        <v>147</v>
      </c>
      <c r="F1660" t="s">
        <v>29</v>
      </c>
      <c r="G1660" t="s">
        <v>115</v>
      </c>
      <c r="H1660">
        <v>28</v>
      </c>
      <c r="I1660" s="2">
        <v>93.28</v>
      </c>
      <c r="J1660" s="2">
        <v>58.73</v>
      </c>
      <c r="K1660" s="2">
        <v>2611.84</v>
      </c>
      <c r="L1660" s="2">
        <v>1644.44</v>
      </c>
      <c r="M1660" s="2">
        <v>967.4</v>
      </c>
      <c r="N1660">
        <v>4</v>
      </c>
    </row>
    <row r="1661" spans="1:14" x14ac:dyDescent="0.3">
      <c r="A1661" s="1">
        <v>38205</v>
      </c>
      <c r="B1661">
        <v>10278</v>
      </c>
      <c r="C1661">
        <v>112</v>
      </c>
      <c r="D1661" t="s">
        <v>155</v>
      </c>
      <c r="E1661" t="s">
        <v>14</v>
      </c>
      <c r="F1661" t="s">
        <v>29</v>
      </c>
      <c r="G1661" t="s">
        <v>128</v>
      </c>
      <c r="H1661">
        <v>34</v>
      </c>
      <c r="I1661" s="2">
        <v>114.65</v>
      </c>
      <c r="J1661" s="2">
        <v>83.51</v>
      </c>
      <c r="K1661" s="2">
        <v>3898.1</v>
      </c>
      <c r="L1661" s="2">
        <v>2839.34</v>
      </c>
      <c r="M1661" s="2">
        <v>1058.76</v>
      </c>
      <c r="N1661">
        <v>2</v>
      </c>
    </row>
    <row r="1662" spans="1:14" x14ac:dyDescent="0.3">
      <c r="A1662" s="1">
        <v>38205</v>
      </c>
      <c r="B1662">
        <v>10278</v>
      </c>
      <c r="C1662">
        <v>112</v>
      </c>
      <c r="D1662" t="s">
        <v>155</v>
      </c>
      <c r="E1662" t="s">
        <v>14</v>
      </c>
      <c r="F1662" t="s">
        <v>29</v>
      </c>
      <c r="G1662" t="s">
        <v>134</v>
      </c>
      <c r="H1662">
        <v>23</v>
      </c>
      <c r="I1662" s="2">
        <v>107.02</v>
      </c>
      <c r="J1662" s="2">
        <v>65.959999999999994</v>
      </c>
      <c r="K1662" s="2">
        <v>2461.46</v>
      </c>
      <c r="L1662" s="2">
        <v>1517.08</v>
      </c>
      <c r="M1662" s="2">
        <v>944.38</v>
      </c>
      <c r="N1662">
        <v>2</v>
      </c>
    </row>
    <row r="1663" spans="1:14" x14ac:dyDescent="0.3">
      <c r="A1663" s="1">
        <v>38205</v>
      </c>
      <c r="B1663">
        <v>10278</v>
      </c>
      <c r="C1663">
        <v>112</v>
      </c>
      <c r="D1663" t="s">
        <v>155</v>
      </c>
      <c r="E1663" t="s">
        <v>14</v>
      </c>
      <c r="F1663" t="s">
        <v>29</v>
      </c>
      <c r="G1663" t="s">
        <v>116</v>
      </c>
      <c r="H1663">
        <v>29</v>
      </c>
      <c r="I1663" s="2">
        <v>73.150000000000006</v>
      </c>
      <c r="J1663" s="2">
        <v>53.9</v>
      </c>
      <c r="K1663" s="2">
        <v>2121.35</v>
      </c>
      <c r="L1663" s="2">
        <v>1563.1</v>
      </c>
      <c r="M1663" s="2">
        <v>558.25</v>
      </c>
      <c r="N1663">
        <v>2</v>
      </c>
    </row>
    <row r="1664" spans="1:14" x14ac:dyDescent="0.3">
      <c r="A1664" s="1">
        <v>38205</v>
      </c>
      <c r="B1664">
        <v>10278</v>
      </c>
      <c r="C1664">
        <v>112</v>
      </c>
      <c r="D1664" t="s">
        <v>155</v>
      </c>
      <c r="E1664" t="s">
        <v>14</v>
      </c>
      <c r="F1664" t="s">
        <v>29</v>
      </c>
      <c r="G1664" t="s">
        <v>129</v>
      </c>
      <c r="H1664">
        <v>29</v>
      </c>
      <c r="I1664" s="2">
        <v>118.07</v>
      </c>
      <c r="J1664" s="2">
        <v>93.89</v>
      </c>
      <c r="K1664" s="2">
        <v>3424.03</v>
      </c>
      <c r="L1664" s="2">
        <v>2722.81</v>
      </c>
      <c r="M1664" s="2">
        <v>701.22</v>
      </c>
      <c r="N1664">
        <v>2</v>
      </c>
    </row>
    <row r="1665" spans="1:14" x14ac:dyDescent="0.3">
      <c r="A1665" s="1">
        <v>38205</v>
      </c>
      <c r="B1665">
        <v>10278</v>
      </c>
      <c r="C1665">
        <v>112</v>
      </c>
      <c r="D1665" t="s">
        <v>155</v>
      </c>
      <c r="E1665" t="s">
        <v>14</v>
      </c>
      <c r="F1665" t="s">
        <v>29</v>
      </c>
      <c r="G1665" t="s">
        <v>130</v>
      </c>
      <c r="H1665">
        <v>39</v>
      </c>
      <c r="I1665" s="2">
        <v>117.48</v>
      </c>
      <c r="J1665" s="2">
        <v>56.76</v>
      </c>
      <c r="K1665" s="2">
        <v>4581.72</v>
      </c>
      <c r="L1665" s="2">
        <v>2213.64</v>
      </c>
      <c r="M1665" s="2">
        <v>2368.08</v>
      </c>
      <c r="N1665">
        <v>2</v>
      </c>
    </row>
    <row r="1666" spans="1:14" x14ac:dyDescent="0.3">
      <c r="A1666" s="1">
        <v>38205</v>
      </c>
      <c r="B1666">
        <v>10278</v>
      </c>
      <c r="C1666">
        <v>112</v>
      </c>
      <c r="D1666" t="s">
        <v>155</v>
      </c>
      <c r="E1666" t="s">
        <v>14</v>
      </c>
      <c r="F1666" t="s">
        <v>29</v>
      </c>
      <c r="G1666" t="s">
        <v>53</v>
      </c>
      <c r="H1666">
        <v>42</v>
      </c>
      <c r="I1666" s="2">
        <v>167.65</v>
      </c>
      <c r="J1666" s="2">
        <v>77.900000000000006</v>
      </c>
      <c r="K1666" s="2">
        <v>7041.3</v>
      </c>
      <c r="L1666" s="2">
        <v>3271.8</v>
      </c>
      <c r="M1666" s="2">
        <v>3769.5</v>
      </c>
      <c r="N1666">
        <v>2</v>
      </c>
    </row>
    <row r="1667" spans="1:14" x14ac:dyDescent="0.3">
      <c r="A1667" s="1">
        <v>38205</v>
      </c>
      <c r="B1667">
        <v>10278</v>
      </c>
      <c r="C1667">
        <v>112</v>
      </c>
      <c r="D1667" t="s">
        <v>155</v>
      </c>
      <c r="E1667" t="s">
        <v>14</v>
      </c>
      <c r="F1667" t="s">
        <v>29</v>
      </c>
      <c r="G1667" t="s">
        <v>131</v>
      </c>
      <c r="H1667">
        <v>31</v>
      </c>
      <c r="I1667" s="2">
        <v>114.44</v>
      </c>
      <c r="J1667" s="2">
        <v>62.16</v>
      </c>
      <c r="K1667" s="2">
        <v>3547.64</v>
      </c>
      <c r="L1667" s="2">
        <v>1926.96</v>
      </c>
      <c r="M1667" s="2">
        <v>1620.68</v>
      </c>
      <c r="N1667">
        <v>2</v>
      </c>
    </row>
    <row r="1668" spans="1:14" x14ac:dyDescent="0.3">
      <c r="A1668" s="1">
        <v>38205</v>
      </c>
      <c r="B1668">
        <v>10278</v>
      </c>
      <c r="C1668">
        <v>112</v>
      </c>
      <c r="D1668" t="s">
        <v>155</v>
      </c>
      <c r="E1668" t="s">
        <v>14</v>
      </c>
      <c r="F1668" t="s">
        <v>29</v>
      </c>
      <c r="G1668" t="s">
        <v>137</v>
      </c>
      <c r="H1668">
        <v>35</v>
      </c>
      <c r="I1668" s="2">
        <v>48.8</v>
      </c>
      <c r="J1668" s="2">
        <v>29.18</v>
      </c>
      <c r="K1668" s="2">
        <v>1708</v>
      </c>
      <c r="L1668" s="2">
        <v>1021.3</v>
      </c>
      <c r="M1668" s="2">
        <v>686.7</v>
      </c>
      <c r="N1668">
        <v>2</v>
      </c>
    </row>
    <row r="1669" spans="1:14" x14ac:dyDescent="0.3">
      <c r="A1669" s="1">
        <v>38205</v>
      </c>
      <c r="B1669">
        <v>10278</v>
      </c>
      <c r="C1669">
        <v>112</v>
      </c>
      <c r="D1669" t="s">
        <v>155</v>
      </c>
      <c r="E1669" t="s">
        <v>14</v>
      </c>
      <c r="F1669" t="s">
        <v>29</v>
      </c>
      <c r="G1669" t="s">
        <v>132</v>
      </c>
      <c r="H1669">
        <v>31</v>
      </c>
      <c r="I1669" s="2">
        <v>37.380000000000003</v>
      </c>
      <c r="J1669" s="2">
        <v>16.239999999999998</v>
      </c>
      <c r="K1669" s="2">
        <v>1158.78</v>
      </c>
      <c r="L1669" s="2">
        <v>503.44</v>
      </c>
      <c r="M1669" s="2">
        <v>655.34</v>
      </c>
      <c r="N1669">
        <v>2</v>
      </c>
    </row>
    <row r="1670" spans="1:14" x14ac:dyDescent="0.3">
      <c r="A1670" s="1">
        <v>38205</v>
      </c>
      <c r="B1670">
        <v>10278</v>
      </c>
      <c r="C1670">
        <v>112</v>
      </c>
      <c r="D1670" t="s">
        <v>155</v>
      </c>
      <c r="E1670" t="s">
        <v>14</v>
      </c>
      <c r="F1670" t="s">
        <v>29</v>
      </c>
      <c r="G1670" t="s">
        <v>123</v>
      </c>
      <c r="H1670">
        <v>25</v>
      </c>
      <c r="I1670" s="2">
        <v>136.22</v>
      </c>
      <c r="J1670" s="2">
        <v>98.3</v>
      </c>
      <c r="K1670" s="2">
        <v>3405.5</v>
      </c>
      <c r="L1670" s="2">
        <v>2457.5</v>
      </c>
      <c r="M1670" s="2">
        <v>948</v>
      </c>
      <c r="N1670">
        <v>2</v>
      </c>
    </row>
    <row r="1671" spans="1:14" x14ac:dyDescent="0.3">
      <c r="A1671" s="1">
        <v>38208</v>
      </c>
      <c r="B1671">
        <v>10279</v>
      </c>
      <c r="C1671">
        <v>141</v>
      </c>
      <c r="D1671" t="s">
        <v>47</v>
      </c>
      <c r="E1671" t="s">
        <v>48</v>
      </c>
      <c r="F1671" t="s">
        <v>29</v>
      </c>
      <c r="G1671" t="s">
        <v>135</v>
      </c>
      <c r="H1671">
        <v>26</v>
      </c>
      <c r="I1671" s="2">
        <v>68.42</v>
      </c>
      <c r="J1671" s="2">
        <v>34.21</v>
      </c>
      <c r="K1671" s="2">
        <v>1778.92</v>
      </c>
      <c r="L1671" s="2">
        <v>889.46</v>
      </c>
      <c r="M1671" s="2">
        <v>889.46</v>
      </c>
      <c r="N1671">
        <v>13</v>
      </c>
    </row>
    <row r="1672" spans="1:14" x14ac:dyDescent="0.3">
      <c r="A1672" s="1">
        <v>38208</v>
      </c>
      <c r="B1672">
        <v>10279</v>
      </c>
      <c r="C1672">
        <v>141</v>
      </c>
      <c r="D1672" t="s">
        <v>47</v>
      </c>
      <c r="E1672" t="s">
        <v>48</v>
      </c>
      <c r="F1672" t="s">
        <v>29</v>
      </c>
      <c r="G1672" t="s">
        <v>136</v>
      </c>
      <c r="H1672">
        <v>32</v>
      </c>
      <c r="I1672" s="2">
        <v>68.349999999999994</v>
      </c>
      <c r="J1672" s="2">
        <v>49.24</v>
      </c>
      <c r="K1672" s="2">
        <v>2187.1999999999998</v>
      </c>
      <c r="L1672" s="2">
        <v>1575.68</v>
      </c>
      <c r="M1672" s="2">
        <v>611.52</v>
      </c>
      <c r="N1672">
        <v>13</v>
      </c>
    </row>
    <row r="1673" spans="1:14" x14ac:dyDescent="0.3">
      <c r="A1673" s="1">
        <v>38208</v>
      </c>
      <c r="B1673">
        <v>10279</v>
      </c>
      <c r="C1673">
        <v>141</v>
      </c>
      <c r="D1673" t="s">
        <v>47</v>
      </c>
      <c r="E1673" t="s">
        <v>48</v>
      </c>
      <c r="F1673" t="s">
        <v>29</v>
      </c>
      <c r="G1673" t="s">
        <v>138</v>
      </c>
      <c r="H1673">
        <v>49</v>
      </c>
      <c r="I1673" s="2">
        <v>76.33</v>
      </c>
      <c r="J1673" s="2">
        <v>47.25</v>
      </c>
      <c r="K1673" s="2">
        <v>3740.17</v>
      </c>
      <c r="L1673" s="2">
        <v>2315.25</v>
      </c>
      <c r="M1673" s="2">
        <v>1424.92</v>
      </c>
      <c r="N1673">
        <v>13</v>
      </c>
    </row>
    <row r="1674" spans="1:14" x14ac:dyDescent="0.3">
      <c r="A1674" s="1">
        <v>38208</v>
      </c>
      <c r="B1674">
        <v>10279</v>
      </c>
      <c r="C1674">
        <v>141</v>
      </c>
      <c r="D1674" t="s">
        <v>47</v>
      </c>
      <c r="E1674" t="s">
        <v>48</v>
      </c>
      <c r="F1674" t="s">
        <v>29</v>
      </c>
      <c r="G1674" t="s">
        <v>139</v>
      </c>
      <c r="H1674">
        <v>48</v>
      </c>
      <c r="I1674" s="2">
        <v>106.87</v>
      </c>
      <c r="J1674" s="2">
        <v>72.819999999999993</v>
      </c>
      <c r="K1674" s="2">
        <v>5129.76</v>
      </c>
      <c r="L1674" s="2">
        <v>3495.36</v>
      </c>
      <c r="M1674" s="2">
        <v>1634.4</v>
      </c>
      <c r="N1674">
        <v>13</v>
      </c>
    </row>
    <row r="1675" spans="1:14" x14ac:dyDescent="0.3">
      <c r="A1675" s="1">
        <v>38208</v>
      </c>
      <c r="B1675">
        <v>10279</v>
      </c>
      <c r="C1675">
        <v>141</v>
      </c>
      <c r="D1675" t="s">
        <v>47</v>
      </c>
      <c r="E1675" t="s">
        <v>48</v>
      </c>
      <c r="F1675" t="s">
        <v>29</v>
      </c>
      <c r="G1675" t="s">
        <v>140</v>
      </c>
      <c r="H1675">
        <v>33</v>
      </c>
      <c r="I1675" s="2">
        <v>78.760000000000005</v>
      </c>
      <c r="J1675" s="2">
        <v>50.51</v>
      </c>
      <c r="K1675" s="2">
        <v>2599.08</v>
      </c>
      <c r="L1675" s="2">
        <v>1666.83</v>
      </c>
      <c r="M1675" s="2">
        <v>932.25</v>
      </c>
      <c r="N1675">
        <v>13</v>
      </c>
    </row>
    <row r="1676" spans="1:14" x14ac:dyDescent="0.3">
      <c r="A1676" s="1">
        <v>38208</v>
      </c>
      <c r="B1676">
        <v>10279</v>
      </c>
      <c r="C1676">
        <v>141</v>
      </c>
      <c r="D1676" t="s">
        <v>47</v>
      </c>
      <c r="E1676" t="s">
        <v>48</v>
      </c>
      <c r="F1676" t="s">
        <v>29</v>
      </c>
      <c r="G1676" t="s">
        <v>141</v>
      </c>
      <c r="H1676">
        <v>48</v>
      </c>
      <c r="I1676" s="2">
        <v>95.3</v>
      </c>
      <c r="J1676" s="2">
        <v>62.11</v>
      </c>
      <c r="K1676" s="2">
        <v>4574.3999999999996</v>
      </c>
      <c r="L1676" s="2">
        <v>2981.28</v>
      </c>
      <c r="M1676" s="2">
        <v>1593.12</v>
      </c>
      <c r="N1676">
        <v>13</v>
      </c>
    </row>
    <row r="1677" spans="1:14" x14ac:dyDescent="0.3">
      <c r="A1677" s="1">
        <v>38216</v>
      </c>
      <c r="B1677">
        <v>10280</v>
      </c>
      <c r="C1677">
        <v>249</v>
      </c>
      <c r="D1677" t="s">
        <v>246</v>
      </c>
      <c r="E1677" t="s">
        <v>82</v>
      </c>
      <c r="F1677" t="s">
        <v>29</v>
      </c>
      <c r="G1677" t="s">
        <v>30</v>
      </c>
      <c r="H1677">
        <v>34</v>
      </c>
      <c r="I1677" s="2">
        <v>205.73</v>
      </c>
      <c r="J1677" s="2">
        <v>98.58</v>
      </c>
      <c r="K1677" s="2">
        <v>6994.82</v>
      </c>
      <c r="L1677" s="2">
        <v>3351.72</v>
      </c>
      <c r="M1677" s="2">
        <v>3643.1</v>
      </c>
      <c r="N1677">
        <v>1</v>
      </c>
    </row>
    <row r="1678" spans="1:14" x14ac:dyDescent="0.3">
      <c r="A1678" s="1">
        <v>38216</v>
      </c>
      <c r="B1678">
        <v>10280</v>
      </c>
      <c r="C1678">
        <v>249</v>
      </c>
      <c r="D1678" t="s">
        <v>246</v>
      </c>
      <c r="E1678" t="s">
        <v>82</v>
      </c>
      <c r="F1678" t="s">
        <v>32</v>
      </c>
      <c r="G1678" t="s">
        <v>34</v>
      </c>
      <c r="H1678">
        <v>24</v>
      </c>
      <c r="I1678" s="2">
        <v>98</v>
      </c>
      <c r="J1678" s="2">
        <v>58.33</v>
      </c>
      <c r="K1678" s="2">
        <v>2352</v>
      </c>
      <c r="L1678" s="2">
        <v>1399.92</v>
      </c>
      <c r="M1678" s="2">
        <v>952.08</v>
      </c>
      <c r="N1678">
        <v>1</v>
      </c>
    </row>
    <row r="1679" spans="1:14" x14ac:dyDescent="0.3">
      <c r="A1679" s="1">
        <v>38216</v>
      </c>
      <c r="B1679">
        <v>10280</v>
      </c>
      <c r="C1679">
        <v>249</v>
      </c>
      <c r="D1679" t="s">
        <v>246</v>
      </c>
      <c r="E1679" t="s">
        <v>82</v>
      </c>
      <c r="F1679" t="s">
        <v>15</v>
      </c>
      <c r="G1679" t="s">
        <v>25</v>
      </c>
      <c r="H1679">
        <v>50</v>
      </c>
      <c r="I1679" s="2">
        <v>87.33</v>
      </c>
      <c r="J1679" s="2">
        <v>60.62</v>
      </c>
      <c r="K1679" s="2">
        <v>4366.5</v>
      </c>
      <c r="L1679" s="2">
        <v>3031</v>
      </c>
      <c r="M1679" s="2">
        <v>1335.5</v>
      </c>
      <c r="N1679">
        <v>1</v>
      </c>
    </row>
    <row r="1680" spans="1:14" x14ac:dyDescent="0.3">
      <c r="A1680" s="1">
        <v>38216</v>
      </c>
      <c r="B1680">
        <v>10280</v>
      </c>
      <c r="C1680">
        <v>249</v>
      </c>
      <c r="D1680" t="s">
        <v>246</v>
      </c>
      <c r="E1680" t="s">
        <v>82</v>
      </c>
      <c r="F1680" t="s">
        <v>15</v>
      </c>
      <c r="G1680" t="s">
        <v>26</v>
      </c>
      <c r="H1680">
        <v>27</v>
      </c>
      <c r="I1680" s="2">
        <v>47.44</v>
      </c>
      <c r="J1680" s="2">
        <v>24.26</v>
      </c>
      <c r="K1680" s="2">
        <v>1280.8800000000001</v>
      </c>
      <c r="L1680" s="2">
        <v>655.02</v>
      </c>
      <c r="M1680" s="2">
        <v>625.86</v>
      </c>
      <c r="N1680">
        <v>1</v>
      </c>
    </row>
    <row r="1681" spans="1:14" x14ac:dyDescent="0.3">
      <c r="A1681" s="1">
        <v>38216</v>
      </c>
      <c r="B1681">
        <v>10280</v>
      </c>
      <c r="C1681">
        <v>249</v>
      </c>
      <c r="D1681" t="s">
        <v>246</v>
      </c>
      <c r="E1681" t="s">
        <v>82</v>
      </c>
      <c r="F1681" t="s">
        <v>15</v>
      </c>
      <c r="G1681" t="s">
        <v>16</v>
      </c>
      <c r="H1681">
        <v>26</v>
      </c>
      <c r="I1681" s="2">
        <v>161.5</v>
      </c>
      <c r="J1681" s="2">
        <v>86.7</v>
      </c>
      <c r="K1681" s="2">
        <v>4199</v>
      </c>
      <c r="L1681" s="2">
        <v>2254.1999999999998</v>
      </c>
      <c r="M1681" s="2">
        <v>1944.8</v>
      </c>
      <c r="N1681">
        <v>1</v>
      </c>
    </row>
    <row r="1682" spans="1:14" x14ac:dyDescent="0.3">
      <c r="A1682" s="1">
        <v>38216</v>
      </c>
      <c r="B1682">
        <v>10280</v>
      </c>
      <c r="C1682">
        <v>249</v>
      </c>
      <c r="D1682" t="s">
        <v>246</v>
      </c>
      <c r="E1682" t="s">
        <v>82</v>
      </c>
      <c r="F1682" t="s">
        <v>15</v>
      </c>
      <c r="G1682" t="s">
        <v>17</v>
      </c>
      <c r="H1682">
        <v>25</v>
      </c>
      <c r="I1682" s="2">
        <v>53.28</v>
      </c>
      <c r="J1682" s="2">
        <v>33.299999999999997</v>
      </c>
      <c r="K1682" s="2">
        <v>1332</v>
      </c>
      <c r="L1682" s="2">
        <v>832.5</v>
      </c>
      <c r="M1682" s="2">
        <v>499.5</v>
      </c>
      <c r="N1682">
        <v>1</v>
      </c>
    </row>
    <row r="1683" spans="1:14" x14ac:dyDescent="0.3">
      <c r="A1683" s="1">
        <v>38216</v>
      </c>
      <c r="B1683">
        <v>10280</v>
      </c>
      <c r="C1683">
        <v>249</v>
      </c>
      <c r="D1683" t="s">
        <v>246</v>
      </c>
      <c r="E1683" t="s">
        <v>82</v>
      </c>
      <c r="F1683" t="s">
        <v>15</v>
      </c>
      <c r="G1683" t="s">
        <v>21</v>
      </c>
      <c r="H1683">
        <v>37</v>
      </c>
      <c r="I1683" s="2">
        <v>109.33</v>
      </c>
      <c r="J1683" s="2">
        <v>58.48</v>
      </c>
      <c r="K1683" s="2">
        <v>4045.21</v>
      </c>
      <c r="L1683" s="2">
        <v>2163.7600000000002</v>
      </c>
      <c r="M1683" s="2">
        <v>1881.45</v>
      </c>
      <c r="N1683">
        <v>1</v>
      </c>
    </row>
    <row r="1684" spans="1:14" x14ac:dyDescent="0.3">
      <c r="A1684" s="1">
        <v>38216</v>
      </c>
      <c r="B1684">
        <v>10280</v>
      </c>
      <c r="C1684">
        <v>249</v>
      </c>
      <c r="D1684" t="s">
        <v>246</v>
      </c>
      <c r="E1684" t="s">
        <v>82</v>
      </c>
      <c r="F1684" t="s">
        <v>15</v>
      </c>
      <c r="G1684" t="s">
        <v>22</v>
      </c>
      <c r="H1684">
        <v>22</v>
      </c>
      <c r="I1684" s="2">
        <v>158.63</v>
      </c>
      <c r="J1684" s="2">
        <v>72.56</v>
      </c>
      <c r="K1684" s="2">
        <v>3489.86</v>
      </c>
      <c r="L1684" s="2">
        <v>1596.32</v>
      </c>
      <c r="M1684" s="2">
        <v>1893.54</v>
      </c>
      <c r="N1684">
        <v>1</v>
      </c>
    </row>
    <row r="1685" spans="1:14" x14ac:dyDescent="0.3">
      <c r="A1685" s="1">
        <v>38216</v>
      </c>
      <c r="B1685">
        <v>10280</v>
      </c>
      <c r="C1685">
        <v>249</v>
      </c>
      <c r="D1685" t="s">
        <v>246</v>
      </c>
      <c r="E1685" t="s">
        <v>82</v>
      </c>
      <c r="F1685" t="s">
        <v>15</v>
      </c>
      <c r="G1685" t="s">
        <v>36</v>
      </c>
      <c r="H1685">
        <v>46</v>
      </c>
      <c r="I1685" s="2">
        <v>82.06</v>
      </c>
      <c r="J1685" s="2">
        <v>60.78</v>
      </c>
      <c r="K1685" s="2">
        <v>3774.76</v>
      </c>
      <c r="L1685" s="2">
        <v>2795.88</v>
      </c>
      <c r="M1685" s="2">
        <v>978.88</v>
      </c>
      <c r="N1685">
        <v>1</v>
      </c>
    </row>
    <row r="1686" spans="1:14" x14ac:dyDescent="0.3">
      <c r="A1686" s="1">
        <v>38216</v>
      </c>
      <c r="B1686">
        <v>10280</v>
      </c>
      <c r="C1686">
        <v>249</v>
      </c>
      <c r="D1686" t="s">
        <v>246</v>
      </c>
      <c r="E1686" t="s">
        <v>82</v>
      </c>
      <c r="F1686" t="s">
        <v>15</v>
      </c>
      <c r="G1686" t="s">
        <v>37</v>
      </c>
      <c r="H1686">
        <v>43</v>
      </c>
      <c r="I1686" s="2">
        <v>54.34</v>
      </c>
      <c r="J1686" s="2">
        <v>34.35</v>
      </c>
      <c r="K1686" s="2">
        <v>2336.62</v>
      </c>
      <c r="L1686" s="2">
        <v>1477.05</v>
      </c>
      <c r="M1686" s="2">
        <v>859.57</v>
      </c>
      <c r="N1686">
        <v>1</v>
      </c>
    </row>
    <row r="1687" spans="1:14" x14ac:dyDescent="0.3">
      <c r="A1687" s="1">
        <v>38216</v>
      </c>
      <c r="B1687">
        <v>10280</v>
      </c>
      <c r="C1687">
        <v>249</v>
      </c>
      <c r="D1687" t="s">
        <v>246</v>
      </c>
      <c r="E1687" t="s">
        <v>82</v>
      </c>
      <c r="F1687" t="s">
        <v>15</v>
      </c>
      <c r="G1687" t="s">
        <v>38</v>
      </c>
      <c r="H1687">
        <v>29</v>
      </c>
      <c r="I1687" s="2">
        <v>102.63</v>
      </c>
      <c r="J1687" s="2">
        <v>60.74</v>
      </c>
      <c r="K1687" s="2">
        <v>2976.27</v>
      </c>
      <c r="L1687" s="2">
        <v>1761.46</v>
      </c>
      <c r="M1687" s="2">
        <v>1214.81</v>
      </c>
      <c r="N1687">
        <v>1</v>
      </c>
    </row>
    <row r="1688" spans="1:14" x14ac:dyDescent="0.3">
      <c r="A1688" s="1">
        <v>38216</v>
      </c>
      <c r="B1688">
        <v>10280</v>
      </c>
      <c r="C1688">
        <v>249</v>
      </c>
      <c r="D1688" t="s">
        <v>246</v>
      </c>
      <c r="E1688" t="s">
        <v>82</v>
      </c>
      <c r="F1688" t="s">
        <v>15</v>
      </c>
      <c r="G1688" t="s">
        <v>39</v>
      </c>
      <c r="H1688">
        <v>34</v>
      </c>
      <c r="I1688" s="2">
        <v>99.21</v>
      </c>
      <c r="J1688" s="2">
        <v>57.54</v>
      </c>
      <c r="K1688" s="2">
        <v>3373.14</v>
      </c>
      <c r="L1688" s="2">
        <v>1956.36</v>
      </c>
      <c r="M1688" s="2">
        <v>1416.78</v>
      </c>
      <c r="N1688">
        <v>1</v>
      </c>
    </row>
    <row r="1689" spans="1:14" x14ac:dyDescent="0.3">
      <c r="A1689" s="1">
        <v>38216</v>
      </c>
      <c r="B1689">
        <v>10280</v>
      </c>
      <c r="C1689">
        <v>249</v>
      </c>
      <c r="D1689" t="s">
        <v>246</v>
      </c>
      <c r="E1689" t="s">
        <v>82</v>
      </c>
      <c r="F1689" t="s">
        <v>15</v>
      </c>
      <c r="G1689" t="s">
        <v>18</v>
      </c>
      <c r="H1689">
        <v>35</v>
      </c>
      <c r="I1689" s="2">
        <v>77.31</v>
      </c>
      <c r="J1689" s="2">
        <v>43.26</v>
      </c>
      <c r="K1689" s="2">
        <v>2705.85</v>
      </c>
      <c r="L1689" s="2">
        <v>1514.1</v>
      </c>
      <c r="M1689" s="2">
        <v>1191.75</v>
      </c>
      <c r="N1689">
        <v>1</v>
      </c>
    </row>
    <row r="1690" spans="1:14" x14ac:dyDescent="0.3">
      <c r="A1690" s="1">
        <v>38216</v>
      </c>
      <c r="B1690">
        <v>10280</v>
      </c>
      <c r="C1690">
        <v>249</v>
      </c>
      <c r="D1690" t="s">
        <v>246</v>
      </c>
      <c r="E1690" t="s">
        <v>82</v>
      </c>
      <c r="F1690" t="s">
        <v>15</v>
      </c>
      <c r="G1690" t="s">
        <v>23</v>
      </c>
      <c r="H1690">
        <v>20</v>
      </c>
      <c r="I1690" s="2">
        <v>29.87</v>
      </c>
      <c r="J1690" s="2">
        <v>22.57</v>
      </c>
      <c r="K1690" s="2">
        <v>597.4</v>
      </c>
      <c r="L1690" s="2">
        <v>451.4</v>
      </c>
      <c r="M1690" s="2">
        <v>146</v>
      </c>
      <c r="N1690">
        <v>1</v>
      </c>
    </row>
    <row r="1691" spans="1:14" x14ac:dyDescent="0.3">
      <c r="A1691" s="1">
        <v>38216</v>
      </c>
      <c r="B1691">
        <v>10280</v>
      </c>
      <c r="C1691">
        <v>249</v>
      </c>
      <c r="D1691" t="s">
        <v>246</v>
      </c>
      <c r="E1691" t="s">
        <v>82</v>
      </c>
      <c r="F1691" t="s">
        <v>15</v>
      </c>
      <c r="G1691" t="s">
        <v>24</v>
      </c>
      <c r="H1691">
        <v>45</v>
      </c>
      <c r="I1691" s="2">
        <v>36.29</v>
      </c>
      <c r="J1691" s="2">
        <v>20.61</v>
      </c>
      <c r="K1691" s="2">
        <v>1633.05</v>
      </c>
      <c r="L1691" s="2">
        <v>927.45</v>
      </c>
      <c r="M1691" s="2">
        <v>705.6</v>
      </c>
      <c r="N1691">
        <v>1</v>
      </c>
    </row>
    <row r="1692" spans="1:14" x14ac:dyDescent="0.3">
      <c r="A1692" s="1">
        <v>38216</v>
      </c>
      <c r="B1692">
        <v>10280</v>
      </c>
      <c r="C1692">
        <v>249</v>
      </c>
      <c r="D1692" t="s">
        <v>246</v>
      </c>
      <c r="E1692" t="s">
        <v>82</v>
      </c>
      <c r="F1692" t="s">
        <v>15</v>
      </c>
      <c r="G1692" t="s">
        <v>19</v>
      </c>
      <c r="H1692">
        <v>33</v>
      </c>
      <c r="I1692" s="2">
        <v>35.29</v>
      </c>
      <c r="J1692" s="2">
        <v>21.75</v>
      </c>
      <c r="K1692" s="2">
        <v>1164.57</v>
      </c>
      <c r="L1692" s="2">
        <v>717.75</v>
      </c>
      <c r="M1692" s="2">
        <v>446.82</v>
      </c>
      <c r="N1692">
        <v>1</v>
      </c>
    </row>
    <row r="1693" spans="1:14" x14ac:dyDescent="0.3">
      <c r="A1693" s="1">
        <v>38216</v>
      </c>
      <c r="B1693">
        <v>10280</v>
      </c>
      <c r="C1693">
        <v>249</v>
      </c>
      <c r="D1693" t="s">
        <v>246</v>
      </c>
      <c r="E1693" t="s">
        <v>82</v>
      </c>
      <c r="F1693" t="s">
        <v>15</v>
      </c>
      <c r="G1693" t="s">
        <v>43</v>
      </c>
      <c r="H1693">
        <v>21</v>
      </c>
      <c r="I1693" s="2">
        <v>79.86</v>
      </c>
      <c r="J1693" s="2">
        <v>57.46</v>
      </c>
      <c r="K1693" s="2">
        <v>1677.06</v>
      </c>
      <c r="L1693" s="2">
        <v>1206.6600000000001</v>
      </c>
      <c r="M1693" s="2">
        <v>470.4</v>
      </c>
      <c r="N1693">
        <v>1</v>
      </c>
    </row>
    <row r="1694" spans="1:14" x14ac:dyDescent="0.3">
      <c r="A1694" s="1">
        <v>38218</v>
      </c>
      <c r="B1694">
        <v>10281</v>
      </c>
      <c r="C1694">
        <v>157</v>
      </c>
      <c r="D1694" t="s">
        <v>245</v>
      </c>
      <c r="E1694" t="s">
        <v>14</v>
      </c>
      <c r="F1694" t="s">
        <v>29</v>
      </c>
      <c r="G1694" t="s">
        <v>31</v>
      </c>
      <c r="H1694">
        <v>44</v>
      </c>
      <c r="I1694" s="2">
        <v>132.97</v>
      </c>
      <c r="J1694" s="2">
        <v>103.42</v>
      </c>
      <c r="K1694" s="2">
        <v>5850.68</v>
      </c>
      <c r="L1694" s="2">
        <v>4550.4799999999996</v>
      </c>
      <c r="M1694" s="2">
        <v>1300.2</v>
      </c>
      <c r="N1694">
        <v>2</v>
      </c>
    </row>
    <row r="1695" spans="1:14" x14ac:dyDescent="0.3">
      <c r="A1695" s="1">
        <v>38218</v>
      </c>
      <c r="B1695">
        <v>10281</v>
      </c>
      <c r="C1695">
        <v>157</v>
      </c>
      <c r="D1695" t="s">
        <v>245</v>
      </c>
      <c r="E1695" t="s">
        <v>14</v>
      </c>
      <c r="F1695" t="s">
        <v>32</v>
      </c>
      <c r="G1695" t="s">
        <v>33</v>
      </c>
      <c r="H1695">
        <v>25</v>
      </c>
      <c r="I1695" s="2">
        <v>127.1</v>
      </c>
      <c r="J1695" s="2">
        <v>77.900000000000006</v>
      </c>
      <c r="K1695" s="2">
        <v>3177.5</v>
      </c>
      <c r="L1695" s="2">
        <v>1947.5</v>
      </c>
      <c r="M1695" s="2">
        <v>1230</v>
      </c>
      <c r="N1695">
        <v>2</v>
      </c>
    </row>
    <row r="1696" spans="1:14" x14ac:dyDescent="0.3">
      <c r="A1696" s="1">
        <v>38218</v>
      </c>
      <c r="B1696">
        <v>10281</v>
      </c>
      <c r="C1696">
        <v>157</v>
      </c>
      <c r="D1696" t="s">
        <v>245</v>
      </c>
      <c r="E1696" t="s">
        <v>14</v>
      </c>
      <c r="F1696" t="s">
        <v>32</v>
      </c>
      <c r="G1696" t="s">
        <v>50</v>
      </c>
      <c r="H1696">
        <v>41</v>
      </c>
      <c r="I1696" s="2">
        <v>98.36</v>
      </c>
      <c r="J1696" s="2">
        <v>55.7</v>
      </c>
      <c r="K1696" s="2">
        <v>4032.76</v>
      </c>
      <c r="L1696" s="2">
        <v>2283.6999999999998</v>
      </c>
      <c r="M1696" s="2">
        <v>1749.06</v>
      </c>
      <c r="N1696">
        <v>2</v>
      </c>
    </row>
    <row r="1697" spans="1:14" x14ac:dyDescent="0.3">
      <c r="A1697" s="1">
        <v>38218</v>
      </c>
      <c r="B1697">
        <v>10281</v>
      </c>
      <c r="C1697">
        <v>157</v>
      </c>
      <c r="D1697" t="s">
        <v>245</v>
      </c>
      <c r="E1697" t="s">
        <v>14</v>
      </c>
      <c r="F1697" t="s">
        <v>32</v>
      </c>
      <c r="G1697" t="s">
        <v>52</v>
      </c>
      <c r="H1697">
        <v>48</v>
      </c>
      <c r="I1697" s="2">
        <v>114.14</v>
      </c>
      <c r="J1697" s="2">
        <v>74.86</v>
      </c>
      <c r="K1697" s="2">
        <v>5478.72</v>
      </c>
      <c r="L1697" s="2">
        <v>3593.28</v>
      </c>
      <c r="M1697" s="2">
        <v>1885.44</v>
      </c>
      <c r="N1697">
        <v>2</v>
      </c>
    </row>
    <row r="1698" spans="1:14" x14ac:dyDescent="0.3">
      <c r="A1698" s="1">
        <v>38218</v>
      </c>
      <c r="B1698">
        <v>10281</v>
      </c>
      <c r="C1698">
        <v>157</v>
      </c>
      <c r="D1698" t="s">
        <v>245</v>
      </c>
      <c r="E1698" t="s">
        <v>14</v>
      </c>
      <c r="F1698" t="s">
        <v>32</v>
      </c>
      <c r="G1698" t="s">
        <v>35</v>
      </c>
      <c r="H1698">
        <v>29</v>
      </c>
      <c r="I1698" s="2">
        <v>56.52</v>
      </c>
      <c r="J1698" s="2">
        <v>24.92</v>
      </c>
      <c r="K1698" s="2">
        <v>1639.08</v>
      </c>
      <c r="L1698" s="2">
        <v>722.68</v>
      </c>
      <c r="M1698" s="2">
        <v>916.4</v>
      </c>
      <c r="N1698">
        <v>2</v>
      </c>
    </row>
    <row r="1699" spans="1:14" x14ac:dyDescent="0.3">
      <c r="A1699" s="1">
        <v>38218</v>
      </c>
      <c r="B1699">
        <v>10281</v>
      </c>
      <c r="C1699">
        <v>157</v>
      </c>
      <c r="D1699" t="s">
        <v>245</v>
      </c>
      <c r="E1699" t="s">
        <v>14</v>
      </c>
      <c r="F1699" t="s">
        <v>29</v>
      </c>
      <c r="G1699" t="s">
        <v>53</v>
      </c>
      <c r="H1699">
        <v>25</v>
      </c>
      <c r="I1699" s="2">
        <v>135.47</v>
      </c>
      <c r="J1699" s="2">
        <v>77.900000000000006</v>
      </c>
      <c r="K1699" s="2">
        <v>3386.75</v>
      </c>
      <c r="L1699" s="2">
        <v>1947.5</v>
      </c>
      <c r="M1699" s="2">
        <v>1439.25</v>
      </c>
      <c r="N1699">
        <v>2</v>
      </c>
    </row>
    <row r="1700" spans="1:14" x14ac:dyDescent="0.3">
      <c r="A1700" s="1">
        <v>38218</v>
      </c>
      <c r="B1700">
        <v>10281</v>
      </c>
      <c r="C1700">
        <v>157</v>
      </c>
      <c r="D1700" t="s">
        <v>245</v>
      </c>
      <c r="E1700" t="s">
        <v>14</v>
      </c>
      <c r="F1700" t="s">
        <v>32</v>
      </c>
      <c r="G1700" t="s">
        <v>40</v>
      </c>
      <c r="H1700">
        <v>25</v>
      </c>
      <c r="I1700" s="2">
        <v>96.86</v>
      </c>
      <c r="J1700" s="2">
        <v>84.76</v>
      </c>
      <c r="K1700" s="2">
        <v>2421.5</v>
      </c>
      <c r="L1700" s="2">
        <v>2119</v>
      </c>
      <c r="M1700" s="2">
        <v>302.5</v>
      </c>
      <c r="N1700">
        <v>2</v>
      </c>
    </row>
    <row r="1701" spans="1:14" x14ac:dyDescent="0.3">
      <c r="A1701" s="1">
        <v>38218</v>
      </c>
      <c r="B1701">
        <v>10281</v>
      </c>
      <c r="C1701">
        <v>157</v>
      </c>
      <c r="D1701" t="s">
        <v>245</v>
      </c>
      <c r="E1701" t="s">
        <v>14</v>
      </c>
      <c r="F1701" t="s">
        <v>15</v>
      </c>
      <c r="G1701" t="s">
        <v>41</v>
      </c>
      <c r="H1701">
        <v>44</v>
      </c>
      <c r="I1701" s="2">
        <v>42.76</v>
      </c>
      <c r="J1701" s="2">
        <v>23.14</v>
      </c>
      <c r="K1701" s="2">
        <v>1881.44</v>
      </c>
      <c r="L1701" s="2">
        <v>1018.16</v>
      </c>
      <c r="M1701" s="2">
        <v>863.28</v>
      </c>
      <c r="N1701">
        <v>2</v>
      </c>
    </row>
    <row r="1702" spans="1:14" x14ac:dyDescent="0.3">
      <c r="A1702" s="1">
        <v>38218</v>
      </c>
      <c r="B1702">
        <v>10281</v>
      </c>
      <c r="C1702">
        <v>157</v>
      </c>
      <c r="D1702" t="s">
        <v>245</v>
      </c>
      <c r="E1702" t="s">
        <v>14</v>
      </c>
      <c r="F1702" t="s">
        <v>32</v>
      </c>
      <c r="G1702" t="s">
        <v>42</v>
      </c>
      <c r="H1702">
        <v>25</v>
      </c>
      <c r="I1702" s="2">
        <v>112.46</v>
      </c>
      <c r="J1702" s="2">
        <v>61.34</v>
      </c>
      <c r="K1702" s="2">
        <v>2811.5</v>
      </c>
      <c r="L1702" s="2">
        <v>1533.5</v>
      </c>
      <c r="M1702" s="2">
        <v>1278</v>
      </c>
      <c r="N1702">
        <v>2</v>
      </c>
    </row>
    <row r="1703" spans="1:14" x14ac:dyDescent="0.3">
      <c r="A1703" s="1">
        <v>38218</v>
      </c>
      <c r="B1703">
        <v>10281</v>
      </c>
      <c r="C1703">
        <v>157</v>
      </c>
      <c r="D1703" t="s">
        <v>245</v>
      </c>
      <c r="E1703" t="s">
        <v>14</v>
      </c>
      <c r="F1703" t="s">
        <v>29</v>
      </c>
      <c r="G1703" t="s">
        <v>56</v>
      </c>
      <c r="H1703">
        <v>20</v>
      </c>
      <c r="I1703" s="2">
        <v>33.950000000000003</v>
      </c>
      <c r="J1703" s="2">
        <v>15.91</v>
      </c>
      <c r="K1703" s="2">
        <v>679</v>
      </c>
      <c r="L1703" s="2">
        <v>318.2</v>
      </c>
      <c r="M1703" s="2">
        <v>360.8</v>
      </c>
      <c r="N1703">
        <v>2</v>
      </c>
    </row>
    <row r="1704" spans="1:14" x14ac:dyDescent="0.3">
      <c r="A1704" s="1">
        <v>38218</v>
      </c>
      <c r="B1704">
        <v>10281</v>
      </c>
      <c r="C1704">
        <v>157</v>
      </c>
      <c r="D1704" t="s">
        <v>245</v>
      </c>
      <c r="E1704" t="s">
        <v>14</v>
      </c>
      <c r="F1704" t="s">
        <v>32</v>
      </c>
      <c r="G1704" t="s">
        <v>44</v>
      </c>
      <c r="H1704">
        <v>29</v>
      </c>
      <c r="I1704" s="2">
        <v>80.900000000000006</v>
      </c>
      <c r="J1704" s="2">
        <v>53.93</v>
      </c>
      <c r="K1704" s="2">
        <v>2346.1</v>
      </c>
      <c r="L1704" s="2">
        <v>1563.97</v>
      </c>
      <c r="M1704" s="2">
        <v>782.13</v>
      </c>
      <c r="N1704">
        <v>2</v>
      </c>
    </row>
    <row r="1705" spans="1:14" x14ac:dyDescent="0.3">
      <c r="A1705" s="1">
        <v>38218</v>
      </c>
      <c r="B1705">
        <v>10281</v>
      </c>
      <c r="C1705">
        <v>157</v>
      </c>
      <c r="D1705" t="s">
        <v>245</v>
      </c>
      <c r="E1705" t="s">
        <v>14</v>
      </c>
      <c r="F1705" t="s">
        <v>32</v>
      </c>
      <c r="G1705" t="s">
        <v>58</v>
      </c>
      <c r="H1705">
        <v>31</v>
      </c>
      <c r="I1705" s="2">
        <v>44.91</v>
      </c>
      <c r="J1705" s="2">
        <v>25.98</v>
      </c>
      <c r="K1705" s="2">
        <v>1392.21</v>
      </c>
      <c r="L1705" s="2">
        <v>805.38</v>
      </c>
      <c r="M1705" s="2">
        <v>586.83000000000004</v>
      </c>
      <c r="N1705">
        <v>2</v>
      </c>
    </row>
    <row r="1706" spans="1:14" x14ac:dyDescent="0.3">
      <c r="A1706" s="1">
        <v>38218</v>
      </c>
      <c r="B1706">
        <v>10281</v>
      </c>
      <c r="C1706">
        <v>157</v>
      </c>
      <c r="D1706" t="s">
        <v>245</v>
      </c>
      <c r="E1706" t="s">
        <v>14</v>
      </c>
      <c r="F1706" t="s">
        <v>32</v>
      </c>
      <c r="G1706" t="s">
        <v>45</v>
      </c>
      <c r="H1706">
        <v>36</v>
      </c>
      <c r="I1706" s="2">
        <v>59.47</v>
      </c>
      <c r="J1706" s="2">
        <v>33.61</v>
      </c>
      <c r="K1706" s="2">
        <v>2140.92</v>
      </c>
      <c r="L1706" s="2">
        <v>1209.96</v>
      </c>
      <c r="M1706" s="2">
        <v>930.96</v>
      </c>
      <c r="N1706">
        <v>2</v>
      </c>
    </row>
    <row r="1707" spans="1:14" x14ac:dyDescent="0.3">
      <c r="A1707" s="1">
        <v>38218</v>
      </c>
      <c r="B1707">
        <v>10281</v>
      </c>
      <c r="C1707">
        <v>157</v>
      </c>
      <c r="D1707" t="s">
        <v>245</v>
      </c>
      <c r="E1707" t="s">
        <v>14</v>
      </c>
      <c r="F1707" t="s">
        <v>29</v>
      </c>
      <c r="G1707" t="s">
        <v>46</v>
      </c>
      <c r="H1707">
        <v>27</v>
      </c>
      <c r="I1707" s="2">
        <v>89.01</v>
      </c>
      <c r="J1707" s="2">
        <v>46.53</v>
      </c>
      <c r="K1707" s="2">
        <v>2403.27</v>
      </c>
      <c r="L1707" s="2">
        <v>1256.31</v>
      </c>
      <c r="M1707" s="2">
        <v>1146.96</v>
      </c>
      <c r="N1707">
        <v>2</v>
      </c>
    </row>
    <row r="1708" spans="1:14" x14ac:dyDescent="0.3">
      <c r="A1708" s="1">
        <v>38219</v>
      </c>
      <c r="B1708">
        <v>10282</v>
      </c>
      <c r="C1708">
        <v>124</v>
      </c>
      <c r="D1708" t="s">
        <v>206</v>
      </c>
      <c r="E1708" t="s">
        <v>14</v>
      </c>
      <c r="F1708" t="s">
        <v>29</v>
      </c>
      <c r="G1708" t="s">
        <v>66</v>
      </c>
      <c r="H1708">
        <v>41</v>
      </c>
      <c r="I1708" s="2">
        <v>176.63</v>
      </c>
      <c r="J1708" s="2">
        <v>95.59</v>
      </c>
      <c r="K1708" s="2">
        <v>7241.83</v>
      </c>
      <c r="L1708" s="2">
        <v>3919.19</v>
      </c>
      <c r="M1708" s="2">
        <v>3322.64</v>
      </c>
      <c r="N1708">
        <v>7</v>
      </c>
    </row>
    <row r="1709" spans="1:14" x14ac:dyDescent="0.3">
      <c r="A1709" s="1">
        <v>38219</v>
      </c>
      <c r="B1709">
        <v>10282</v>
      </c>
      <c r="C1709">
        <v>124</v>
      </c>
      <c r="D1709" t="s">
        <v>206</v>
      </c>
      <c r="E1709" t="s">
        <v>14</v>
      </c>
      <c r="F1709" t="s">
        <v>29</v>
      </c>
      <c r="G1709" t="s">
        <v>49</v>
      </c>
      <c r="H1709">
        <v>27</v>
      </c>
      <c r="I1709" s="2">
        <v>142.02000000000001</v>
      </c>
      <c r="J1709" s="2">
        <v>89.14</v>
      </c>
      <c r="K1709" s="2">
        <v>3834.54</v>
      </c>
      <c r="L1709" s="2">
        <v>2406.7800000000002</v>
      </c>
      <c r="M1709" s="2">
        <v>1427.76</v>
      </c>
      <c r="N1709">
        <v>7</v>
      </c>
    </row>
    <row r="1710" spans="1:14" x14ac:dyDescent="0.3">
      <c r="A1710" s="1">
        <v>38219</v>
      </c>
      <c r="B1710">
        <v>10282</v>
      </c>
      <c r="C1710">
        <v>124</v>
      </c>
      <c r="D1710" t="s">
        <v>206</v>
      </c>
      <c r="E1710" t="s">
        <v>14</v>
      </c>
      <c r="F1710" t="s">
        <v>29</v>
      </c>
      <c r="G1710" t="s">
        <v>67</v>
      </c>
      <c r="H1710">
        <v>24</v>
      </c>
      <c r="I1710" s="2">
        <v>169.56</v>
      </c>
      <c r="J1710" s="2">
        <v>83.05</v>
      </c>
      <c r="K1710" s="2">
        <v>4069.44</v>
      </c>
      <c r="L1710" s="2">
        <v>1993.2</v>
      </c>
      <c r="M1710" s="2">
        <v>2076.2399999999998</v>
      </c>
      <c r="N1710">
        <v>7</v>
      </c>
    </row>
    <row r="1711" spans="1:14" x14ac:dyDescent="0.3">
      <c r="A1711" s="1">
        <v>38219</v>
      </c>
      <c r="B1711">
        <v>10282</v>
      </c>
      <c r="C1711">
        <v>124</v>
      </c>
      <c r="D1711" t="s">
        <v>206</v>
      </c>
      <c r="E1711" t="s">
        <v>14</v>
      </c>
      <c r="F1711" t="s">
        <v>29</v>
      </c>
      <c r="G1711" t="s">
        <v>51</v>
      </c>
      <c r="H1711">
        <v>23</v>
      </c>
      <c r="I1711" s="2">
        <v>147.36000000000001</v>
      </c>
      <c r="J1711" s="2">
        <v>101.51</v>
      </c>
      <c r="K1711" s="2">
        <v>3389.28</v>
      </c>
      <c r="L1711" s="2">
        <v>2334.73</v>
      </c>
      <c r="M1711" s="2">
        <v>1054.55</v>
      </c>
      <c r="N1711">
        <v>7</v>
      </c>
    </row>
    <row r="1712" spans="1:14" x14ac:dyDescent="0.3">
      <c r="A1712" s="1">
        <v>38219</v>
      </c>
      <c r="B1712">
        <v>10282</v>
      </c>
      <c r="C1712">
        <v>124</v>
      </c>
      <c r="D1712" t="s">
        <v>206</v>
      </c>
      <c r="E1712" t="s">
        <v>14</v>
      </c>
      <c r="F1712" t="s">
        <v>15</v>
      </c>
      <c r="G1712" t="s">
        <v>68</v>
      </c>
      <c r="H1712">
        <v>43</v>
      </c>
      <c r="I1712" s="2">
        <v>122.93</v>
      </c>
      <c r="J1712" s="2">
        <v>68.3</v>
      </c>
      <c r="K1712" s="2">
        <v>5285.99</v>
      </c>
      <c r="L1712" s="2">
        <v>2936.9</v>
      </c>
      <c r="M1712" s="2">
        <v>2349.09</v>
      </c>
      <c r="N1712">
        <v>7</v>
      </c>
    </row>
    <row r="1713" spans="1:14" x14ac:dyDescent="0.3">
      <c r="A1713" s="1">
        <v>38219</v>
      </c>
      <c r="B1713">
        <v>10282</v>
      </c>
      <c r="C1713">
        <v>124</v>
      </c>
      <c r="D1713" t="s">
        <v>206</v>
      </c>
      <c r="E1713" t="s">
        <v>14</v>
      </c>
      <c r="F1713" t="s">
        <v>59</v>
      </c>
      <c r="G1713" t="s">
        <v>69</v>
      </c>
      <c r="H1713">
        <v>36</v>
      </c>
      <c r="I1713" s="2">
        <v>88.74</v>
      </c>
      <c r="J1713" s="2">
        <v>67.56</v>
      </c>
      <c r="K1713" s="2">
        <v>3194.64</v>
      </c>
      <c r="L1713" s="2">
        <v>2432.16</v>
      </c>
      <c r="M1713" s="2">
        <v>762.48</v>
      </c>
      <c r="N1713">
        <v>7</v>
      </c>
    </row>
    <row r="1714" spans="1:14" x14ac:dyDescent="0.3">
      <c r="A1714" s="1">
        <v>38219</v>
      </c>
      <c r="B1714">
        <v>10282</v>
      </c>
      <c r="C1714">
        <v>124</v>
      </c>
      <c r="D1714" t="s">
        <v>206</v>
      </c>
      <c r="E1714" t="s">
        <v>14</v>
      </c>
      <c r="F1714" t="s">
        <v>29</v>
      </c>
      <c r="G1714" t="s">
        <v>54</v>
      </c>
      <c r="H1714">
        <v>31</v>
      </c>
      <c r="I1714" s="2">
        <v>132.13</v>
      </c>
      <c r="J1714" s="2">
        <v>91.92</v>
      </c>
      <c r="K1714" s="2">
        <v>4096.03</v>
      </c>
      <c r="L1714" s="2">
        <v>2849.52</v>
      </c>
      <c r="M1714" s="2">
        <v>1246.51</v>
      </c>
      <c r="N1714">
        <v>7</v>
      </c>
    </row>
    <row r="1715" spans="1:14" x14ac:dyDescent="0.3">
      <c r="A1715" s="1">
        <v>38219</v>
      </c>
      <c r="B1715">
        <v>10282</v>
      </c>
      <c r="C1715">
        <v>124</v>
      </c>
      <c r="D1715" t="s">
        <v>206</v>
      </c>
      <c r="E1715" t="s">
        <v>14</v>
      </c>
      <c r="F1715" t="s">
        <v>29</v>
      </c>
      <c r="G1715" t="s">
        <v>55</v>
      </c>
      <c r="H1715">
        <v>29</v>
      </c>
      <c r="I1715" s="2">
        <v>49.71</v>
      </c>
      <c r="J1715" s="2">
        <v>32.369999999999997</v>
      </c>
      <c r="K1715" s="2">
        <v>1441.59</v>
      </c>
      <c r="L1715" s="2">
        <v>938.73</v>
      </c>
      <c r="M1715" s="2">
        <v>502.86</v>
      </c>
      <c r="N1715">
        <v>7</v>
      </c>
    </row>
    <row r="1716" spans="1:14" x14ac:dyDescent="0.3">
      <c r="A1716" s="1">
        <v>38219</v>
      </c>
      <c r="B1716">
        <v>10282</v>
      </c>
      <c r="C1716">
        <v>124</v>
      </c>
      <c r="D1716" t="s">
        <v>206</v>
      </c>
      <c r="E1716" t="s">
        <v>14</v>
      </c>
      <c r="F1716" t="s">
        <v>29</v>
      </c>
      <c r="G1716" t="s">
        <v>57</v>
      </c>
      <c r="H1716">
        <v>39</v>
      </c>
      <c r="I1716" s="2">
        <v>96.99</v>
      </c>
      <c r="J1716" s="2">
        <v>69.78</v>
      </c>
      <c r="K1716" s="2">
        <v>3782.61</v>
      </c>
      <c r="L1716" s="2">
        <v>2721.42</v>
      </c>
      <c r="M1716" s="2">
        <v>1061.19</v>
      </c>
      <c r="N1716">
        <v>7</v>
      </c>
    </row>
    <row r="1717" spans="1:14" x14ac:dyDescent="0.3">
      <c r="A1717" s="1">
        <v>38219</v>
      </c>
      <c r="B1717">
        <v>10282</v>
      </c>
      <c r="C1717">
        <v>124</v>
      </c>
      <c r="D1717" t="s">
        <v>206</v>
      </c>
      <c r="E1717" t="s">
        <v>14</v>
      </c>
      <c r="F1717" t="s">
        <v>59</v>
      </c>
      <c r="G1717" t="s">
        <v>60</v>
      </c>
      <c r="H1717">
        <v>36</v>
      </c>
      <c r="I1717" s="2">
        <v>51.58</v>
      </c>
      <c r="J1717" s="2">
        <v>26.72</v>
      </c>
      <c r="K1717" s="2">
        <v>1856.88</v>
      </c>
      <c r="L1717" s="2">
        <v>961.92</v>
      </c>
      <c r="M1717" s="2">
        <v>894.96</v>
      </c>
      <c r="N1717">
        <v>7</v>
      </c>
    </row>
    <row r="1718" spans="1:14" x14ac:dyDescent="0.3">
      <c r="A1718" s="1">
        <v>38219</v>
      </c>
      <c r="B1718">
        <v>10282</v>
      </c>
      <c r="C1718">
        <v>124</v>
      </c>
      <c r="D1718" t="s">
        <v>206</v>
      </c>
      <c r="E1718" t="s">
        <v>14</v>
      </c>
      <c r="F1718" t="s">
        <v>32</v>
      </c>
      <c r="G1718" t="s">
        <v>61</v>
      </c>
      <c r="H1718">
        <v>38</v>
      </c>
      <c r="I1718" s="2">
        <v>114.59</v>
      </c>
      <c r="J1718" s="2">
        <v>68.290000000000006</v>
      </c>
      <c r="K1718" s="2">
        <v>4354.42</v>
      </c>
      <c r="L1718" s="2">
        <v>2595.02</v>
      </c>
      <c r="M1718" s="2">
        <v>1759.4</v>
      </c>
      <c r="N1718">
        <v>7</v>
      </c>
    </row>
    <row r="1719" spans="1:14" x14ac:dyDescent="0.3">
      <c r="A1719" s="1">
        <v>38219</v>
      </c>
      <c r="B1719">
        <v>10282</v>
      </c>
      <c r="C1719">
        <v>124</v>
      </c>
      <c r="D1719" t="s">
        <v>206</v>
      </c>
      <c r="E1719" t="s">
        <v>14</v>
      </c>
      <c r="F1719" t="s">
        <v>59</v>
      </c>
      <c r="G1719" t="s">
        <v>62</v>
      </c>
      <c r="H1719">
        <v>37</v>
      </c>
      <c r="I1719" s="2">
        <v>56.24</v>
      </c>
      <c r="J1719" s="2">
        <v>37.49</v>
      </c>
      <c r="K1719" s="2">
        <v>2080.88</v>
      </c>
      <c r="L1719" s="2">
        <v>1387.13</v>
      </c>
      <c r="M1719" s="2">
        <v>693.75</v>
      </c>
      <c r="N1719">
        <v>7</v>
      </c>
    </row>
    <row r="1720" spans="1:14" x14ac:dyDescent="0.3">
      <c r="A1720" s="1">
        <v>38219</v>
      </c>
      <c r="B1720">
        <v>10282</v>
      </c>
      <c r="C1720">
        <v>124</v>
      </c>
      <c r="D1720" t="s">
        <v>206</v>
      </c>
      <c r="E1720" t="s">
        <v>14</v>
      </c>
      <c r="F1720" t="s">
        <v>71</v>
      </c>
      <c r="G1720" t="s">
        <v>76</v>
      </c>
      <c r="H1720">
        <v>43</v>
      </c>
      <c r="I1720" s="2">
        <v>77.95</v>
      </c>
      <c r="J1720" s="2">
        <v>43.3</v>
      </c>
      <c r="K1720" s="2">
        <v>3351.85</v>
      </c>
      <c r="L1720" s="2">
        <v>1861.9</v>
      </c>
      <c r="M1720" s="2">
        <v>1489.95</v>
      </c>
      <c r="N1720">
        <v>7</v>
      </c>
    </row>
    <row r="1721" spans="1:14" x14ac:dyDescent="0.3">
      <c r="A1721" s="1">
        <v>38219</v>
      </c>
      <c r="B1721">
        <v>10283</v>
      </c>
      <c r="C1721">
        <v>260</v>
      </c>
      <c r="D1721" t="s">
        <v>242</v>
      </c>
      <c r="E1721" t="s">
        <v>172</v>
      </c>
      <c r="F1721" t="s">
        <v>29</v>
      </c>
      <c r="G1721" t="s">
        <v>65</v>
      </c>
      <c r="H1721">
        <v>25</v>
      </c>
      <c r="I1721" s="2">
        <v>130.56</v>
      </c>
      <c r="J1721" s="2">
        <v>85.68</v>
      </c>
      <c r="K1721" s="2">
        <v>3264</v>
      </c>
      <c r="L1721" s="2">
        <v>2142</v>
      </c>
      <c r="M1721" s="2">
        <v>1122</v>
      </c>
      <c r="N1721">
        <v>2</v>
      </c>
    </row>
    <row r="1722" spans="1:14" x14ac:dyDescent="0.3">
      <c r="A1722" s="1">
        <v>38219</v>
      </c>
      <c r="B1722">
        <v>10283</v>
      </c>
      <c r="C1722">
        <v>260</v>
      </c>
      <c r="D1722" t="s">
        <v>242</v>
      </c>
      <c r="E1722" t="s">
        <v>172</v>
      </c>
      <c r="F1722" t="s">
        <v>71</v>
      </c>
      <c r="G1722" t="s">
        <v>86</v>
      </c>
      <c r="H1722">
        <v>21</v>
      </c>
      <c r="I1722" s="2">
        <v>78.28</v>
      </c>
      <c r="J1722" s="2">
        <v>51.61</v>
      </c>
      <c r="K1722" s="2">
        <v>1643.88</v>
      </c>
      <c r="L1722" s="2">
        <v>1083.81</v>
      </c>
      <c r="M1722" s="2">
        <v>560.07000000000005</v>
      </c>
      <c r="N1722">
        <v>2</v>
      </c>
    </row>
    <row r="1723" spans="1:14" x14ac:dyDescent="0.3">
      <c r="A1723" s="1">
        <v>38219</v>
      </c>
      <c r="B1723">
        <v>10283</v>
      </c>
      <c r="C1723">
        <v>260</v>
      </c>
      <c r="D1723" t="s">
        <v>242</v>
      </c>
      <c r="E1723" t="s">
        <v>172</v>
      </c>
      <c r="F1723" t="s">
        <v>15</v>
      </c>
      <c r="G1723" t="s">
        <v>87</v>
      </c>
      <c r="H1723">
        <v>46</v>
      </c>
      <c r="I1723" s="2">
        <v>100.58</v>
      </c>
      <c r="J1723" s="2">
        <v>64.58</v>
      </c>
      <c r="K1723" s="2">
        <v>4626.68</v>
      </c>
      <c r="L1723" s="2">
        <v>2970.68</v>
      </c>
      <c r="M1723" s="2">
        <v>1656</v>
      </c>
      <c r="N1723">
        <v>2</v>
      </c>
    </row>
    <row r="1724" spans="1:14" x14ac:dyDescent="0.3">
      <c r="A1724" s="1">
        <v>38219</v>
      </c>
      <c r="B1724">
        <v>10283</v>
      </c>
      <c r="C1724">
        <v>260</v>
      </c>
      <c r="D1724" t="s">
        <v>242</v>
      </c>
      <c r="E1724" t="s">
        <v>172</v>
      </c>
      <c r="F1724" t="s">
        <v>15</v>
      </c>
      <c r="G1724" t="s">
        <v>70</v>
      </c>
      <c r="H1724">
        <v>34</v>
      </c>
      <c r="I1724" s="2">
        <v>71.97</v>
      </c>
      <c r="J1724" s="2">
        <v>52.66</v>
      </c>
      <c r="K1724" s="2">
        <v>2446.98</v>
      </c>
      <c r="L1724" s="2">
        <v>1790.44</v>
      </c>
      <c r="M1724" s="2">
        <v>656.54</v>
      </c>
      <c r="N1724">
        <v>2</v>
      </c>
    </row>
    <row r="1725" spans="1:14" x14ac:dyDescent="0.3">
      <c r="A1725" s="1">
        <v>38219</v>
      </c>
      <c r="B1725">
        <v>10283</v>
      </c>
      <c r="C1725">
        <v>260</v>
      </c>
      <c r="D1725" t="s">
        <v>242</v>
      </c>
      <c r="E1725" t="s">
        <v>172</v>
      </c>
      <c r="F1725" t="s">
        <v>71</v>
      </c>
      <c r="G1725" t="s">
        <v>72</v>
      </c>
      <c r="H1725">
        <v>42</v>
      </c>
      <c r="I1725" s="2">
        <v>99.54</v>
      </c>
      <c r="J1725" s="2">
        <v>82.34</v>
      </c>
      <c r="K1725" s="2">
        <v>4180.68</v>
      </c>
      <c r="L1725" s="2">
        <v>3458.28</v>
      </c>
      <c r="M1725" s="2">
        <v>722.4</v>
      </c>
      <c r="N1725">
        <v>2</v>
      </c>
    </row>
    <row r="1726" spans="1:14" x14ac:dyDescent="0.3">
      <c r="A1726" s="1">
        <v>38219</v>
      </c>
      <c r="B1726">
        <v>10283</v>
      </c>
      <c r="C1726">
        <v>260</v>
      </c>
      <c r="D1726" t="s">
        <v>242</v>
      </c>
      <c r="E1726" t="s">
        <v>172</v>
      </c>
      <c r="F1726" t="s">
        <v>15</v>
      </c>
      <c r="G1726" t="s">
        <v>73</v>
      </c>
      <c r="H1726">
        <v>34</v>
      </c>
      <c r="I1726" s="2">
        <v>80.540000000000006</v>
      </c>
      <c r="J1726" s="2">
        <v>46.91</v>
      </c>
      <c r="K1726" s="2">
        <v>2738.36</v>
      </c>
      <c r="L1726" s="2">
        <v>1594.94</v>
      </c>
      <c r="M1726" s="2">
        <v>1143.42</v>
      </c>
      <c r="N1726">
        <v>2</v>
      </c>
    </row>
    <row r="1727" spans="1:14" x14ac:dyDescent="0.3">
      <c r="A1727" s="1">
        <v>38219</v>
      </c>
      <c r="B1727">
        <v>10283</v>
      </c>
      <c r="C1727">
        <v>260</v>
      </c>
      <c r="D1727" t="s">
        <v>242</v>
      </c>
      <c r="E1727" t="s">
        <v>172</v>
      </c>
      <c r="F1727" t="s">
        <v>15</v>
      </c>
      <c r="G1727" t="s">
        <v>74</v>
      </c>
      <c r="H1727">
        <v>33</v>
      </c>
      <c r="I1727" s="2">
        <v>77.150000000000006</v>
      </c>
      <c r="J1727" s="2">
        <v>48.64</v>
      </c>
      <c r="K1727" s="2">
        <v>2545.9499999999998</v>
      </c>
      <c r="L1727" s="2">
        <v>1605.12</v>
      </c>
      <c r="M1727" s="2">
        <v>940.83</v>
      </c>
      <c r="N1727">
        <v>2</v>
      </c>
    </row>
    <row r="1728" spans="1:14" x14ac:dyDescent="0.3">
      <c r="A1728" s="1">
        <v>38219</v>
      </c>
      <c r="B1728">
        <v>10283</v>
      </c>
      <c r="C1728">
        <v>260</v>
      </c>
      <c r="D1728" t="s">
        <v>242</v>
      </c>
      <c r="E1728" t="s">
        <v>172</v>
      </c>
      <c r="F1728" t="s">
        <v>71</v>
      </c>
      <c r="G1728" t="s">
        <v>75</v>
      </c>
      <c r="H1728">
        <v>45</v>
      </c>
      <c r="I1728" s="2">
        <v>62</v>
      </c>
      <c r="J1728" s="2">
        <v>34</v>
      </c>
      <c r="K1728" s="2">
        <v>2790</v>
      </c>
      <c r="L1728" s="2">
        <v>1530</v>
      </c>
      <c r="M1728" s="2">
        <v>1260</v>
      </c>
      <c r="N1728">
        <v>2</v>
      </c>
    </row>
    <row r="1729" spans="1:14" x14ac:dyDescent="0.3">
      <c r="A1729" s="1">
        <v>38219</v>
      </c>
      <c r="B1729">
        <v>10283</v>
      </c>
      <c r="C1729">
        <v>260</v>
      </c>
      <c r="D1729" t="s">
        <v>242</v>
      </c>
      <c r="E1729" t="s">
        <v>172</v>
      </c>
      <c r="F1729" t="s">
        <v>71</v>
      </c>
      <c r="G1729" t="s">
        <v>96</v>
      </c>
      <c r="H1729">
        <v>20</v>
      </c>
      <c r="I1729" s="2">
        <v>74.23</v>
      </c>
      <c r="J1729" s="2">
        <v>39.83</v>
      </c>
      <c r="K1729" s="2">
        <v>1484.6</v>
      </c>
      <c r="L1729" s="2">
        <v>796.6</v>
      </c>
      <c r="M1729" s="2">
        <v>688</v>
      </c>
      <c r="N1729">
        <v>2</v>
      </c>
    </row>
    <row r="1730" spans="1:14" x14ac:dyDescent="0.3">
      <c r="A1730" s="1">
        <v>38219</v>
      </c>
      <c r="B1730">
        <v>10283</v>
      </c>
      <c r="C1730">
        <v>260</v>
      </c>
      <c r="D1730" t="s">
        <v>242</v>
      </c>
      <c r="E1730" t="s">
        <v>172</v>
      </c>
      <c r="F1730" t="s">
        <v>71</v>
      </c>
      <c r="G1730" t="s">
        <v>77</v>
      </c>
      <c r="H1730">
        <v>47</v>
      </c>
      <c r="I1730" s="2">
        <v>68.67</v>
      </c>
      <c r="J1730" s="2">
        <v>33.97</v>
      </c>
      <c r="K1730" s="2">
        <v>3227.49</v>
      </c>
      <c r="L1730" s="2">
        <v>1596.59</v>
      </c>
      <c r="M1730" s="2">
        <v>1630.9</v>
      </c>
      <c r="N1730">
        <v>2</v>
      </c>
    </row>
    <row r="1731" spans="1:14" x14ac:dyDescent="0.3">
      <c r="A1731" s="1">
        <v>38219</v>
      </c>
      <c r="B1731">
        <v>10283</v>
      </c>
      <c r="C1731">
        <v>260</v>
      </c>
      <c r="D1731" t="s">
        <v>242</v>
      </c>
      <c r="E1731" t="s">
        <v>172</v>
      </c>
      <c r="F1731" t="s">
        <v>71</v>
      </c>
      <c r="G1731" t="s">
        <v>78</v>
      </c>
      <c r="H1731">
        <v>22</v>
      </c>
      <c r="I1731" s="2">
        <v>88.15</v>
      </c>
      <c r="J1731" s="2">
        <v>51.09</v>
      </c>
      <c r="K1731" s="2">
        <v>1939.3</v>
      </c>
      <c r="L1731" s="2">
        <v>1123.98</v>
      </c>
      <c r="M1731" s="2">
        <v>815.32</v>
      </c>
      <c r="N1731">
        <v>2</v>
      </c>
    </row>
    <row r="1732" spans="1:14" x14ac:dyDescent="0.3">
      <c r="A1732" s="1">
        <v>38219</v>
      </c>
      <c r="B1732">
        <v>10283</v>
      </c>
      <c r="C1732">
        <v>260</v>
      </c>
      <c r="D1732" t="s">
        <v>242</v>
      </c>
      <c r="E1732" t="s">
        <v>172</v>
      </c>
      <c r="F1732" t="s">
        <v>71</v>
      </c>
      <c r="G1732" t="s">
        <v>79</v>
      </c>
      <c r="H1732">
        <v>38</v>
      </c>
      <c r="I1732" s="2">
        <v>85.41</v>
      </c>
      <c r="J1732" s="2">
        <v>53.63</v>
      </c>
      <c r="K1732" s="2">
        <v>3245.58</v>
      </c>
      <c r="L1732" s="2">
        <v>2037.94</v>
      </c>
      <c r="M1732" s="2">
        <v>1207.6400000000001</v>
      </c>
      <c r="N1732">
        <v>2</v>
      </c>
    </row>
    <row r="1733" spans="1:14" x14ac:dyDescent="0.3">
      <c r="A1733" s="1">
        <v>38219</v>
      </c>
      <c r="B1733">
        <v>10283</v>
      </c>
      <c r="C1733">
        <v>260</v>
      </c>
      <c r="D1733" t="s">
        <v>242</v>
      </c>
      <c r="E1733" t="s">
        <v>172</v>
      </c>
      <c r="F1733" t="s">
        <v>83</v>
      </c>
      <c r="G1733" t="s">
        <v>101</v>
      </c>
      <c r="H1733">
        <v>43</v>
      </c>
      <c r="I1733" s="2">
        <v>41.22</v>
      </c>
      <c r="J1733" s="2">
        <v>32.770000000000003</v>
      </c>
      <c r="K1733" s="2">
        <v>1772.46</v>
      </c>
      <c r="L1733" s="2">
        <v>1409.11</v>
      </c>
      <c r="M1733" s="2">
        <v>363.35</v>
      </c>
      <c r="N1733">
        <v>2</v>
      </c>
    </row>
    <row r="1734" spans="1:14" x14ac:dyDescent="0.3">
      <c r="A1734" s="1">
        <v>38219</v>
      </c>
      <c r="B1734">
        <v>10283</v>
      </c>
      <c r="C1734">
        <v>260</v>
      </c>
      <c r="D1734" t="s">
        <v>242</v>
      </c>
      <c r="E1734" t="s">
        <v>172</v>
      </c>
      <c r="F1734" t="s">
        <v>71</v>
      </c>
      <c r="G1734" t="s">
        <v>80</v>
      </c>
      <c r="H1734">
        <v>33</v>
      </c>
      <c r="I1734" s="2">
        <v>49.14</v>
      </c>
      <c r="J1734" s="2">
        <v>33.299999999999997</v>
      </c>
      <c r="K1734" s="2">
        <v>1621.62</v>
      </c>
      <c r="L1734" s="2">
        <v>1098.9000000000001</v>
      </c>
      <c r="M1734" s="2">
        <v>522.72</v>
      </c>
      <c r="N1734">
        <v>2</v>
      </c>
    </row>
    <row r="1735" spans="1:14" x14ac:dyDescent="0.3">
      <c r="A1735" s="1">
        <v>38220</v>
      </c>
      <c r="B1735">
        <v>10284</v>
      </c>
      <c r="C1735">
        <v>299</v>
      </c>
      <c r="D1735" t="s">
        <v>222</v>
      </c>
      <c r="E1735" t="s">
        <v>28</v>
      </c>
      <c r="F1735" t="s">
        <v>83</v>
      </c>
      <c r="G1735" t="s">
        <v>84</v>
      </c>
      <c r="H1735">
        <v>45</v>
      </c>
      <c r="I1735" s="2">
        <v>137.19</v>
      </c>
      <c r="J1735" s="2">
        <v>77.27</v>
      </c>
      <c r="K1735" s="2">
        <v>6173.55</v>
      </c>
      <c r="L1735" s="2">
        <v>3477.15</v>
      </c>
      <c r="M1735" s="2">
        <v>2696.4</v>
      </c>
      <c r="N1735">
        <v>2</v>
      </c>
    </row>
    <row r="1736" spans="1:14" x14ac:dyDescent="0.3">
      <c r="A1736" s="1">
        <v>38220</v>
      </c>
      <c r="B1736">
        <v>10284</v>
      </c>
      <c r="C1736">
        <v>299</v>
      </c>
      <c r="D1736" t="s">
        <v>222</v>
      </c>
      <c r="E1736" t="s">
        <v>28</v>
      </c>
      <c r="F1736" t="s">
        <v>83</v>
      </c>
      <c r="G1736" t="s">
        <v>85</v>
      </c>
      <c r="H1736">
        <v>31</v>
      </c>
      <c r="I1736" s="2">
        <v>68.430000000000007</v>
      </c>
      <c r="J1736" s="2">
        <v>49</v>
      </c>
      <c r="K1736" s="2">
        <v>2121.33</v>
      </c>
      <c r="L1736" s="2">
        <v>1519</v>
      </c>
      <c r="M1736" s="2">
        <v>602.33000000000004</v>
      </c>
      <c r="N1736">
        <v>2</v>
      </c>
    </row>
    <row r="1737" spans="1:14" x14ac:dyDescent="0.3">
      <c r="A1737" s="1">
        <v>38220</v>
      </c>
      <c r="B1737">
        <v>10284</v>
      </c>
      <c r="C1737">
        <v>299</v>
      </c>
      <c r="D1737" t="s">
        <v>222</v>
      </c>
      <c r="E1737" t="s">
        <v>28</v>
      </c>
      <c r="F1737" t="s">
        <v>83</v>
      </c>
      <c r="G1737" t="s">
        <v>88</v>
      </c>
      <c r="H1737">
        <v>22</v>
      </c>
      <c r="I1737" s="2">
        <v>101.76</v>
      </c>
      <c r="J1737" s="2">
        <v>66.739999999999995</v>
      </c>
      <c r="K1737" s="2">
        <v>2238.7199999999998</v>
      </c>
      <c r="L1737" s="2">
        <v>1468.28</v>
      </c>
      <c r="M1737" s="2">
        <v>770.44</v>
      </c>
      <c r="N1737">
        <v>2</v>
      </c>
    </row>
    <row r="1738" spans="1:14" x14ac:dyDescent="0.3">
      <c r="A1738" s="1">
        <v>38220</v>
      </c>
      <c r="B1738">
        <v>10284</v>
      </c>
      <c r="C1738">
        <v>299</v>
      </c>
      <c r="D1738" t="s">
        <v>222</v>
      </c>
      <c r="E1738" t="s">
        <v>28</v>
      </c>
      <c r="F1738" t="s">
        <v>83</v>
      </c>
      <c r="G1738" t="s">
        <v>89</v>
      </c>
      <c r="H1738">
        <v>30</v>
      </c>
      <c r="I1738" s="2">
        <v>65.08</v>
      </c>
      <c r="J1738" s="2">
        <v>34.25</v>
      </c>
      <c r="K1738" s="2">
        <v>1952.4</v>
      </c>
      <c r="L1738" s="2">
        <v>1027.5</v>
      </c>
      <c r="M1738" s="2">
        <v>924.9</v>
      </c>
      <c r="N1738">
        <v>2</v>
      </c>
    </row>
    <row r="1739" spans="1:14" x14ac:dyDescent="0.3">
      <c r="A1739" s="1">
        <v>38220</v>
      </c>
      <c r="B1739">
        <v>10284</v>
      </c>
      <c r="C1739">
        <v>299</v>
      </c>
      <c r="D1739" t="s">
        <v>222</v>
      </c>
      <c r="E1739" t="s">
        <v>28</v>
      </c>
      <c r="F1739" t="s">
        <v>15</v>
      </c>
      <c r="G1739" t="s">
        <v>90</v>
      </c>
      <c r="H1739">
        <v>39</v>
      </c>
      <c r="I1739" s="2">
        <v>59.83</v>
      </c>
      <c r="J1739" s="2">
        <v>26.3</v>
      </c>
      <c r="K1739" s="2">
        <v>2333.37</v>
      </c>
      <c r="L1739" s="2">
        <v>1025.7</v>
      </c>
      <c r="M1739" s="2">
        <v>1307.67</v>
      </c>
      <c r="N1739">
        <v>2</v>
      </c>
    </row>
    <row r="1740" spans="1:14" x14ac:dyDescent="0.3">
      <c r="A1740" s="1">
        <v>38220</v>
      </c>
      <c r="B1740">
        <v>10284</v>
      </c>
      <c r="C1740">
        <v>299</v>
      </c>
      <c r="D1740" t="s">
        <v>222</v>
      </c>
      <c r="E1740" t="s">
        <v>28</v>
      </c>
      <c r="F1740" t="s">
        <v>83</v>
      </c>
      <c r="G1740" t="s">
        <v>91</v>
      </c>
      <c r="H1740">
        <v>21</v>
      </c>
      <c r="I1740" s="2">
        <v>65.510000000000005</v>
      </c>
      <c r="J1740" s="2">
        <v>29.34</v>
      </c>
      <c r="K1740" s="2">
        <v>1375.71</v>
      </c>
      <c r="L1740" s="2">
        <v>616.14</v>
      </c>
      <c r="M1740" s="2">
        <v>759.57</v>
      </c>
      <c r="N1740">
        <v>2</v>
      </c>
    </row>
    <row r="1741" spans="1:14" x14ac:dyDescent="0.3">
      <c r="A1741" s="1">
        <v>38220</v>
      </c>
      <c r="B1741">
        <v>10284</v>
      </c>
      <c r="C1741">
        <v>299</v>
      </c>
      <c r="D1741" t="s">
        <v>222</v>
      </c>
      <c r="E1741" t="s">
        <v>28</v>
      </c>
      <c r="F1741" t="s">
        <v>83</v>
      </c>
      <c r="G1741" t="s">
        <v>92</v>
      </c>
      <c r="H1741">
        <v>21</v>
      </c>
      <c r="I1741" s="2">
        <v>66.650000000000006</v>
      </c>
      <c r="J1741" s="2">
        <v>36.229999999999997</v>
      </c>
      <c r="K1741" s="2">
        <v>1399.65</v>
      </c>
      <c r="L1741" s="2">
        <v>760.83</v>
      </c>
      <c r="M1741" s="2">
        <v>638.82000000000005</v>
      </c>
      <c r="N1741">
        <v>2</v>
      </c>
    </row>
    <row r="1742" spans="1:14" x14ac:dyDescent="0.3">
      <c r="A1742" s="1">
        <v>38220</v>
      </c>
      <c r="B1742">
        <v>10284</v>
      </c>
      <c r="C1742">
        <v>299</v>
      </c>
      <c r="D1742" t="s">
        <v>222</v>
      </c>
      <c r="E1742" t="s">
        <v>28</v>
      </c>
      <c r="F1742" t="s">
        <v>15</v>
      </c>
      <c r="G1742" t="s">
        <v>93</v>
      </c>
      <c r="H1742">
        <v>50</v>
      </c>
      <c r="I1742" s="2">
        <v>60.54</v>
      </c>
      <c r="J1742" s="2">
        <v>33.020000000000003</v>
      </c>
      <c r="K1742" s="2">
        <v>3027</v>
      </c>
      <c r="L1742" s="2">
        <v>1651</v>
      </c>
      <c r="M1742" s="2">
        <v>1376</v>
      </c>
      <c r="N1742">
        <v>2</v>
      </c>
    </row>
    <row r="1743" spans="1:14" x14ac:dyDescent="0.3">
      <c r="A1743" s="1">
        <v>38220</v>
      </c>
      <c r="B1743">
        <v>10284</v>
      </c>
      <c r="C1743">
        <v>299</v>
      </c>
      <c r="D1743" t="s">
        <v>222</v>
      </c>
      <c r="E1743" t="s">
        <v>28</v>
      </c>
      <c r="F1743" t="s">
        <v>15</v>
      </c>
      <c r="G1743" t="s">
        <v>94</v>
      </c>
      <c r="H1743">
        <v>33</v>
      </c>
      <c r="I1743" s="2">
        <v>35.78</v>
      </c>
      <c r="J1743" s="2">
        <v>27.06</v>
      </c>
      <c r="K1743" s="2">
        <v>1180.74</v>
      </c>
      <c r="L1743" s="2">
        <v>892.98</v>
      </c>
      <c r="M1743" s="2">
        <v>287.76</v>
      </c>
      <c r="N1743">
        <v>2</v>
      </c>
    </row>
    <row r="1744" spans="1:14" x14ac:dyDescent="0.3">
      <c r="A1744" s="1">
        <v>38220</v>
      </c>
      <c r="B1744">
        <v>10284</v>
      </c>
      <c r="C1744">
        <v>299</v>
      </c>
      <c r="D1744" t="s">
        <v>222</v>
      </c>
      <c r="E1744" t="s">
        <v>28</v>
      </c>
      <c r="F1744" t="s">
        <v>83</v>
      </c>
      <c r="G1744" t="s">
        <v>95</v>
      </c>
      <c r="H1744">
        <v>24</v>
      </c>
      <c r="I1744" s="2">
        <v>87.69</v>
      </c>
      <c r="J1744" s="2">
        <v>51.15</v>
      </c>
      <c r="K1744" s="2">
        <v>2104.56</v>
      </c>
      <c r="L1744" s="2">
        <v>1227.5999999999999</v>
      </c>
      <c r="M1744" s="2">
        <v>876.96</v>
      </c>
      <c r="N1744">
        <v>2</v>
      </c>
    </row>
    <row r="1745" spans="1:14" x14ac:dyDescent="0.3">
      <c r="A1745" s="1">
        <v>38220</v>
      </c>
      <c r="B1745">
        <v>10284</v>
      </c>
      <c r="C1745">
        <v>299</v>
      </c>
      <c r="D1745" t="s">
        <v>222</v>
      </c>
      <c r="E1745" t="s">
        <v>28</v>
      </c>
      <c r="F1745" t="s">
        <v>83</v>
      </c>
      <c r="G1745" t="s">
        <v>97</v>
      </c>
      <c r="H1745">
        <v>45</v>
      </c>
      <c r="I1745" s="2">
        <v>95.73</v>
      </c>
      <c r="J1745" s="2">
        <v>68.8</v>
      </c>
      <c r="K1745" s="2">
        <v>4307.8500000000004</v>
      </c>
      <c r="L1745" s="2">
        <v>3096</v>
      </c>
      <c r="M1745" s="2">
        <v>1211.8499999999999</v>
      </c>
      <c r="N1745">
        <v>2</v>
      </c>
    </row>
    <row r="1746" spans="1:14" x14ac:dyDescent="0.3">
      <c r="A1746" s="1">
        <v>38220</v>
      </c>
      <c r="B1746">
        <v>10284</v>
      </c>
      <c r="C1746">
        <v>299</v>
      </c>
      <c r="D1746" t="s">
        <v>222</v>
      </c>
      <c r="E1746" t="s">
        <v>28</v>
      </c>
      <c r="F1746" t="s">
        <v>83</v>
      </c>
      <c r="G1746" t="s">
        <v>99</v>
      </c>
      <c r="H1746">
        <v>25</v>
      </c>
      <c r="I1746" s="2">
        <v>68</v>
      </c>
      <c r="J1746" s="2">
        <v>54.4</v>
      </c>
      <c r="K1746" s="2">
        <v>1700</v>
      </c>
      <c r="L1746" s="2">
        <v>1360</v>
      </c>
      <c r="M1746" s="2">
        <v>340</v>
      </c>
      <c r="N1746">
        <v>2</v>
      </c>
    </row>
    <row r="1747" spans="1:14" x14ac:dyDescent="0.3">
      <c r="A1747" s="1">
        <v>38220</v>
      </c>
      <c r="B1747">
        <v>10284</v>
      </c>
      <c r="C1747">
        <v>299</v>
      </c>
      <c r="D1747" t="s">
        <v>222</v>
      </c>
      <c r="E1747" t="s">
        <v>28</v>
      </c>
      <c r="F1747" t="s">
        <v>83</v>
      </c>
      <c r="G1747" t="s">
        <v>100</v>
      </c>
      <c r="H1747">
        <v>32</v>
      </c>
      <c r="I1747" s="2">
        <v>73.290000000000006</v>
      </c>
      <c r="J1747" s="2">
        <v>36.270000000000003</v>
      </c>
      <c r="K1747" s="2">
        <v>2345.2800000000002</v>
      </c>
      <c r="L1747" s="2">
        <v>1160.6400000000001</v>
      </c>
      <c r="M1747" s="2">
        <v>1184.6400000000001</v>
      </c>
      <c r="N1747">
        <v>2</v>
      </c>
    </row>
    <row r="1748" spans="1:14" x14ac:dyDescent="0.3">
      <c r="A1748" s="1">
        <v>38226</v>
      </c>
      <c r="B1748">
        <v>10285</v>
      </c>
      <c r="C1748">
        <v>286</v>
      </c>
      <c r="D1748" t="s">
        <v>247</v>
      </c>
      <c r="E1748" t="s">
        <v>14</v>
      </c>
      <c r="F1748" t="s">
        <v>102</v>
      </c>
      <c r="G1748" t="s">
        <v>103</v>
      </c>
      <c r="H1748">
        <v>36</v>
      </c>
      <c r="I1748" s="2">
        <v>95.7</v>
      </c>
      <c r="J1748" s="2">
        <v>48.81</v>
      </c>
      <c r="K1748" s="2">
        <v>3445.2</v>
      </c>
      <c r="L1748" s="2">
        <v>1757.16</v>
      </c>
      <c r="M1748" s="2">
        <v>1688.04</v>
      </c>
      <c r="N1748">
        <v>1</v>
      </c>
    </row>
    <row r="1749" spans="1:14" x14ac:dyDescent="0.3">
      <c r="A1749" s="1">
        <v>38226</v>
      </c>
      <c r="B1749">
        <v>10285</v>
      </c>
      <c r="C1749">
        <v>286</v>
      </c>
      <c r="D1749" t="s">
        <v>247</v>
      </c>
      <c r="E1749" t="s">
        <v>14</v>
      </c>
      <c r="F1749" t="s">
        <v>102</v>
      </c>
      <c r="G1749" t="s">
        <v>104</v>
      </c>
      <c r="H1749">
        <v>47</v>
      </c>
      <c r="I1749" s="2">
        <v>110.61</v>
      </c>
      <c r="J1749" s="2">
        <v>68.989999999999995</v>
      </c>
      <c r="K1749" s="2">
        <v>5198.67</v>
      </c>
      <c r="L1749" s="2">
        <v>3242.53</v>
      </c>
      <c r="M1749" s="2">
        <v>1956.14</v>
      </c>
      <c r="N1749">
        <v>1</v>
      </c>
    </row>
    <row r="1750" spans="1:14" x14ac:dyDescent="0.3">
      <c r="A1750" s="1">
        <v>38226</v>
      </c>
      <c r="B1750">
        <v>10285</v>
      </c>
      <c r="C1750">
        <v>286</v>
      </c>
      <c r="D1750" t="s">
        <v>247</v>
      </c>
      <c r="E1750" t="s">
        <v>14</v>
      </c>
      <c r="F1750" t="s">
        <v>102</v>
      </c>
      <c r="G1750" t="s">
        <v>105</v>
      </c>
      <c r="H1750">
        <v>27</v>
      </c>
      <c r="I1750" s="2">
        <v>166.55</v>
      </c>
      <c r="J1750" s="2">
        <v>91.02</v>
      </c>
      <c r="K1750" s="2">
        <v>4496.8500000000004</v>
      </c>
      <c r="L1750" s="2">
        <v>2457.54</v>
      </c>
      <c r="M1750" s="2">
        <v>2039.31</v>
      </c>
      <c r="N1750">
        <v>1</v>
      </c>
    </row>
    <row r="1751" spans="1:14" x14ac:dyDescent="0.3">
      <c r="A1751" s="1">
        <v>38226</v>
      </c>
      <c r="B1751">
        <v>10285</v>
      </c>
      <c r="C1751">
        <v>286</v>
      </c>
      <c r="D1751" t="s">
        <v>247</v>
      </c>
      <c r="E1751" t="s">
        <v>14</v>
      </c>
      <c r="F1751" t="s">
        <v>102</v>
      </c>
      <c r="G1751" t="s">
        <v>106</v>
      </c>
      <c r="H1751">
        <v>49</v>
      </c>
      <c r="I1751" s="2">
        <v>131.04</v>
      </c>
      <c r="J1751" s="2">
        <v>66.27</v>
      </c>
      <c r="K1751" s="2">
        <v>6420.96</v>
      </c>
      <c r="L1751" s="2">
        <v>3247.23</v>
      </c>
      <c r="M1751" s="2">
        <v>3173.73</v>
      </c>
      <c r="N1751">
        <v>1</v>
      </c>
    </row>
    <row r="1752" spans="1:14" x14ac:dyDescent="0.3">
      <c r="A1752" s="1">
        <v>38226</v>
      </c>
      <c r="B1752">
        <v>10285</v>
      </c>
      <c r="C1752">
        <v>286</v>
      </c>
      <c r="D1752" t="s">
        <v>247</v>
      </c>
      <c r="E1752" t="s">
        <v>14</v>
      </c>
      <c r="F1752" t="s">
        <v>102</v>
      </c>
      <c r="G1752" t="s">
        <v>107</v>
      </c>
      <c r="H1752">
        <v>20</v>
      </c>
      <c r="I1752" s="2">
        <v>50.88</v>
      </c>
      <c r="J1752" s="2">
        <v>24.23</v>
      </c>
      <c r="K1752" s="2">
        <v>1017.6</v>
      </c>
      <c r="L1752" s="2">
        <v>484.6</v>
      </c>
      <c r="M1752" s="2">
        <v>533</v>
      </c>
      <c r="N1752">
        <v>1</v>
      </c>
    </row>
    <row r="1753" spans="1:14" x14ac:dyDescent="0.3">
      <c r="A1753" s="1">
        <v>38226</v>
      </c>
      <c r="B1753">
        <v>10285</v>
      </c>
      <c r="C1753">
        <v>286</v>
      </c>
      <c r="D1753" t="s">
        <v>247</v>
      </c>
      <c r="E1753" t="s">
        <v>14</v>
      </c>
      <c r="F1753" t="s">
        <v>102</v>
      </c>
      <c r="G1753" t="s">
        <v>108</v>
      </c>
      <c r="H1753">
        <v>34</v>
      </c>
      <c r="I1753" s="2">
        <v>91.29</v>
      </c>
      <c r="J1753" s="2">
        <v>60.86</v>
      </c>
      <c r="K1753" s="2">
        <v>3103.86</v>
      </c>
      <c r="L1753" s="2">
        <v>2069.2399999999998</v>
      </c>
      <c r="M1753" s="2">
        <v>1034.6199999999999</v>
      </c>
      <c r="N1753">
        <v>1</v>
      </c>
    </row>
    <row r="1754" spans="1:14" x14ac:dyDescent="0.3">
      <c r="A1754" s="1">
        <v>38226</v>
      </c>
      <c r="B1754">
        <v>10285</v>
      </c>
      <c r="C1754">
        <v>286</v>
      </c>
      <c r="D1754" t="s">
        <v>247</v>
      </c>
      <c r="E1754" t="s">
        <v>14</v>
      </c>
      <c r="F1754" t="s">
        <v>102</v>
      </c>
      <c r="G1754" t="s">
        <v>109</v>
      </c>
      <c r="H1754">
        <v>39</v>
      </c>
      <c r="I1754" s="2">
        <v>61.7</v>
      </c>
      <c r="J1754" s="2">
        <v>37.32</v>
      </c>
      <c r="K1754" s="2">
        <v>2406.3000000000002</v>
      </c>
      <c r="L1754" s="2">
        <v>1455.48</v>
      </c>
      <c r="M1754" s="2">
        <v>950.82</v>
      </c>
      <c r="N1754">
        <v>1</v>
      </c>
    </row>
    <row r="1755" spans="1:14" x14ac:dyDescent="0.3">
      <c r="A1755" s="1">
        <v>38226</v>
      </c>
      <c r="B1755">
        <v>10285</v>
      </c>
      <c r="C1755">
        <v>286</v>
      </c>
      <c r="D1755" t="s">
        <v>247</v>
      </c>
      <c r="E1755" t="s">
        <v>14</v>
      </c>
      <c r="F1755" t="s">
        <v>102</v>
      </c>
      <c r="G1755" t="s">
        <v>121</v>
      </c>
      <c r="H1755">
        <v>38</v>
      </c>
      <c r="I1755" s="2">
        <v>64.41</v>
      </c>
      <c r="J1755" s="2">
        <v>47.1</v>
      </c>
      <c r="K1755" s="2">
        <v>2447.58</v>
      </c>
      <c r="L1755" s="2">
        <v>1789.8</v>
      </c>
      <c r="M1755" s="2">
        <v>657.78</v>
      </c>
      <c r="N1755">
        <v>1</v>
      </c>
    </row>
    <row r="1756" spans="1:14" x14ac:dyDescent="0.3">
      <c r="A1756" s="1">
        <v>38226</v>
      </c>
      <c r="B1756">
        <v>10285</v>
      </c>
      <c r="C1756">
        <v>286</v>
      </c>
      <c r="D1756" t="s">
        <v>247</v>
      </c>
      <c r="E1756" t="s">
        <v>14</v>
      </c>
      <c r="F1756" t="s">
        <v>102</v>
      </c>
      <c r="G1756" t="s">
        <v>110</v>
      </c>
      <c r="H1756">
        <v>37</v>
      </c>
      <c r="I1756" s="2">
        <v>82.91</v>
      </c>
      <c r="J1756" s="2">
        <v>66.92</v>
      </c>
      <c r="K1756" s="2">
        <v>3067.67</v>
      </c>
      <c r="L1756" s="2">
        <v>2476.04</v>
      </c>
      <c r="M1756" s="2">
        <v>591.63</v>
      </c>
      <c r="N1756">
        <v>1</v>
      </c>
    </row>
    <row r="1757" spans="1:14" x14ac:dyDescent="0.3">
      <c r="A1757" s="1">
        <v>38226</v>
      </c>
      <c r="B1757">
        <v>10285</v>
      </c>
      <c r="C1757">
        <v>286</v>
      </c>
      <c r="D1757" t="s">
        <v>247</v>
      </c>
      <c r="E1757" t="s">
        <v>14</v>
      </c>
      <c r="F1757" t="s">
        <v>102</v>
      </c>
      <c r="G1757" t="s">
        <v>125</v>
      </c>
      <c r="H1757">
        <v>37</v>
      </c>
      <c r="I1757" s="2">
        <v>36.61</v>
      </c>
      <c r="J1757" s="2">
        <v>24.14</v>
      </c>
      <c r="K1757" s="2">
        <v>1354.57</v>
      </c>
      <c r="L1757" s="2">
        <v>893.18</v>
      </c>
      <c r="M1757" s="2">
        <v>461.39</v>
      </c>
      <c r="N1757">
        <v>1</v>
      </c>
    </row>
    <row r="1758" spans="1:14" x14ac:dyDescent="0.3">
      <c r="A1758" s="1">
        <v>38226</v>
      </c>
      <c r="B1758">
        <v>10285</v>
      </c>
      <c r="C1758">
        <v>286</v>
      </c>
      <c r="D1758" t="s">
        <v>247</v>
      </c>
      <c r="E1758" t="s">
        <v>14</v>
      </c>
      <c r="F1758" t="s">
        <v>102</v>
      </c>
      <c r="G1758" t="s">
        <v>126</v>
      </c>
      <c r="H1758">
        <v>26</v>
      </c>
      <c r="I1758" s="2">
        <v>100.01</v>
      </c>
      <c r="J1758" s="2">
        <v>56.13</v>
      </c>
      <c r="K1758" s="2">
        <v>2600.2600000000002</v>
      </c>
      <c r="L1758" s="2">
        <v>1459.38</v>
      </c>
      <c r="M1758" s="2">
        <v>1140.8800000000001</v>
      </c>
      <c r="N1758">
        <v>1</v>
      </c>
    </row>
    <row r="1759" spans="1:14" x14ac:dyDescent="0.3">
      <c r="A1759" s="1">
        <v>38226</v>
      </c>
      <c r="B1759">
        <v>10285</v>
      </c>
      <c r="C1759">
        <v>286</v>
      </c>
      <c r="D1759" t="s">
        <v>247</v>
      </c>
      <c r="E1759" t="s">
        <v>14</v>
      </c>
      <c r="F1759" t="s">
        <v>102</v>
      </c>
      <c r="G1759" t="s">
        <v>127</v>
      </c>
      <c r="H1759">
        <v>39</v>
      </c>
      <c r="I1759" s="2">
        <v>76.48</v>
      </c>
      <c r="J1759" s="2">
        <v>34.17</v>
      </c>
      <c r="K1759" s="2">
        <v>2982.72</v>
      </c>
      <c r="L1759" s="2">
        <v>1332.63</v>
      </c>
      <c r="M1759" s="2">
        <v>1650.09</v>
      </c>
      <c r="N1759">
        <v>1</v>
      </c>
    </row>
    <row r="1760" spans="1:14" x14ac:dyDescent="0.3">
      <c r="A1760" s="1">
        <v>38226</v>
      </c>
      <c r="B1760">
        <v>10285</v>
      </c>
      <c r="C1760">
        <v>286</v>
      </c>
      <c r="D1760" t="s">
        <v>247</v>
      </c>
      <c r="E1760" t="s">
        <v>14</v>
      </c>
      <c r="F1760" t="s">
        <v>83</v>
      </c>
      <c r="G1760" t="s">
        <v>98</v>
      </c>
      <c r="H1760">
        <v>45</v>
      </c>
      <c r="I1760" s="2">
        <v>102.04</v>
      </c>
      <c r="J1760" s="2">
        <v>59.33</v>
      </c>
      <c r="K1760" s="2">
        <v>4591.8</v>
      </c>
      <c r="L1760" s="2">
        <v>2669.85</v>
      </c>
      <c r="M1760" s="2">
        <v>1921.95</v>
      </c>
      <c r="N1760">
        <v>1</v>
      </c>
    </row>
    <row r="1761" spans="1:14" x14ac:dyDescent="0.3">
      <c r="A1761" s="1">
        <v>38227</v>
      </c>
      <c r="B1761">
        <v>10286</v>
      </c>
      <c r="C1761">
        <v>172</v>
      </c>
      <c r="D1761" t="s">
        <v>207</v>
      </c>
      <c r="E1761" t="s">
        <v>144</v>
      </c>
      <c r="F1761" t="s">
        <v>102</v>
      </c>
      <c r="G1761" t="s">
        <v>119</v>
      </c>
      <c r="H1761">
        <v>38</v>
      </c>
      <c r="I1761" s="2">
        <v>51.6</v>
      </c>
      <c r="J1761" s="2">
        <v>32.950000000000003</v>
      </c>
      <c r="K1761" s="2">
        <v>1960.8</v>
      </c>
      <c r="L1761" s="2">
        <v>1252.0999999999999</v>
      </c>
      <c r="M1761" s="2">
        <v>708.7</v>
      </c>
      <c r="N1761">
        <v>2</v>
      </c>
    </row>
    <row r="1762" spans="1:14" x14ac:dyDescent="0.3">
      <c r="A1762" s="1">
        <v>38229</v>
      </c>
      <c r="B1762">
        <v>10287</v>
      </c>
      <c r="C1762">
        <v>298</v>
      </c>
      <c r="D1762" t="s">
        <v>190</v>
      </c>
      <c r="E1762" t="s">
        <v>191</v>
      </c>
      <c r="F1762" t="s">
        <v>29</v>
      </c>
      <c r="G1762" t="s">
        <v>112</v>
      </c>
      <c r="H1762">
        <v>21</v>
      </c>
      <c r="I1762" s="2">
        <v>190.68</v>
      </c>
      <c r="J1762" s="2">
        <v>95.34</v>
      </c>
      <c r="K1762" s="2">
        <v>4004.28</v>
      </c>
      <c r="L1762" s="2">
        <v>2002.14</v>
      </c>
      <c r="M1762" s="2">
        <v>2002.14</v>
      </c>
      <c r="N1762">
        <v>2</v>
      </c>
    </row>
    <row r="1763" spans="1:14" x14ac:dyDescent="0.3">
      <c r="A1763" s="1">
        <v>38229</v>
      </c>
      <c r="B1763">
        <v>10287</v>
      </c>
      <c r="C1763">
        <v>298</v>
      </c>
      <c r="D1763" t="s">
        <v>190</v>
      </c>
      <c r="E1763" t="s">
        <v>191</v>
      </c>
      <c r="F1763" t="s">
        <v>29</v>
      </c>
      <c r="G1763" t="s">
        <v>113</v>
      </c>
      <c r="H1763">
        <v>45</v>
      </c>
      <c r="I1763" s="2">
        <v>117.44</v>
      </c>
      <c r="J1763" s="2">
        <v>75.16</v>
      </c>
      <c r="K1763" s="2">
        <v>5284.8</v>
      </c>
      <c r="L1763" s="2">
        <v>3382.2</v>
      </c>
      <c r="M1763" s="2">
        <v>1902.6</v>
      </c>
      <c r="N1763">
        <v>2</v>
      </c>
    </row>
    <row r="1764" spans="1:14" x14ac:dyDescent="0.3">
      <c r="A1764" s="1">
        <v>38229</v>
      </c>
      <c r="B1764">
        <v>10287</v>
      </c>
      <c r="C1764">
        <v>298</v>
      </c>
      <c r="D1764" t="s">
        <v>190</v>
      </c>
      <c r="E1764" t="s">
        <v>191</v>
      </c>
      <c r="F1764" t="s">
        <v>29</v>
      </c>
      <c r="G1764" t="s">
        <v>114</v>
      </c>
      <c r="H1764">
        <v>41</v>
      </c>
      <c r="I1764" s="2">
        <v>74.209999999999994</v>
      </c>
      <c r="J1764" s="2">
        <v>31.92</v>
      </c>
      <c r="K1764" s="2">
        <v>3042.61</v>
      </c>
      <c r="L1764" s="2">
        <v>1308.72</v>
      </c>
      <c r="M1764" s="2">
        <v>1733.89</v>
      </c>
      <c r="N1764">
        <v>2</v>
      </c>
    </row>
    <row r="1765" spans="1:14" x14ac:dyDescent="0.3">
      <c r="A1765" s="1">
        <v>38229</v>
      </c>
      <c r="B1765">
        <v>10287</v>
      </c>
      <c r="C1765">
        <v>298</v>
      </c>
      <c r="D1765" t="s">
        <v>190</v>
      </c>
      <c r="E1765" t="s">
        <v>191</v>
      </c>
      <c r="F1765" t="s">
        <v>29</v>
      </c>
      <c r="G1765" t="s">
        <v>115</v>
      </c>
      <c r="H1765">
        <v>23</v>
      </c>
      <c r="I1765" s="2">
        <v>107.1</v>
      </c>
      <c r="J1765" s="2">
        <v>58.73</v>
      </c>
      <c r="K1765" s="2">
        <v>2463.3000000000002</v>
      </c>
      <c r="L1765" s="2">
        <v>1350.79</v>
      </c>
      <c r="M1765" s="2">
        <v>1112.51</v>
      </c>
      <c r="N1765">
        <v>2</v>
      </c>
    </row>
    <row r="1766" spans="1:14" x14ac:dyDescent="0.3">
      <c r="A1766" s="1">
        <v>38229</v>
      </c>
      <c r="B1766">
        <v>10287</v>
      </c>
      <c r="C1766">
        <v>298</v>
      </c>
      <c r="D1766" t="s">
        <v>190</v>
      </c>
      <c r="E1766" t="s">
        <v>191</v>
      </c>
      <c r="F1766" t="s">
        <v>29</v>
      </c>
      <c r="G1766" t="s">
        <v>128</v>
      </c>
      <c r="H1766">
        <v>41</v>
      </c>
      <c r="I1766" s="2">
        <v>113.23</v>
      </c>
      <c r="J1766" s="2">
        <v>83.51</v>
      </c>
      <c r="K1766" s="2">
        <v>4642.43</v>
      </c>
      <c r="L1766" s="2">
        <v>3423.91</v>
      </c>
      <c r="M1766" s="2">
        <v>1218.52</v>
      </c>
      <c r="N1766">
        <v>2</v>
      </c>
    </row>
    <row r="1767" spans="1:14" x14ac:dyDescent="0.3">
      <c r="A1767" s="1">
        <v>38229</v>
      </c>
      <c r="B1767">
        <v>10287</v>
      </c>
      <c r="C1767">
        <v>298</v>
      </c>
      <c r="D1767" t="s">
        <v>190</v>
      </c>
      <c r="E1767" t="s">
        <v>191</v>
      </c>
      <c r="F1767" t="s">
        <v>29</v>
      </c>
      <c r="G1767" t="s">
        <v>116</v>
      </c>
      <c r="H1767">
        <v>44</v>
      </c>
      <c r="I1767" s="2">
        <v>61.6</v>
      </c>
      <c r="J1767" s="2">
        <v>53.9</v>
      </c>
      <c r="K1767" s="2">
        <v>2710.4</v>
      </c>
      <c r="L1767" s="2">
        <v>2371.6</v>
      </c>
      <c r="M1767" s="2">
        <v>338.8</v>
      </c>
      <c r="N1767">
        <v>2</v>
      </c>
    </row>
    <row r="1768" spans="1:14" x14ac:dyDescent="0.3">
      <c r="A1768" s="1">
        <v>38229</v>
      </c>
      <c r="B1768">
        <v>10287</v>
      </c>
      <c r="C1768">
        <v>298</v>
      </c>
      <c r="D1768" t="s">
        <v>190</v>
      </c>
      <c r="E1768" t="s">
        <v>191</v>
      </c>
      <c r="F1768" t="s">
        <v>29</v>
      </c>
      <c r="G1768" t="s">
        <v>129</v>
      </c>
      <c r="H1768">
        <v>24</v>
      </c>
      <c r="I1768" s="2">
        <v>123.76</v>
      </c>
      <c r="J1768" s="2">
        <v>93.89</v>
      </c>
      <c r="K1768" s="2">
        <v>2970.24</v>
      </c>
      <c r="L1768" s="2">
        <v>2253.36</v>
      </c>
      <c r="M1768" s="2">
        <v>716.88</v>
      </c>
      <c r="N1768">
        <v>2</v>
      </c>
    </row>
    <row r="1769" spans="1:14" x14ac:dyDescent="0.3">
      <c r="A1769" s="1">
        <v>38229</v>
      </c>
      <c r="B1769">
        <v>10287</v>
      </c>
      <c r="C1769">
        <v>298</v>
      </c>
      <c r="D1769" t="s">
        <v>190</v>
      </c>
      <c r="E1769" t="s">
        <v>191</v>
      </c>
      <c r="F1769" t="s">
        <v>29</v>
      </c>
      <c r="G1769" t="s">
        <v>130</v>
      </c>
      <c r="H1769">
        <v>44</v>
      </c>
      <c r="I1769" s="2">
        <v>114.84</v>
      </c>
      <c r="J1769" s="2">
        <v>56.76</v>
      </c>
      <c r="K1769" s="2">
        <v>5052.96</v>
      </c>
      <c r="L1769" s="2">
        <v>2497.44</v>
      </c>
      <c r="M1769" s="2">
        <v>2555.52</v>
      </c>
      <c r="N1769">
        <v>2</v>
      </c>
    </row>
    <row r="1770" spans="1:14" x14ac:dyDescent="0.3">
      <c r="A1770" s="1">
        <v>38229</v>
      </c>
      <c r="B1770">
        <v>10287</v>
      </c>
      <c r="C1770">
        <v>298</v>
      </c>
      <c r="D1770" t="s">
        <v>190</v>
      </c>
      <c r="E1770" t="s">
        <v>191</v>
      </c>
      <c r="F1770" t="s">
        <v>29</v>
      </c>
      <c r="G1770" t="s">
        <v>53</v>
      </c>
      <c r="H1770">
        <v>36</v>
      </c>
      <c r="I1770" s="2">
        <v>137.16999999999999</v>
      </c>
      <c r="J1770" s="2">
        <v>77.900000000000006</v>
      </c>
      <c r="K1770" s="2">
        <v>4938.12</v>
      </c>
      <c r="L1770" s="2">
        <v>2804.4</v>
      </c>
      <c r="M1770" s="2">
        <v>2133.7199999999998</v>
      </c>
      <c r="N1770">
        <v>2</v>
      </c>
    </row>
    <row r="1771" spans="1:14" x14ac:dyDescent="0.3">
      <c r="A1771" s="1">
        <v>38229</v>
      </c>
      <c r="B1771">
        <v>10287</v>
      </c>
      <c r="C1771">
        <v>298</v>
      </c>
      <c r="D1771" t="s">
        <v>190</v>
      </c>
      <c r="E1771" t="s">
        <v>191</v>
      </c>
      <c r="F1771" t="s">
        <v>29</v>
      </c>
      <c r="G1771" t="s">
        <v>117</v>
      </c>
      <c r="H1771">
        <v>43</v>
      </c>
      <c r="I1771" s="2">
        <v>68.349999999999994</v>
      </c>
      <c r="J1771" s="2">
        <v>49.05</v>
      </c>
      <c r="K1771" s="2">
        <v>2939.05</v>
      </c>
      <c r="L1771" s="2">
        <v>2109.15</v>
      </c>
      <c r="M1771" s="2">
        <v>829.9</v>
      </c>
      <c r="N1771">
        <v>2</v>
      </c>
    </row>
    <row r="1772" spans="1:14" x14ac:dyDescent="0.3">
      <c r="A1772" s="1">
        <v>38229</v>
      </c>
      <c r="B1772">
        <v>10287</v>
      </c>
      <c r="C1772">
        <v>298</v>
      </c>
      <c r="D1772" t="s">
        <v>190</v>
      </c>
      <c r="E1772" t="s">
        <v>191</v>
      </c>
      <c r="F1772" t="s">
        <v>29</v>
      </c>
      <c r="G1772" t="s">
        <v>118</v>
      </c>
      <c r="H1772">
        <v>40</v>
      </c>
      <c r="I1772" s="2">
        <v>127.88</v>
      </c>
      <c r="J1772" s="2">
        <v>73.489999999999995</v>
      </c>
      <c r="K1772" s="2">
        <v>5115.2</v>
      </c>
      <c r="L1772" s="2">
        <v>2939.6</v>
      </c>
      <c r="M1772" s="2">
        <v>2175.6</v>
      </c>
      <c r="N1772">
        <v>2</v>
      </c>
    </row>
    <row r="1773" spans="1:14" x14ac:dyDescent="0.3">
      <c r="A1773" s="1">
        <v>38229</v>
      </c>
      <c r="B1773">
        <v>10287</v>
      </c>
      <c r="C1773">
        <v>298</v>
      </c>
      <c r="D1773" t="s">
        <v>190</v>
      </c>
      <c r="E1773" t="s">
        <v>191</v>
      </c>
      <c r="F1773" t="s">
        <v>29</v>
      </c>
      <c r="G1773" t="s">
        <v>131</v>
      </c>
      <c r="H1773">
        <v>27</v>
      </c>
      <c r="I1773" s="2">
        <v>139.87</v>
      </c>
      <c r="J1773" s="2">
        <v>62.16</v>
      </c>
      <c r="K1773" s="2">
        <v>3776.49</v>
      </c>
      <c r="L1773" s="2">
        <v>1678.32</v>
      </c>
      <c r="M1773" s="2">
        <v>2098.17</v>
      </c>
      <c r="N1773">
        <v>2</v>
      </c>
    </row>
    <row r="1774" spans="1:14" x14ac:dyDescent="0.3">
      <c r="A1774" s="1">
        <v>38229</v>
      </c>
      <c r="B1774">
        <v>10287</v>
      </c>
      <c r="C1774">
        <v>298</v>
      </c>
      <c r="D1774" t="s">
        <v>190</v>
      </c>
      <c r="E1774" t="s">
        <v>191</v>
      </c>
      <c r="F1774" t="s">
        <v>29</v>
      </c>
      <c r="G1774" t="s">
        <v>120</v>
      </c>
      <c r="H1774">
        <v>34</v>
      </c>
      <c r="I1774" s="2">
        <v>119.04</v>
      </c>
      <c r="J1774" s="2">
        <v>69.930000000000007</v>
      </c>
      <c r="K1774" s="2">
        <v>4047.36</v>
      </c>
      <c r="L1774" s="2">
        <v>2377.62</v>
      </c>
      <c r="M1774" s="2">
        <v>1669.74</v>
      </c>
      <c r="N1774">
        <v>2</v>
      </c>
    </row>
    <row r="1775" spans="1:14" x14ac:dyDescent="0.3">
      <c r="A1775" s="1">
        <v>38229</v>
      </c>
      <c r="B1775">
        <v>10287</v>
      </c>
      <c r="C1775">
        <v>298</v>
      </c>
      <c r="D1775" t="s">
        <v>190</v>
      </c>
      <c r="E1775" t="s">
        <v>191</v>
      </c>
      <c r="F1775" t="s">
        <v>29</v>
      </c>
      <c r="G1775" t="s">
        <v>132</v>
      </c>
      <c r="H1775">
        <v>36</v>
      </c>
      <c r="I1775" s="2">
        <v>31.34</v>
      </c>
      <c r="J1775" s="2">
        <v>16.239999999999998</v>
      </c>
      <c r="K1775" s="2">
        <v>1128.24</v>
      </c>
      <c r="L1775" s="2">
        <v>584.64</v>
      </c>
      <c r="M1775" s="2">
        <v>543.6</v>
      </c>
      <c r="N1775">
        <v>2</v>
      </c>
    </row>
    <row r="1776" spans="1:14" x14ac:dyDescent="0.3">
      <c r="A1776" s="1">
        <v>38229</v>
      </c>
      <c r="B1776">
        <v>10287</v>
      </c>
      <c r="C1776">
        <v>298</v>
      </c>
      <c r="D1776" t="s">
        <v>190</v>
      </c>
      <c r="E1776" t="s">
        <v>191</v>
      </c>
      <c r="F1776" t="s">
        <v>29</v>
      </c>
      <c r="G1776" t="s">
        <v>122</v>
      </c>
      <c r="H1776">
        <v>20</v>
      </c>
      <c r="I1776" s="2">
        <v>58.17</v>
      </c>
      <c r="J1776" s="2">
        <v>38.58</v>
      </c>
      <c r="K1776" s="2">
        <v>1163.4000000000001</v>
      </c>
      <c r="L1776" s="2">
        <v>771.6</v>
      </c>
      <c r="M1776" s="2">
        <v>391.8</v>
      </c>
      <c r="N1776">
        <v>2</v>
      </c>
    </row>
    <row r="1777" spans="1:14" x14ac:dyDescent="0.3">
      <c r="A1777" s="1">
        <v>38229</v>
      </c>
      <c r="B1777">
        <v>10287</v>
      </c>
      <c r="C1777">
        <v>298</v>
      </c>
      <c r="D1777" t="s">
        <v>190</v>
      </c>
      <c r="E1777" t="s">
        <v>191</v>
      </c>
      <c r="F1777" t="s">
        <v>29</v>
      </c>
      <c r="G1777" t="s">
        <v>123</v>
      </c>
      <c r="H1777">
        <v>36</v>
      </c>
      <c r="I1777" s="2">
        <v>137.62</v>
      </c>
      <c r="J1777" s="2">
        <v>98.3</v>
      </c>
      <c r="K1777" s="2">
        <v>4954.32</v>
      </c>
      <c r="L1777" s="2">
        <v>3538.8</v>
      </c>
      <c r="M1777" s="2">
        <v>1415.52</v>
      </c>
      <c r="N1777">
        <v>2</v>
      </c>
    </row>
    <row r="1778" spans="1:14" x14ac:dyDescent="0.3">
      <c r="A1778" s="1">
        <v>38229</v>
      </c>
      <c r="B1778">
        <v>10287</v>
      </c>
      <c r="C1778">
        <v>298</v>
      </c>
      <c r="D1778" t="s">
        <v>190</v>
      </c>
      <c r="E1778" t="s">
        <v>191</v>
      </c>
      <c r="F1778" t="s">
        <v>29</v>
      </c>
      <c r="G1778" t="s">
        <v>124</v>
      </c>
      <c r="H1778">
        <v>40</v>
      </c>
      <c r="I1778" s="2">
        <v>79.22</v>
      </c>
      <c r="J1778" s="2">
        <v>32.33</v>
      </c>
      <c r="K1778" s="2">
        <v>3168.8</v>
      </c>
      <c r="L1778" s="2">
        <v>1293.2</v>
      </c>
      <c r="M1778" s="2">
        <v>1875.6</v>
      </c>
      <c r="N1778">
        <v>2</v>
      </c>
    </row>
    <row r="1779" spans="1:14" x14ac:dyDescent="0.3">
      <c r="A1779" s="1">
        <v>38231</v>
      </c>
      <c r="B1779">
        <v>10288</v>
      </c>
      <c r="C1779">
        <v>166</v>
      </c>
      <c r="D1779" t="s">
        <v>187</v>
      </c>
      <c r="E1779" t="s">
        <v>147</v>
      </c>
      <c r="F1779" t="s">
        <v>29</v>
      </c>
      <c r="G1779" t="s">
        <v>134</v>
      </c>
      <c r="H1779">
        <v>20</v>
      </c>
      <c r="I1779" s="2">
        <v>120.71</v>
      </c>
      <c r="J1779" s="2">
        <v>65.959999999999994</v>
      </c>
      <c r="K1779" s="2">
        <v>2414.1999999999998</v>
      </c>
      <c r="L1779" s="2">
        <v>1319.2</v>
      </c>
      <c r="M1779" s="2">
        <v>1095</v>
      </c>
      <c r="N1779">
        <v>3</v>
      </c>
    </row>
    <row r="1780" spans="1:14" x14ac:dyDescent="0.3">
      <c r="A1780" s="1">
        <v>38231</v>
      </c>
      <c r="B1780">
        <v>10288</v>
      </c>
      <c r="C1780">
        <v>166</v>
      </c>
      <c r="D1780" t="s">
        <v>187</v>
      </c>
      <c r="E1780" t="s">
        <v>147</v>
      </c>
      <c r="F1780" t="s">
        <v>15</v>
      </c>
      <c r="G1780" t="s">
        <v>16</v>
      </c>
      <c r="H1780">
        <v>32</v>
      </c>
      <c r="I1780" s="2">
        <v>168.3</v>
      </c>
      <c r="J1780" s="2">
        <v>86.7</v>
      </c>
      <c r="K1780" s="2">
        <v>5385.6</v>
      </c>
      <c r="L1780" s="2">
        <v>2774.4</v>
      </c>
      <c r="M1780" s="2">
        <v>2611.1999999999998</v>
      </c>
      <c r="N1780">
        <v>3</v>
      </c>
    </row>
    <row r="1781" spans="1:14" x14ac:dyDescent="0.3">
      <c r="A1781" s="1">
        <v>38231</v>
      </c>
      <c r="B1781">
        <v>10288</v>
      </c>
      <c r="C1781">
        <v>166</v>
      </c>
      <c r="D1781" t="s">
        <v>187</v>
      </c>
      <c r="E1781" t="s">
        <v>147</v>
      </c>
      <c r="F1781" t="s">
        <v>15</v>
      </c>
      <c r="G1781" t="s">
        <v>17</v>
      </c>
      <c r="H1781">
        <v>28</v>
      </c>
      <c r="I1781" s="2">
        <v>50.25</v>
      </c>
      <c r="J1781" s="2">
        <v>33.299999999999997</v>
      </c>
      <c r="K1781" s="2">
        <v>1407</v>
      </c>
      <c r="L1781" s="2">
        <v>932.4</v>
      </c>
      <c r="M1781" s="2">
        <v>474.6</v>
      </c>
      <c r="N1781">
        <v>3</v>
      </c>
    </row>
    <row r="1782" spans="1:14" x14ac:dyDescent="0.3">
      <c r="A1782" s="1">
        <v>38231</v>
      </c>
      <c r="B1782">
        <v>10288</v>
      </c>
      <c r="C1782">
        <v>166</v>
      </c>
      <c r="D1782" t="s">
        <v>187</v>
      </c>
      <c r="E1782" t="s">
        <v>147</v>
      </c>
      <c r="F1782" t="s">
        <v>15</v>
      </c>
      <c r="G1782" t="s">
        <v>21</v>
      </c>
      <c r="H1782">
        <v>31</v>
      </c>
      <c r="I1782" s="2">
        <v>102.98</v>
      </c>
      <c r="J1782" s="2">
        <v>58.48</v>
      </c>
      <c r="K1782" s="2">
        <v>3192.38</v>
      </c>
      <c r="L1782" s="2">
        <v>1812.88</v>
      </c>
      <c r="M1782" s="2">
        <v>1379.5</v>
      </c>
      <c r="N1782">
        <v>3</v>
      </c>
    </row>
    <row r="1783" spans="1:14" x14ac:dyDescent="0.3">
      <c r="A1783" s="1">
        <v>38231</v>
      </c>
      <c r="B1783">
        <v>10288</v>
      </c>
      <c r="C1783">
        <v>166</v>
      </c>
      <c r="D1783" t="s">
        <v>187</v>
      </c>
      <c r="E1783" t="s">
        <v>147</v>
      </c>
      <c r="F1783" t="s">
        <v>15</v>
      </c>
      <c r="G1783" t="s">
        <v>18</v>
      </c>
      <c r="H1783">
        <v>35</v>
      </c>
      <c r="I1783" s="2">
        <v>90.19</v>
      </c>
      <c r="J1783" s="2">
        <v>43.26</v>
      </c>
      <c r="K1783" s="2">
        <v>3156.65</v>
      </c>
      <c r="L1783" s="2">
        <v>1514.1</v>
      </c>
      <c r="M1783" s="2">
        <v>1642.55</v>
      </c>
      <c r="N1783">
        <v>3</v>
      </c>
    </row>
    <row r="1784" spans="1:14" x14ac:dyDescent="0.3">
      <c r="A1784" s="1">
        <v>38231</v>
      </c>
      <c r="B1784">
        <v>10288</v>
      </c>
      <c r="C1784">
        <v>166</v>
      </c>
      <c r="D1784" t="s">
        <v>187</v>
      </c>
      <c r="E1784" t="s">
        <v>147</v>
      </c>
      <c r="F1784" t="s">
        <v>29</v>
      </c>
      <c r="G1784" t="s">
        <v>135</v>
      </c>
      <c r="H1784">
        <v>23</v>
      </c>
      <c r="I1784" s="2">
        <v>57.02</v>
      </c>
      <c r="J1784" s="2">
        <v>34.21</v>
      </c>
      <c r="K1784" s="2">
        <v>1311.46</v>
      </c>
      <c r="L1784" s="2">
        <v>786.83</v>
      </c>
      <c r="M1784" s="2">
        <v>524.63</v>
      </c>
      <c r="N1784">
        <v>3</v>
      </c>
    </row>
    <row r="1785" spans="1:14" x14ac:dyDescent="0.3">
      <c r="A1785" s="1">
        <v>38231</v>
      </c>
      <c r="B1785">
        <v>10288</v>
      </c>
      <c r="C1785">
        <v>166</v>
      </c>
      <c r="D1785" t="s">
        <v>187</v>
      </c>
      <c r="E1785" t="s">
        <v>147</v>
      </c>
      <c r="F1785" t="s">
        <v>29</v>
      </c>
      <c r="G1785" t="s">
        <v>136</v>
      </c>
      <c r="H1785">
        <v>36</v>
      </c>
      <c r="I1785" s="2">
        <v>66.88</v>
      </c>
      <c r="J1785" s="2">
        <v>49.24</v>
      </c>
      <c r="K1785" s="2">
        <v>2407.6799999999998</v>
      </c>
      <c r="L1785" s="2">
        <v>1772.64</v>
      </c>
      <c r="M1785" s="2">
        <v>635.04</v>
      </c>
      <c r="N1785">
        <v>3</v>
      </c>
    </row>
    <row r="1786" spans="1:14" x14ac:dyDescent="0.3">
      <c r="A1786" s="1">
        <v>38231</v>
      </c>
      <c r="B1786">
        <v>10288</v>
      </c>
      <c r="C1786">
        <v>166</v>
      </c>
      <c r="D1786" t="s">
        <v>187</v>
      </c>
      <c r="E1786" t="s">
        <v>147</v>
      </c>
      <c r="F1786" t="s">
        <v>29</v>
      </c>
      <c r="G1786" t="s">
        <v>137</v>
      </c>
      <c r="H1786">
        <v>50</v>
      </c>
      <c r="I1786" s="2">
        <v>49.3</v>
      </c>
      <c r="J1786" s="2">
        <v>29.18</v>
      </c>
      <c r="K1786" s="2">
        <v>2465</v>
      </c>
      <c r="L1786" s="2">
        <v>1459</v>
      </c>
      <c r="M1786" s="2">
        <v>1006</v>
      </c>
      <c r="N1786">
        <v>3</v>
      </c>
    </row>
    <row r="1787" spans="1:14" x14ac:dyDescent="0.3">
      <c r="A1787" s="1">
        <v>38231</v>
      </c>
      <c r="B1787">
        <v>10288</v>
      </c>
      <c r="C1787">
        <v>166</v>
      </c>
      <c r="D1787" t="s">
        <v>187</v>
      </c>
      <c r="E1787" t="s">
        <v>147</v>
      </c>
      <c r="F1787" t="s">
        <v>15</v>
      </c>
      <c r="G1787" t="s">
        <v>23</v>
      </c>
      <c r="H1787">
        <v>29</v>
      </c>
      <c r="I1787" s="2">
        <v>32.19</v>
      </c>
      <c r="J1787" s="2">
        <v>22.57</v>
      </c>
      <c r="K1787" s="2">
        <v>933.51</v>
      </c>
      <c r="L1787" s="2">
        <v>654.53</v>
      </c>
      <c r="M1787" s="2">
        <v>278.98</v>
      </c>
      <c r="N1787">
        <v>3</v>
      </c>
    </row>
    <row r="1788" spans="1:14" x14ac:dyDescent="0.3">
      <c r="A1788" s="1">
        <v>38231</v>
      </c>
      <c r="B1788">
        <v>10288</v>
      </c>
      <c r="C1788">
        <v>166</v>
      </c>
      <c r="D1788" t="s">
        <v>187</v>
      </c>
      <c r="E1788" t="s">
        <v>147</v>
      </c>
      <c r="F1788" t="s">
        <v>29</v>
      </c>
      <c r="G1788" t="s">
        <v>138</v>
      </c>
      <c r="H1788">
        <v>35</v>
      </c>
      <c r="I1788" s="2">
        <v>81.78</v>
      </c>
      <c r="J1788" s="2">
        <v>47.25</v>
      </c>
      <c r="K1788" s="2">
        <v>2862.3</v>
      </c>
      <c r="L1788" s="2">
        <v>1653.75</v>
      </c>
      <c r="M1788" s="2">
        <v>1208.55</v>
      </c>
      <c r="N1788">
        <v>3</v>
      </c>
    </row>
    <row r="1789" spans="1:14" x14ac:dyDescent="0.3">
      <c r="A1789" s="1">
        <v>38231</v>
      </c>
      <c r="B1789">
        <v>10288</v>
      </c>
      <c r="C1789">
        <v>166</v>
      </c>
      <c r="D1789" t="s">
        <v>187</v>
      </c>
      <c r="E1789" t="s">
        <v>147</v>
      </c>
      <c r="F1789" t="s">
        <v>29</v>
      </c>
      <c r="G1789" t="s">
        <v>139</v>
      </c>
      <c r="H1789">
        <v>48</v>
      </c>
      <c r="I1789" s="2">
        <v>109.22</v>
      </c>
      <c r="J1789" s="2">
        <v>72.819999999999993</v>
      </c>
      <c r="K1789" s="2">
        <v>5242.5600000000004</v>
      </c>
      <c r="L1789" s="2">
        <v>3495.36</v>
      </c>
      <c r="M1789" s="2">
        <v>1747.2</v>
      </c>
      <c r="N1789">
        <v>3</v>
      </c>
    </row>
    <row r="1790" spans="1:14" x14ac:dyDescent="0.3">
      <c r="A1790" s="1">
        <v>38231</v>
      </c>
      <c r="B1790">
        <v>10288</v>
      </c>
      <c r="C1790">
        <v>166</v>
      </c>
      <c r="D1790" t="s">
        <v>187</v>
      </c>
      <c r="E1790" t="s">
        <v>147</v>
      </c>
      <c r="F1790" t="s">
        <v>29</v>
      </c>
      <c r="G1790" t="s">
        <v>140</v>
      </c>
      <c r="H1790">
        <v>34</v>
      </c>
      <c r="I1790" s="2">
        <v>76.19</v>
      </c>
      <c r="J1790" s="2">
        <v>50.51</v>
      </c>
      <c r="K1790" s="2">
        <v>2590.46</v>
      </c>
      <c r="L1790" s="2">
        <v>1717.34</v>
      </c>
      <c r="M1790" s="2">
        <v>873.12</v>
      </c>
      <c r="N1790">
        <v>3</v>
      </c>
    </row>
    <row r="1791" spans="1:14" x14ac:dyDescent="0.3">
      <c r="A1791" s="1">
        <v>38231</v>
      </c>
      <c r="B1791">
        <v>10288</v>
      </c>
      <c r="C1791">
        <v>166</v>
      </c>
      <c r="D1791" t="s">
        <v>187</v>
      </c>
      <c r="E1791" t="s">
        <v>147</v>
      </c>
      <c r="F1791" t="s">
        <v>29</v>
      </c>
      <c r="G1791" t="s">
        <v>141</v>
      </c>
      <c r="H1791">
        <v>41</v>
      </c>
      <c r="I1791" s="2">
        <v>101.73</v>
      </c>
      <c r="J1791" s="2">
        <v>62.11</v>
      </c>
      <c r="K1791" s="2">
        <v>4170.93</v>
      </c>
      <c r="L1791" s="2">
        <v>2546.5100000000002</v>
      </c>
      <c r="M1791" s="2">
        <v>1624.42</v>
      </c>
      <c r="N1791">
        <v>3</v>
      </c>
    </row>
    <row r="1792" spans="1:14" x14ac:dyDescent="0.3">
      <c r="A1792" s="1">
        <v>38231</v>
      </c>
      <c r="B1792">
        <v>10288</v>
      </c>
      <c r="C1792">
        <v>166</v>
      </c>
      <c r="D1792" t="s">
        <v>187</v>
      </c>
      <c r="E1792" t="s">
        <v>147</v>
      </c>
      <c r="F1792" t="s">
        <v>15</v>
      </c>
      <c r="G1792" t="s">
        <v>19</v>
      </c>
      <c r="H1792">
        <v>33</v>
      </c>
      <c r="I1792" s="2">
        <v>37.75</v>
      </c>
      <c r="J1792" s="2">
        <v>21.75</v>
      </c>
      <c r="K1792" s="2">
        <v>1245.75</v>
      </c>
      <c r="L1792" s="2">
        <v>717.75</v>
      </c>
      <c r="M1792" s="2">
        <v>528</v>
      </c>
      <c r="N1792">
        <v>3</v>
      </c>
    </row>
    <row r="1793" spans="1:14" x14ac:dyDescent="0.3">
      <c r="A1793" s="1">
        <v>38233</v>
      </c>
      <c r="B1793">
        <v>10289</v>
      </c>
      <c r="C1793">
        <v>167</v>
      </c>
      <c r="D1793" t="s">
        <v>176</v>
      </c>
      <c r="E1793" t="s">
        <v>28</v>
      </c>
      <c r="F1793" t="s">
        <v>15</v>
      </c>
      <c r="G1793" t="s">
        <v>25</v>
      </c>
      <c r="H1793">
        <v>38</v>
      </c>
      <c r="I1793" s="2">
        <v>92.47</v>
      </c>
      <c r="J1793" s="2">
        <v>60.62</v>
      </c>
      <c r="K1793" s="2">
        <v>3513.86</v>
      </c>
      <c r="L1793" s="2">
        <v>2303.56</v>
      </c>
      <c r="M1793" s="2">
        <v>1210.3</v>
      </c>
      <c r="N1793">
        <v>3</v>
      </c>
    </row>
    <row r="1794" spans="1:14" x14ac:dyDescent="0.3">
      <c r="A1794" s="1">
        <v>38233</v>
      </c>
      <c r="B1794">
        <v>10289</v>
      </c>
      <c r="C1794">
        <v>167</v>
      </c>
      <c r="D1794" t="s">
        <v>176</v>
      </c>
      <c r="E1794" t="s">
        <v>28</v>
      </c>
      <c r="F1794" t="s">
        <v>15</v>
      </c>
      <c r="G1794" t="s">
        <v>26</v>
      </c>
      <c r="H1794">
        <v>24</v>
      </c>
      <c r="I1794" s="2">
        <v>44.75</v>
      </c>
      <c r="J1794" s="2">
        <v>24.26</v>
      </c>
      <c r="K1794" s="2">
        <v>1074</v>
      </c>
      <c r="L1794" s="2">
        <v>582.24</v>
      </c>
      <c r="M1794" s="2">
        <v>491.76</v>
      </c>
      <c r="N1794">
        <v>3</v>
      </c>
    </row>
    <row r="1795" spans="1:14" x14ac:dyDescent="0.3">
      <c r="A1795" s="1">
        <v>38233</v>
      </c>
      <c r="B1795">
        <v>10289</v>
      </c>
      <c r="C1795">
        <v>167</v>
      </c>
      <c r="D1795" t="s">
        <v>176</v>
      </c>
      <c r="E1795" t="s">
        <v>28</v>
      </c>
      <c r="F1795" t="s">
        <v>15</v>
      </c>
      <c r="G1795" t="s">
        <v>22</v>
      </c>
      <c r="H1795">
        <v>43</v>
      </c>
      <c r="I1795" s="2">
        <v>141.75</v>
      </c>
      <c r="J1795" s="2">
        <v>72.56</v>
      </c>
      <c r="K1795" s="2">
        <v>6095.25</v>
      </c>
      <c r="L1795" s="2">
        <v>3120.08</v>
      </c>
      <c r="M1795" s="2">
        <v>2975.17</v>
      </c>
      <c r="N1795">
        <v>3</v>
      </c>
    </row>
    <row r="1796" spans="1:14" x14ac:dyDescent="0.3">
      <c r="A1796" s="1">
        <v>38233</v>
      </c>
      <c r="B1796">
        <v>10289</v>
      </c>
      <c r="C1796">
        <v>167</v>
      </c>
      <c r="D1796" t="s">
        <v>176</v>
      </c>
      <c r="E1796" t="s">
        <v>28</v>
      </c>
      <c r="F1796" t="s">
        <v>15</v>
      </c>
      <c r="G1796" t="s">
        <v>24</v>
      </c>
      <c r="H1796">
        <v>45</v>
      </c>
      <c r="I1796" s="2">
        <v>41.22</v>
      </c>
      <c r="J1796" s="2">
        <v>20.61</v>
      </c>
      <c r="K1796" s="2">
        <v>1854.9</v>
      </c>
      <c r="L1796" s="2">
        <v>927.45</v>
      </c>
      <c r="M1796" s="2">
        <v>927.45</v>
      </c>
      <c r="N1796">
        <v>3</v>
      </c>
    </row>
    <row r="1797" spans="1:14" x14ac:dyDescent="0.3">
      <c r="A1797" s="1">
        <v>38237</v>
      </c>
      <c r="B1797">
        <v>10290</v>
      </c>
      <c r="C1797">
        <v>198</v>
      </c>
      <c r="D1797" t="s">
        <v>213</v>
      </c>
      <c r="E1797" t="s">
        <v>14</v>
      </c>
      <c r="F1797" t="s">
        <v>15</v>
      </c>
      <c r="G1797" t="s">
        <v>39</v>
      </c>
      <c r="H1797">
        <v>26</v>
      </c>
      <c r="I1797" s="2">
        <v>80.36</v>
      </c>
      <c r="J1797" s="2">
        <v>57.54</v>
      </c>
      <c r="K1797" s="2">
        <v>2089.36</v>
      </c>
      <c r="L1797" s="2">
        <v>1496.04</v>
      </c>
      <c r="M1797" s="2">
        <v>593.32000000000005</v>
      </c>
      <c r="N1797">
        <v>2</v>
      </c>
    </row>
    <row r="1798" spans="1:14" x14ac:dyDescent="0.3">
      <c r="A1798" s="1">
        <v>38237</v>
      </c>
      <c r="B1798">
        <v>10290</v>
      </c>
      <c r="C1798">
        <v>198</v>
      </c>
      <c r="D1798" t="s">
        <v>213</v>
      </c>
      <c r="E1798" t="s">
        <v>14</v>
      </c>
      <c r="F1798" t="s">
        <v>15</v>
      </c>
      <c r="G1798" t="s">
        <v>43</v>
      </c>
      <c r="H1798">
        <v>45</v>
      </c>
      <c r="I1798" s="2">
        <v>83.76</v>
      </c>
      <c r="J1798" s="2">
        <v>57.46</v>
      </c>
      <c r="K1798" s="2">
        <v>3769.2</v>
      </c>
      <c r="L1798" s="2">
        <v>2585.6999999999998</v>
      </c>
      <c r="M1798" s="2">
        <v>1183.5</v>
      </c>
      <c r="N1798">
        <v>2</v>
      </c>
    </row>
    <row r="1799" spans="1:14" x14ac:dyDescent="0.3">
      <c r="A1799" s="1">
        <v>38238</v>
      </c>
      <c r="B1799">
        <v>10292</v>
      </c>
      <c r="C1799">
        <v>131</v>
      </c>
      <c r="D1799" t="s">
        <v>201</v>
      </c>
      <c r="E1799" t="s">
        <v>14</v>
      </c>
      <c r="F1799" t="s">
        <v>32</v>
      </c>
      <c r="G1799" t="s">
        <v>50</v>
      </c>
      <c r="H1799">
        <v>21</v>
      </c>
      <c r="I1799" s="2">
        <v>94.8</v>
      </c>
      <c r="J1799" s="2">
        <v>55.7</v>
      </c>
      <c r="K1799" s="2">
        <v>1990.8</v>
      </c>
      <c r="L1799" s="2">
        <v>1169.7</v>
      </c>
      <c r="M1799" s="2">
        <v>821.1</v>
      </c>
      <c r="N1799">
        <v>3</v>
      </c>
    </row>
    <row r="1800" spans="1:14" x14ac:dyDescent="0.3">
      <c r="A1800" s="1">
        <v>38238</v>
      </c>
      <c r="B1800">
        <v>10292</v>
      </c>
      <c r="C1800">
        <v>131</v>
      </c>
      <c r="D1800" t="s">
        <v>201</v>
      </c>
      <c r="E1800" t="s">
        <v>14</v>
      </c>
      <c r="F1800" t="s">
        <v>29</v>
      </c>
      <c r="G1800" t="s">
        <v>51</v>
      </c>
      <c r="H1800">
        <v>26</v>
      </c>
      <c r="I1800" s="2">
        <v>140.81</v>
      </c>
      <c r="J1800" s="2">
        <v>101.51</v>
      </c>
      <c r="K1800" s="2">
        <v>3661.06</v>
      </c>
      <c r="L1800" s="2">
        <v>2639.26</v>
      </c>
      <c r="M1800" s="2">
        <v>1021.8</v>
      </c>
      <c r="N1800">
        <v>3</v>
      </c>
    </row>
    <row r="1801" spans="1:14" x14ac:dyDescent="0.3">
      <c r="A1801" s="1">
        <v>38238</v>
      </c>
      <c r="B1801">
        <v>10292</v>
      </c>
      <c r="C1801">
        <v>131</v>
      </c>
      <c r="D1801" t="s">
        <v>201</v>
      </c>
      <c r="E1801" t="s">
        <v>14</v>
      </c>
      <c r="F1801" t="s">
        <v>32</v>
      </c>
      <c r="G1801" t="s">
        <v>52</v>
      </c>
      <c r="H1801">
        <v>41</v>
      </c>
      <c r="I1801" s="2">
        <v>103.09</v>
      </c>
      <c r="J1801" s="2">
        <v>74.86</v>
      </c>
      <c r="K1801" s="2">
        <v>4226.6899999999996</v>
      </c>
      <c r="L1801" s="2">
        <v>3069.26</v>
      </c>
      <c r="M1801" s="2">
        <v>1157.43</v>
      </c>
      <c r="N1801">
        <v>3</v>
      </c>
    </row>
    <row r="1802" spans="1:14" x14ac:dyDescent="0.3">
      <c r="A1802" s="1">
        <v>38238</v>
      </c>
      <c r="B1802">
        <v>10292</v>
      </c>
      <c r="C1802">
        <v>131</v>
      </c>
      <c r="D1802" t="s">
        <v>201</v>
      </c>
      <c r="E1802" t="s">
        <v>14</v>
      </c>
      <c r="F1802" t="s">
        <v>29</v>
      </c>
      <c r="G1802" t="s">
        <v>53</v>
      </c>
      <c r="H1802">
        <v>21</v>
      </c>
      <c r="I1802" s="2">
        <v>147.33000000000001</v>
      </c>
      <c r="J1802" s="2">
        <v>77.900000000000006</v>
      </c>
      <c r="K1802" s="2">
        <v>3093.93</v>
      </c>
      <c r="L1802" s="2">
        <v>1635.9</v>
      </c>
      <c r="M1802" s="2">
        <v>1458.03</v>
      </c>
      <c r="N1802">
        <v>3</v>
      </c>
    </row>
    <row r="1803" spans="1:14" x14ac:dyDescent="0.3">
      <c r="A1803" s="1">
        <v>38238</v>
      </c>
      <c r="B1803">
        <v>10292</v>
      </c>
      <c r="C1803">
        <v>131</v>
      </c>
      <c r="D1803" t="s">
        <v>201</v>
      </c>
      <c r="E1803" t="s">
        <v>14</v>
      </c>
      <c r="F1803" t="s">
        <v>29</v>
      </c>
      <c r="G1803" t="s">
        <v>54</v>
      </c>
      <c r="H1803">
        <v>44</v>
      </c>
      <c r="I1803" s="2">
        <v>114.9</v>
      </c>
      <c r="J1803" s="2">
        <v>91.92</v>
      </c>
      <c r="K1803" s="2">
        <v>5055.6000000000004</v>
      </c>
      <c r="L1803" s="2">
        <v>4044.48</v>
      </c>
      <c r="M1803" s="2">
        <v>1011.12</v>
      </c>
      <c r="N1803">
        <v>3</v>
      </c>
    </row>
    <row r="1804" spans="1:14" x14ac:dyDescent="0.3">
      <c r="A1804" s="1">
        <v>38238</v>
      </c>
      <c r="B1804">
        <v>10292</v>
      </c>
      <c r="C1804">
        <v>131</v>
      </c>
      <c r="D1804" t="s">
        <v>201</v>
      </c>
      <c r="E1804" t="s">
        <v>14</v>
      </c>
      <c r="F1804" t="s">
        <v>29</v>
      </c>
      <c r="G1804" t="s">
        <v>55</v>
      </c>
      <c r="H1804">
        <v>40</v>
      </c>
      <c r="I1804" s="2">
        <v>48.55</v>
      </c>
      <c r="J1804" s="2">
        <v>32.369999999999997</v>
      </c>
      <c r="K1804" s="2">
        <v>1942</v>
      </c>
      <c r="L1804" s="2">
        <v>1294.8</v>
      </c>
      <c r="M1804" s="2">
        <v>647.20000000000005</v>
      </c>
      <c r="N1804">
        <v>3</v>
      </c>
    </row>
    <row r="1805" spans="1:14" x14ac:dyDescent="0.3">
      <c r="A1805" s="1">
        <v>38238</v>
      </c>
      <c r="B1805">
        <v>10292</v>
      </c>
      <c r="C1805">
        <v>131</v>
      </c>
      <c r="D1805" t="s">
        <v>201</v>
      </c>
      <c r="E1805" t="s">
        <v>14</v>
      </c>
      <c r="F1805" t="s">
        <v>29</v>
      </c>
      <c r="G1805" t="s">
        <v>56</v>
      </c>
      <c r="H1805">
        <v>39</v>
      </c>
      <c r="I1805" s="2">
        <v>34.299999999999997</v>
      </c>
      <c r="J1805" s="2">
        <v>15.91</v>
      </c>
      <c r="K1805" s="2">
        <v>1337.7</v>
      </c>
      <c r="L1805" s="2">
        <v>620.49</v>
      </c>
      <c r="M1805" s="2">
        <v>717.21</v>
      </c>
      <c r="N1805">
        <v>3</v>
      </c>
    </row>
    <row r="1806" spans="1:14" x14ac:dyDescent="0.3">
      <c r="A1806" s="1">
        <v>38238</v>
      </c>
      <c r="B1806">
        <v>10292</v>
      </c>
      <c r="C1806">
        <v>131</v>
      </c>
      <c r="D1806" t="s">
        <v>201</v>
      </c>
      <c r="E1806" t="s">
        <v>14</v>
      </c>
      <c r="F1806" t="s">
        <v>29</v>
      </c>
      <c r="G1806" t="s">
        <v>57</v>
      </c>
      <c r="H1806">
        <v>27</v>
      </c>
      <c r="I1806" s="2">
        <v>113.55</v>
      </c>
      <c r="J1806" s="2">
        <v>69.78</v>
      </c>
      <c r="K1806" s="2">
        <v>3065.85</v>
      </c>
      <c r="L1806" s="2">
        <v>1884.06</v>
      </c>
      <c r="M1806" s="2">
        <v>1181.79</v>
      </c>
      <c r="N1806">
        <v>3</v>
      </c>
    </row>
    <row r="1807" spans="1:14" x14ac:dyDescent="0.3">
      <c r="A1807" s="1">
        <v>38238</v>
      </c>
      <c r="B1807">
        <v>10292</v>
      </c>
      <c r="C1807">
        <v>131</v>
      </c>
      <c r="D1807" t="s">
        <v>201</v>
      </c>
      <c r="E1807" t="s">
        <v>14</v>
      </c>
      <c r="F1807" t="s">
        <v>32</v>
      </c>
      <c r="G1807" t="s">
        <v>58</v>
      </c>
      <c r="H1807">
        <v>50</v>
      </c>
      <c r="I1807" s="2">
        <v>54.11</v>
      </c>
      <c r="J1807" s="2">
        <v>25.98</v>
      </c>
      <c r="K1807" s="2">
        <v>2705.5</v>
      </c>
      <c r="L1807" s="2">
        <v>1299</v>
      </c>
      <c r="M1807" s="2">
        <v>1406.5</v>
      </c>
      <c r="N1807">
        <v>3</v>
      </c>
    </row>
    <row r="1808" spans="1:14" x14ac:dyDescent="0.3">
      <c r="A1808" s="1">
        <v>38238</v>
      </c>
      <c r="B1808">
        <v>10292</v>
      </c>
      <c r="C1808">
        <v>131</v>
      </c>
      <c r="D1808" t="s">
        <v>201</v>
      </c>
      <c r="E1808" t="s">
        <v>14</v>
      </c>
      <c r="F1808" t="s">
        <v>59</v>
      </c>
      <c r="G1808" t="s">
        <v>60</v>
      </c>
      <c r="H1808">
        <v>31</v>
      </c>
      <c r="I1808" s="2">
        <v>59.65</v>
      </c>
      <c r="J1808" s="2">
        <v>26.72</v>
      </c>
      <c r="K1808" s="2">
        <v>1849.15</v>
      </c>
      <c r="L1808" s="2">
        <v>828.32</v>
      </c>
      <c r="M1808" s="2">
        <v>1020.83</v>
      </c>
      <c r="N1808">
        <v>3</v>
      </c>
    </row>
    <row r="1809" spans="1:14" x14ac:dyDescent="0.3">
      <c r="A1809" s="1">
        <v>38238</v>
      </c>
      <c r="B1809">
        <v>10292</v>
      </c>
      <c r="C1809">
        <v>131</v>
      </c>
      <c r="D1809" t="s">
        <v>201</v>
      </c>
      <c r="E1809" t="s">
        <v>14</v>
      </c>
      <c r="F1809" t="s">
        <v>32</v>
      </c>
      <c r="G1809" t="s">
        <v>61</v>
      </c>
      <c r="H1809">
        <v>41</v>
      </c>
      <c r="I1809" s="2">
        <v>113.44</v>
      </c>
      <c r="J1809" s="2">
        <v>68.290000000000006</v>
      </c>
      <c r="K1809" s="2">
        <v>4651.04</v>
      </c>
      <c r="L1809" s="2">
        <v>2799.89</v>
      </c>
      <c r="M1809" s="2">
        <v>1851.15</v>
      </c>
      <c r="N1809">
        <v>3</v>
      </c>
    </row>
    <row r="1810" spans="1:14" x14ac:dyDescent="0.3">
      <c r="A1810" s="1">
        <v>38238</v>
      </c>
      <c r="B1810">
        <v>10292</v>
      </c>
      <c r="C1810">
        <v>131</v>
      </c>
      <c r="D1810" t="s">
        <v>201</v>
      </c>
      <c r="E1810" t="s">
        <v>14</v>
      </c>
      <c r="F1810" t="s">
        <v>59</v>
      </c>
      <c r="G1810" t="s">
        <v>62</v>
      </c>
      <c r="H1810">
        <v>35</v>
      </c>
      <c r="I1810" s="2">
        <v>49.79</v>
      </c>
      <c r="J1810" s="2">
        <v>37.49</v>
      </c>
      <c r="K1810" s="2">
        <v>1742.65</v>
      </c>
      <c r="L1810" s="2">
        <v>1312.15</v>
      </c>
      <c r="M1810" s="2">
        <v>430.5</v>
      </c>
      <c r="N1810">
        <v>3</v>
      </c>
    </row>
    <row r="1811" spans="1:14" x14ac:dyDescent="0.3">
      <c r="A1811" s="1">
        <v>38238</v>
      </c>
      <c r="B1811">
        <v>10291</v>
      </c>
      <c r="C1811">
        <v>448</v>
      </c>
      <c r="D1811" t="s">
        <v>170</v>
      </c>
      <c r="E1811" t="s">
        <v>143</v>
      </c>
      <c r="F1811" t="s">
        <v>29</v>
      </c>
      <c r="G1811" t="s">
        <v>30</v>
      </c>
      <c r="H1811">
        <v>37</v>
      </c>
      <c r="I1811" s="2">
        <v>210.01</v>
      </c>
      <c r="J1811" s="2">
        <v>98.58</v>
      </c>
      <c r="K1811" s="2">
        <v>7770.37</v>
      </c>
      <c r="L1811" s="2">
        <v>3647.46</v>
      </c>
      <c r="M1811" s="2">
        <v>4122.91</v>
      </c>
      <c r="N1811">
        <v>2</v>
      </c>
    </row>
    <row r="1812" spans="1:14" x14ac:dyDescent="0.3">
      <c r="A1812" s="1">
        <v>38238</v>
      </c>
      <c r="B1812">
        <v>10291</v>
      </c>
      <c r="C1812">
        <v>448</v>
      </c>
      <c r="D1812" t="s">
        <v>170</v>
      </c>
      <c r="E1812" t="s">
        <v>143</v>
      </c>
      <c r="F1812" t="s">
        <v>29</v>
      </c>
      <c r="G1812" t="s">
        <v>31</v>
      </c>
      <c r="H1812">
        <v>30</v>
      </c>
      <c r="I1812" s="2">
        <v>141.83000000000001</v>
      </c>
      <c r="J1812" s="2">
        <v>103.42</v>
      </c>
      <c r="K1812" s="2">
        <v>4254.8999999999996</v>
      </c>
      <c r="L1812" s="2">
        <v>3102.6</v>
      </c>
      <c r="M1812" s="2">
        <v>1152.3</v>
      </c>
      <c r="N1812">
        <v>2</v>
      </c>
    </row>
    <row r="1813" spans="1:14" x14ac:dyDescent="0.3">
      <c r="A1813" s="1">
        <v>38238</v>
      </c>
      <c r="B1813">
        <v>10291</v>
      </c>
      <c r="C1813">
        <v>448</v>
      </c>
      <c r="D1813" t="s">
        <v>170</v>
      </c>
      <c r="E1813" t="s">
        <v>143</v>
      </c>
      <c r="F1813" t="s">
        <v>32</v>
      </c>
      <c r="G1813" t="s">
        <v>33</v>
      </c>
      <c r="H1813">
        <v>41</v>
      </c>
      <c r="I1813" s="2">
        <v>123</v>
      </c>
      <c r="J1813" s="2">
        <v>77.900000000000006</v>
      </c>
      <c r="K1813" s="2">
        <v>5043</v>
      </c>
      <c r="L1813" s="2">
        <v>3193.9</v>
      </c>
      <c r="M1813" s="2">
        <v>1849.1</v>
      </c>
      <c r="N1813">
        <v>2</v>
      </c>
    </row>
    <row r="1814" spans="1:14" x14ac:dyDescent="0.3">
      <c r="A1814" s="1">
        <v>38238</v>
      </c>
      <c r="B1814">
        <v>10291</v>
      </c>
      <c r="C1814">
        <v>448</v>
      </c>
      <c r="D1814" t="s">
        <v>170</v>
      </c>
      <c r="E1814" t="s">
        <v>143</v>
      </c>
      <c r="F1814" t="s">
        <v>32</v>
      </c>
      <c r="G1814" t="s">
        <v>34</v>
      </c>
      <c r="H1814">
        <v>41</v>
      </c>
      <c r="I1814" s="2">
        <v>96.84</v>
      </c>
      <c r="J1814" s="2">
        <v>58.33</v>
      </c>
      <c r="K1814" s="2">
        <v>3970.44</v>
      </c>
      <c r="L1814" s="2">
        <v>2391.5300000000002</v>
      </c>
      <c r="M1814" s="2">
        <v>1578.91</v>
      </c>
      <c r="N1814">
        <v>2</v>
      </c>
    </row>
    <row r="1815" spans="1:14" x14ac:dyDescent="0.3">
      <c r="A1815" s="1">
        <v>38238</v>
      </c>
      <c r="B1815">
        <v>10291</v>
      </c>
      <c r="C1815">
        <v>448</v>
      </c>
      <c r="D1815" t="s">
        <v>170</v>
      </c>
      <c r="E1815" t="s">
        <v>143</v>
      </c>
      <c r="F1815" t="s">
        <v>32</v>
      </c>
      <c r="G1815" t="s">
        <v>35</v>
      </c>
      <c r="H1815">
        <v>26</v>
      </c>
      <c r="I1815" s="2">
        <v>52.26</v>
      </c>
      <c r="J1815" s="2">
        <v>24.92</v>
      </c>
      <c r="K1815" s="2">
        <v>1358.76</v>
      </c>
      <c r="L1815" s="2">
        <v>647.91999999999996</v>
      </c>
      <c r="M1815" s="2">
        <v>710.84</v>
      </c>
      <c r="N1815">
        <v>2</v>
      </c>
    </row>
    <row r="1816" spans="1:14" x14ac:dyDescent="0.3">
      <c r="A1816" s="1">
        <v>38238</v>
      </c>
      <c r="B1816">
        <v>10291</v>
      </c>
      <c r="C1816">
        <v>448</v>
      </c>
      <c r="D1816" t="s">
        <v>170</v>
      </c>
      <c r="E1816" t="s">
        <v>143</v>
      </c>
      <c r="F1816" t="s">
        <v>15</v>
      </c>
      <c r="G1816" t="s">
        <v>36</v>
      </c>
      <c r="H1816">
        <v>47</v>
      </c>
      <c r="I1816" s="2">
        <v>99.28</v>
      </c>
      <c r="J1816" s="2">
        <v>60.78</v>
      </c>
      <c r="K1816" s="2">
        <v>4666.16</v>
      </c>
      <c r="L1816" s="2">
        <v>2856.66</v>
      </c>
      <c r="M1816" s="2">
        <v>1809.5</v>
      </c>
      <c r="N1816">
        <v>2</v>
      </c>
    </row>
    <row r="1817" spans="1:14" x14ac:dyDescent="0.3">
      <c r="A1817" s="1">
        <v>38238</v>
      </c>
      <c r="B1817">
        <v>10291</v>
      </c>
      <c r="C1817">
        <v>448</v>
      </c>
      <c r="D1817" t="s">
        <v>170</v>
      </c>
      <c r="E1817" t="s">
        <v>143</v>
      </c>
      <c r="F1817" t="s">
        <v>15</v>
      </c>
      <c r="G1817" t="s">
        <v>37</v>
      </c>
      <c r="H1817">
        <v>37</v>
      </c>
      <c r="I1817" s="2">
        <v>56.21</v>
      </c>
      <c r="J1817" s="2">
        <v>34.35</v>
      </c>
      <c r="K1817" s="2">
        <v>2079.77</v>
      </c>
      <c r="L1817" s="2">
        <v>1270.95</v>
      </c>
      <c r="M1817" s="2">
        <v>808.82</v>
      </c>
      <c r="N1817">
        <v>2</v>
      </c>
    </row>
    <row r="1818" spans="1:14" x14ac:dyDescent="0.3">
      <c r="A1818" s="1">
        <v>38238</v>
      </c>
      <c r="B1818">
        <v>10291</v>
      </c>
      <c r="C1818">
        <v>448</v>
      </c>
      <c r="D1818" t="s">
        <v>170</v>
      </c>
      <c r="E1818" t="s">
        <v>143</v>
      </c>
      <c r="F1818" t="s">
        <v>15</v>
      </c>
      <c r="G1818" t="s">
        <v>38</v>
      </c>
      <c r="H1818">
        <v>23</v>
      </c>
      <c r="I1818" s="2">
        <v>93.2</v>
      </c>
      <c r="J1818" s="2">
        <v>60.74</v>
      </c>
      <c r="K1818" s="2">
        <v>2143.6</v>
      </c>
      <c r="L1818" s="2">
        <v>1397.02</v>
      </c>
      <c r="M1818" s="2">
        <v>746.58</v>
      </c>
      <c r="N1818">
        <v>2</v>
      </c>
    </row>
    <row r="1819" spans="1:14" x14ac:dyDescent="0.3">
      <c r="A1819" s="1">
        <v>38238</v>
      </c>
      <c r="B1819">
        <v>10291</v>
      </c>
      <c r="C1819">
        <v>448</v>
      </c>
      <c r="D1819" t="s">
        <v>170</v>
      </c>
      <c r="E1819" t="s">
        <v>143</v>
      </c>
      <c r="F1819" t="s">
        <v>32</v>
      </c>
      <c r="G1819" t="s">
        <v>40</v>
      </c>
      <c r="H1819">
        <v>48</v>
      </c>
      <c r="I1819" s="2">
        <v>96.86</v>
      </c>
      <c r="J1819" s="2">
        <v>84.76</v>
      </c>
      <c r="K1819" s="2">
        <v>4649.28</v>
      </c>
      <c r="L1819" s="2">
        <v>4068.48</v>
      </c>
      <c r="M1819" s="2">
        <v>580.79999999999995</v>
      </c>
      <c r="N1819">
        <v>2</v>
      </c>
    </row>
    <row r="1820" spans="1:14" x14ac:dyDescent="0.3">
      <c r="A1820" s="1">
        <v>38238</v>
      </c>
      <c r="B1820">
        <v>10291</v>
      </c>
      <c r="C1820">
        <v>448</v>
      </c>
      <c r="D1820" t="s">
        <v>170</v>
      </c>
      <c r="E1820" t="s">
        <v>143</v>
      </c>
      <c r="F1820" t="s">
        <v>15</v>
      </c>
      <c r="G1820" t="s">
        <v>41</v>
      </c>
      <c r="H1820">
        <v>29</v>
      </c>
      <c r="I1820" s="2">
        <v>45.28</v>
      </c>
      <c r="J1820" s="2">
        <v>23.14</v>
      </c>
      <c r="K1820" s="2">
        <v>1313.12</v>
      </c>
      <c r="L1820" s="2">
        <v>671.06</v>
      </c>
      <c r="M1820" s="2">
        <v>642.05999999999995</v>
      </c>
      <c r="N1820">
        <v>2</v>
      </c>
    </row>
    <row r="1821" spans="1:14" x14ac:dyDescent="0.3">
      <c r="A1821" s="1">
        <v>38238</v>
      </c>
      <c r="B1821">
        <v>10291</v>
      </c>
      <c r="C1821">
        <v>448</v>
      </c>
      <c r="D1821" t="s">
        <v>170</v>
      </c>
      <c r="E1821" t="s">
        <v>143</v>
      </c>
      <c r="F1821" t="s">
        <v>32</v>
      </c>
      <c r="G1821" t="s">
        <v>42</v>
      </c>
      <c r="H1821">
        <v>48</v>
      </c>
      <c r="I1821" s="2">
        <v>109.9</v>
      </c>
      <c r="J1821" s="2">
        <v>61.34</v>
      </c>
      <c r="K1821" s="2">
        <v>5275.2</v>
      </c>
      <c r="L1821" s="2">
        <v>2944.32</v>
      </c>
      <c r="M1821" s="2">
        <v>2330.88</v>
      </c>
      <c r="N1821">
        <v>2</v>
      </c>
    </row>
    <row r="1822" spans="1:14" x14ac:dyDescent="0.3">
      <c r="A1822" s="1">
        <v>38238</v>
      </c>
      <c r="B1822">
        <v>10291</v>
      </c>
      <c r="C1822">
        <v>448</v>
      </c>
      <c r="D1822" t="s">
        <v>170</v>
      </c>
      <c r="E1822" t="s">
        <v>143</v>
      </c>
      <c r="F1822" t="s">
        <v>32</v>
      </c>
      <c r="G1822" t="s">
        <v>44</v>
      </c>
      <c r="H1822">
        <v>26</v>
      </c>
      <c r="I1822" s="2">
        <v>82.83</v>
      </c>
      <c r="J1822" s="2">
        <v>53.93</v>
      </c>
      <c r="K1822" s="2">
        <v>2153.58</v>
      </c>
      <c r="L1822" s="2">
        <v>1402.18</v>
      </c>
      <c r="M1822" s="2">
        <v>751.4</v>
      </c>
      <c r="N1822">
        <v>2</v>
      </c>
    </row>
    <row r="1823" spans="1:14" x14ac:dyDescent="0.3">
      <c r="A1823" s="1">
        <v>38238</v>
      </c>
      <c r="B1823">
        <v>10291</v>
      </c>
      <c r="C1823">
        <v>448</v>
      </c>
      <c r="D1823" t="s">
        <v>170</v>
      </c>
      <c r="E1823" t="s">
        <v>143</v>
      </c>
      <c r="F1823" t="s">
        <v>32</v>
      </c>
      <c r="G1823" t="s">
        <v>45</v>
      </c>
      <c r="H1823">
        <v>32</v>
      </c>
      <c r="I1823" s="2">
        <v>53</v>
      </c>
      <c r="J1823" s="2">
        <v>33.61</v>
      </c>
      <c r="K1823" s="2">
        <v>1696</v>
      </c>
      <c r="L1823" s="2">
        <v>1075.52</v>
      </c>
      <c r="M1823" s="2">
        <v>620.48</v>
      </c>
      <c r="N1823">
        <v>2</v>
      </c>
    </row>
    <row r="1824" spans="1:14" x14ac:dyDescent="0.3">
      <c r="A1824" s="1">
        <v>38238</v>
      </c>
      <c r="B1824">
        <v>10291</v>
      </c>
      <c r="C1824">
        <v>448</v>
      </c>
      <c r="D1824" t="s">
        <v>170</v>
      </c>
      <c r="E1824" t="s">
        <v>143</v>
      </c>
      <c r="F1824" t="s">
        <v>29</v>
      </c>
      <c r="G1824" t="s">
        <v>46</v>
      </c>
      <c r="H1824">
        <v>28</v>
      </c>
      <c r="I1824" s="2">
        <v>86.99</v>
      </c>
      <c r="J1824" s="2">
        <v>46.53</v>
      </c>
      <c r="K1824" s="2">
        <v>2435.7199999999998</v>
      </c>
      <c r="L1824" s="2">
        <v>1302.8399999999999</v>
      </c>
      <c r="M1824" s="2">
        <v>1132.8800000000001</v>
      </c>
      <c r="N1824">
        <v>2</v>
      </c>
    </row>
    <row r="1825" spans="1:14" x14ac:dyDescent="0.3">
      <c r="A1825" s="1">
        <v>38239</v>
      </c>
      <c r="B1825">
        <v>10293</v>
      </c>
      <c r="C1825">
        <v>249</v>
      </c>
      <c r="D1825" t="s">
        <v>246</v>
      </c>
      <c r="E1825" t="s">
        <v>82</v>
      </c>
      <c r="F1825" t="s">
        <v>29</v>
      </c>
      <c r="G1825" t="s">
        <v>66</v>
      </c>
      <c r="H1825">
        <v>46</v>
      </c>
      <c r="I1825" s="2">
        <v>187.02</v>
      </c>
      <c r="J1825" s="2">
        <v>95.59</v>
      </c>
      <c r="K1825" s="2">
        <v>8602.92</v>
      </c>
      <c r="L1825" s="2">
        <v>4397.1400000000003</v>
      </c>
      <c r="M1825" s="2">
        <v>4205.78</v>
      </c>
      <c r="N1825">
        <v>2</v>
      </c>
    </row>
    <row r="1826" spans="1:14" x14ac:dyDescent="0.3">
      <c r="A1826" s="1">
        <v>38239</v>
      </c>
      <c r="B1826">
        <v>10293</v>
      </c>
      <c r="C1826">
        <v>249</v>
      </c>
      <c r="D1826" t="s">
        <v>246</v>
      </c>
      <c r="E1826" t="s">
        <v>82</v>
      </c>
      <c r="F1826" t="s">
        <v>29</v>
      </c>
      <c r="G1826" t="s">
        <v>49</v>
      </c>
      <c r="H1826">
        <v>24</v>
      </c>
      <c r="I1826" s="2">
        <v>129.93</v>
      </c>
      <c r="J1826" s="2">
        <v>89.14</v>
      </c>
      <c r="K1826" s="2">
        <v>3118.32</v>
      </c>
      <c r="L1826" s="2">
        <v>2139.36</v>
      </c>
      <c r="M1826" s="2">
        <v>978.96</v>
      </c>
      <c r="N1826">
        <v>2</v>
      </c>
    </row>
    <row r="1827" spans="1:14" x14ac:dyDescent="0.3">
      <c r="A1827" s="1">
        <v>38239</v>
      </c>
      <c r="B1827">
        <v>10293</v>
      </c>
      <c r="C1827">
        <v>249</v>
      </c>
      <c r="D1827" t="s">
        <v>246</v>
      </c>
      <c r="E1827" t="s">
        <v>82</v>
      </c>
      <c r="F1827" t="s">
        <v>29</v>
      </c>
      <c r="G1827" t="s">
        <v>67</v>
      </c>
      <c r="H1827">
        <v>45</v>
      </c>
      <c r="I1827" s="2">
        <v>171.29</v>
      </c>
      <c r="J1827" s="2">
        <v>83.05</v>
      </c>
      <c r="K1827" s="2">
        <v>7708.05</v>
      </c>
      <c r="L1827" s="2">
        <v>3737.25</v>
      </c>
      <c r="M1827" s="2">
        <v>3970.8</v>
      </c>
      <c r="N1827">
        <v>2</v>
      </c>
    </row>
    <row r="1828" spans="1:14" x14ac:dyDescent="0.3">
      <c r="A1828" s="1">
        <v>38239</v>
      </c>
      <c r="B1828">
        <v>10293</v>
      </c>
      <c r="C1828">
        <v>249</v>
      </c>
      <c r="D1828" t="s">
        <v>246</v>
      </c>
      <c r="E1828" t="s">
        <v>82</v>
      </c>
      <c r="F1828" t="s">
        <v>15</v>
      </c>
      <c r="G1828" t="s">
        <v>68</v>
      </c>
      <c r="H1828">
        <v>24</v>
      </c>
      <c r="I1828" s="2">
        <v>110.64</v>
      </c>
      <c r="J1828" s="2">
        <v>68.3</v>
      </c>
      <c r="K1828" s="2">
        <v>2655.36</v>
      </c>
      <c r="L1828" s="2">
        <v>1639.2</v>
      </c>
      <c r="M1828" s="2">
        <v>1016.16</v>
      </c>
      <c r="N1828">
        <v>2</v>
      </c>
    </row>
    <row r="1829" spans="1:14" x14ac:dyDescent="0.3">
      <c r="A1829" s="1">
        <v>38239</v>
      </c>
      <c r="B1829">
        <v>10293</v>
      </c>
      <c r="C1829">
        <v>249</v>
      </c>
      <c r="D1829" t="s">
        <v>246</v>
      </c>
      <c r="E1829" t="s">
        <v>82</v>
      </c>
      <c r="F1829" t="s">
        <v>59</v>
      </c>
      <c r="G1829" t="s">
        <v>69</v>
      </c>
      <c r="H1829">
        <v>22</v>
      </c>
      <c r="I1829" s="2">
        <v>91.76</v>
      </c>
      <c r="J1829" s="2">
        <v>67.56</v>
      </c>
      <c r="K1829" s="2">
        <v>2018.72</v>
      </c>
      <c r="L1829" s="2">
        <v>1486.32</v>
      </c>
      <c r="M1829" s="2">
        <v>532.4</v>
      </c>
      <c r="N1829">
        <v>2</v>
      </c>
    </row>
    <row r="1830" spans="1:14" x14ac:dyDescent="0.3">
      <c r="A1830" s="1">
        <v>38239</v>
      </c>
      <c r="B1830">
        <v>10293</v>
      </c>
      <c r="C1830">
        <v>249</v>
      </c>
      <c r="D1830" t="s">
        <v>246</v>
      </c>
      <c r="E1830" t="s">
        <v>82</v>
      </c>
      <c r="F1830" t="s">
        <v>15</v>
      </c>
      <c r="G1830" t="s">
        <v>70</v>
      </c>
      <c r="H1830">
        <v>49</v>
      </c>
      <c r="I1830" s="2">
        <v>72.849999999999994</v>
      </c>
      <c r="J1830" s="2">
        <v>52.66</v>
      </c>
      <c r="K1830" s="2">
        <v>3569.65</v>
      </c>
      <c r="L1830" s="2">
        <v>2580.34</v>
      </c>
      <c r="M1830" s="2">
        <v>989.31</v>
      </c>
      <c r="N1830">
        <v>2</v>
      </c>
    </row>
    <row r="1831" spans="1:14" x14ac:dyDescent="0.3">
      <c r="A1831" s="1">
        <v>38239</v>
      </c>
      <c r="B1831">
        <v>10293</v>
      </c>
      <c r="C1831">
        <v>249</v>
      </c>
      <c r="D1831" t="s">
        <v>246</v>
      </c>
      <c r="E1831" t="s">
        <v>82</v>
      </c>
      <c r="F1831" t="s">
        <v>71</v>
      </c>
      <c r="G1831" t="s">
        <v>72</v>
      </c>
      <c r="H1831">
        <v>21</v>
      </c>
      <c r="I1831" s="2">
        <v>111.83</v>
      </c>
      <c r="J1831" s="2">
        <v>82.34</v>
      </c>
      <c r="K1831" s="2">
        <v>2348.4299999999998</v>
      </c>
      <c r="L1831" s="2">
        <v>1729.14</v>
      </c>
      <c r="M1831" s="2">
        <v>619.29</v>
      </c>
      <c r="N1831">
        <v>2</v>
      </c>
    </row>
    <row r="1832" spans="1:14" x14ac:dyDescent="0.3">
      <c r="A1832" s="1">
        <v>38239</v>
      </c>
      <c r="B1832">
        <v>10293</v>
      </c>
      <c r="C1832">
        <v>249</v>
      </c>
      <c r="D1832" t="s">
        <v>246</v>
      </c>
      <c r="E1832" t="s">
        <v>82</v>
      </c>
      <c r="F1832" t="s">
        <v>71</v>
      </c>
      <c r="G1832" t="s">
        <v>76</v>
      </c>
      <c r="H1832">
        <v>29</v>
      </c>
      <c r="I1832" s="2">
        <v>77.95</v>
      </c>
      <c r="J1832" s="2">
        <v>43.3</v>
      </c>
      <c r="K1832" s="2">
        <v>2260.5500000000002</v>
      </c>
      <c r="L1832" s="2">
        <v>1255.7</v>
      </c>
      <c r="M1832" s="2">
        <v>1004.85</v>
      </c>
      <c r="N1832">
        <v>2</v>
      </c>
    </row>
    <row r="1833" spans="1:14" x14ac:dyDescent="0.3">
      <c r="A1833" s="1">
        <v>38239</v>
      </c>
      <c r="B1833">
        <v>10293</v>
      </c>
      <c r="C1833">
        <v>249</v>
      </c>
      <c r="D1833" t="s">
        <v>246</v>
      </c>
      <c r="E1833" t="s">
        <v>82</v>
      </c>
      <c r="F1833" t="s">
        <v>71</v>
      </c>
      <c r="G1833" t="s">
        <v>80</v>
      </c>
      <c r="H1833">
        <v>32</v>
      </c>
      <c r="I1833" s="2">
        <v>51.32</v>
      </c>
      <c r="J1833" s="2">
        <v>33.299999999999997</v>
      </c>
      <c r="K1833" s="2">
        <v>1642.24</v>
      </c>
      <c r="L1833" s="2">
        <v>1065.5999999999999</v>
      </c>
      <c r="M1833" s="2">
        <v>576.64</v>
      </c>
      <c r="N1833">
        <v>2</v>
      </c>
    </row>
    <row r="1834" spans="1:14" x14ac:dyDescent="0.3">
      <c r="A1834" s="1">
        <v>38240</v>
      </c>
      <c r="B1834">
        <v>10294</v>
      </c>
      <c r="C1834">
        <v>204</v>
      </c>
      <c r="D1834" t="s">
        <v>197</v>
      </c>
      <c r="E1834" t="s">
        <v>14</v>
      </c>
      <c r="F1834" t="s">
        <v>71</v>
      </c>
      <c r="G1834" t="s">
        <v>79</v>
      </c>
      <c r="H1834">
        <v>45</v>
      </c>
      <c r="I1834" s="2">
        <v>98.32</v>
      </c>
      <c r="J1834" s="2">
        <v>53.63</v>
      </c>
      <c r="K1834" s="2">
        <v>4424.3999999999996</v>
      </c>
      <c r="L1834" s="2">
        <v>2413.35</v>
      </c>
      <c r="M1834" s="2">
        <v>2011.05</v>
      </c>
      <c r="N1834">
        <v>2</v>
      </c>
    </row>
    <row r="1835" spans="1:14" x14ac:dyDescent="0.3">
      <c r="A1835" s="1">
        <v>38240</v>
      </c>
      <c r="B1835">
        <v>10295</v>
      </c>
      <c r="C1835">
        <v>362</v>
      </c>
      <c r="D1835" t="s">
        <v>244</v>
      </c>
      <c r="E1835" t="s">
        <v>14</v>
      </c>
      <c r="F1835" t="s">
        <v>29</v>
      </c>
      <c r="G1835" t="s">
        <v>65</v>
      </c>
      <c r="H1835">
        <v>24</v>
      </c>
      <c r="I1835" s="2">
        <v>136</v>
      </c>
      <c r="J1835" s="2">
        <v>85.68</v>
      </c>
      <c r="K1835" s="2">
        <v>3264</v>
      </c>
      <c r="L1835" s="2">
        <v>2056.3200000000002</v>
      </c>
      <c r="M1835" s="2">
        <v>1207.68</v>
      </c>
      <c r="N1835">
        <v>2</v>
      </c>
    </row>
    <row r="1836" spans="1:14" x14ac:dyDescent="0.3">
      <c r="A1836" s="1">
        <v>38240</v>
      </c>
      <c r="B1836">
        <v>10295</v>
      </c>
      <c r="C1836">
        <v>362</v>
      </c>
      <c r="D1836" t="s">
        <v>244</v>
      </c>
      <c r="E1836" t="s">
        <v>14</v>
      </c>
      <c r="F1836" t="s">
        <v>15</v>
      </c>
      <c r="G1836" t="s">
        <v>73</v>
      </c>
      <c r="H1836">
        <v>46</v>
      </c>
      <c r="I1836" s="2">
        <v>84.08</v>
      </c>
      <c r="J1836" s="2">
        <v>46.91</v>
      </c>
      <c r="K1836" s="2">
        <v>3867.68</v>
      </c>
      <c r="L1836" s="2">
        <v>2157.86</v>
      </c>
      <c r="M1836" s="2">
        <v>1709.82</v>
      </c>
      <c r="N1836">
        <v>2</v>
      </c>
    </row>
    <row r="1837" spans="1:14" x14ac:dyDescent="0.3">
      <c r="A1837" s="1">
        <v>38240</v>
      </c>
      <c r="B1837">
        <v>10295</v>
      </c>
      <c r="C1837">
        <v>362</v>
      </c>
      <c r="D1837" t="s">
        <v>244</v>
      </c>
      <c r="E1837" t="s">
        <v>14</v>
      </c>
      <c r="F1837" t="s">
        <v>71</v>
      </c>
      <c r="G1837" t="s">
        <v>75</v>
      </c>
      <c r="H1837">
        <v>26</v>
      </c>
      <c r="I1837" s="2">
        <v>62</v>
      </c>
      <c r="J1837" s="2">
        <v>34</v>
      </c>
      <c r="K1837" s="2">
        <v>1612</v>
      </c>
      <c r="L1837" s="2">
        <v>884</v>
      </c>
      <c r="M1837" s="2">
        <v>728</v>
      </c>
      <c r="N1837">
        <v>2</v>
      </c>
    </row>
    <row r="1838" spans="1:14" x14ac:dyDescent="0.3">
      <c r="A1838" s="1">
        <v>38240</v>
      </c>
      <c r="B1838">
        <v>10295</v>
      </c>
      <c r="C1838">
        <v>362</v>
      </c>
      <c r="D1838" t="s">
        <v>244</v>
      </c>
      <c r="E1838" t="s">
        <v>14</v>
      </c>
      <c r="F1838" t="s">
        <v>71</v>
      </c>
      <c r="G1838" t="s">
        <v>77</v>
      </c>
      <c r="H1838">
        <v>44</v>
      </c>
      <c r="I1838" s="2">
        <v>71.56</v>
      </c>
      <c r="J1838" s="2">
        <v>33.97</v>
      </c>
      <c r="K1838" s="2">
        <v>3148.64</v>
      </c>
      <c r="L1838" s="2">
        <v>1494.68</v>
      </c>
      <c r="M1838" s="2">
        <v>1653.96</v>
      </c>
      <c r="N1838">
        <v>2</v>
      </c>
    </row>
    <row r="1839" spans="1:14" x14ac:dyDescent="0.3">
      <c r="A1839" s="1">
        <v>38240</v>
      </c>
      <c r="B1839">
        <v>10295</v>
      </c>
      <c r="C1839">
        <v>362</v>
      </c>
      <c r="D1839" t="s">
        <v>244</v>
      </c>
      <c r="E1839" t="s">
        <v>14</v>
      </c>
      <c r="F1839" t="s">
        <v>71</v>
      </c>
      <c r="G1839" t="s">
        <v>78</v>
      </c>
      <c r="H1839">
        <v>34</v>
      </c>
      <c r="I1839" s="2">
        <v>93.16</v>
      </c>
      <c r="J1839" s="2">
        <v>51.09</v>
      </c>
      <c r="K1839" s="2">
        <v>3167.44</v>
      </c>
      <c r="L1839" s="2">
        <v>1737.06</v>
      </c>
      <c r="M1839" s="2">
        <v>1430.38</v>
      </c>
      <c r="N1839">
        <v>2</v>
      </c>
    </row>
    <row r="1840" spans="1:14" x14ac:dyDescent="0.3">
      <c r="A1840" s="1">
        <v>38245</v>
      </c>
      <c r="B1840">
        <v>10296</v>
      </c>
      <c r="C1840">
        <v>415</v>
      </c>
      <c r="D1840" t="s">
        <v>248</v>
      </c>
      <c r="E1840" t="s">
        <v>20</v>
      </c>
      <c r="F1840" t="s">
        <v>83</v>
      </c>
      <c r="G1840" t="s">
        <v>84</v>
      </c>
      <c r="H1840">
        <v>36</v>
      </c>
      <c r="I1840" s="2">
        <v>146.65</v>
      </c>
      <c r="J1840" s="2">
        <v>77.27</v>
      </c>
      <c r="K1840" s="2">
        <v>5279.4</v>
      </c>
      <c r="L1840" s="2">
        <v>2781.72</v>
      </c>
      <c r="M1840" s="2">
        <v>2497.6799999999998</v>
      </c>
      <c r="N1840">
        <v>1</v>
      </c>
    </row>
    <row r="1841" spans="1:14" x14ac:dyDescent="0.3">
      <c r="A1841" s="1">
        <v>38245</v>
      </c>
      <c r="B1841">
        <v>10296</v>
      </c>
      <c r="C1841">
        <v>415</v>
      </c>
      <c r="D1841" t="s">
        <v>248</v>
      </c>
      <c r="E1841" t="s">
        <v>20</v>
      </c>
      <c r="F1841" t="s">
        <v>71</v>
      </c>
      <c r="G1841" t="s">
        <v>86</v>
      </c>
      <c r="H1841">
        <v>21</v>
      </c>
      <c r="I1841" s="2">
        <v>69.680000000000007</v>
      </c>
      <c r="J1841" s="2">
        <v>51.61</v>
      </c>
      <c r="K1841" s="2">
        <v>1463.28</v>
      </c>
      <c r="L1841" s="2">
        <v>1083.81</v>
      </c>
      <c r="M1841" s="2">
        <v>379.47</v>
      </c>
      <c r="N1841">
        <v>1</v>
      </c>
    </row>
    <row r="1842" spans="1:14" x14ac:dyDescent="0.3">
      <c r="A1842" s="1">
        <v>38245</v>
      </c>
      <c r="B1842">
        <v>10296</v>
      </c>
      <c r="C1842">
        <v>415</v>
      </c>
      <c r="D1842" t="s">
        <v>248</v>
      </c>
      <c r="E1842" t="s">
        <v>20</v>
      </c>
      <c r="F1842" t="s">
        <v>15</v>
      </c>
      <c r="G1842" t="s">
        <v>87</v>
      </c>
      <c r="H1842">
        <v>22</v>
      </c>
      <c r="I1842" s="2">
        <v>105.87</v>
      </c>
      <c r="J1842" s="2">
        <v>64.58</v>
      </c>
      <c r="K1842" s="2">
        <v>2329.14</v>
      </c>
      <c r="L1842" s="2">
        <v>1420.76</v>
      </c>
      <c r="M1842" s="2">
        <v>908.38</v>
      </c>
      <c r="N1842">
        <v>1</v>
      </c>
    </row>
    <row r="1843" spans="1:14" x14ac:dyDescent="0.3">
      <c r="A1843" s="1">
        <v>38245</v>
      </c>
      <c r="B1843">
        <v>10296</v>
      </c>
      <c r="C1843">
        <v>415</v>
      </c>
      <c r="D1843" t="s">
        <v>248</v>
      </c>
      <c r="E1843" t="s">
        <v>20</v>
      </c>
      <c r="F1843" t="s">
        <v>83</v>
      </c>
      <c r="G1843" t="s">
        <v>89</v>
      </c>
      <c r="H1843">
        <v>21</v>
      </c>
      <c r="I1843" s="2">
        <v>60.97</v>
      </c>
      <c r="J1843" s="2">
        <v>34.25</v>
      </c>
      <c r="K1843" s="2">
        <v>1280.3699999999999</v>
      </c>
      <c r="L1843" s="2">
        <v>719.25</v>
      </c>
      <c r="M1843" s="2">
        <v>561.12</v>
      </c>
      <c r="N1843">
        <v>1</v>
      </c>
    </row>
    <row r="1844" spans="1:14" x14ac:dyDescent="0.3">
      <c r="A1844" s="1">
        <v>38245</v>
      </c>
      <c r="B1844">
        <v>10296</v>
      </c>
      <c r="C1844">
        <v>415</v>
      </c>
      <c r="D1844" t="s">
        <v>248</v>
      </c>
      <c r="E1844" t="s">
        <v>20</v>
      </c>
      <c r="F1844" t="s">
        <v>15</v>
      </c>
      <c r="G1844" t="s">
        <v>90</v>
      </c>
      <c r="H1844">
        <v>31</v>
      </c>
      <c r="I1844" s="2">
        <v>63.78</v>
      </c>
      <c r="J1844" s="2">
        <v>26.3</v>
      </c>
      <c r="K1844" s="2">
        <v>1977.18</v>
      </c>
      <c r="L1844" s="2">
        <v>815.3</v>
      </c>
      <c r="M1844" s="2">
        <v>1161.8800000000001</v>
      </c>
      <c r="N1844">
        <v>1</v>
      </c>
    </row>
    <row r="1845" spans="1:14" x14ac:dyDescent="0.3">
      <c r="A1845" s="1">
        <v>38245</v>
      </c>
      <c r="B1845">
        <v>10296</v>
      </c>
      <c r="C1845">
        <v>415</v>
      </c>
      <c r="D1845" t="s">
        <v>248</v>
      </c>
      <c r="E1845" t="s">
        <v>20</v>
      </c>
      <c r="F1845" t="s">
        <v>15</v>
      </c>
      <c r="G1845" t="s">
        <v>74</v>
      </c>
      <c r="H1845">
        <v>22</v>
      </c>
      <c r="I1845" s="2">
        <v>83.02</v>
      </c>
      <c r="J1845" s="2">
        <v>48.64</v>
      </c>
      <c r="K1845" s="2">
        <v>1826.44</v>
      </c>
      <c r="L1845" s="2">
        <v>1070.08</v>
      </c>
      <c r="M1845" s="2">
        <v>756.36</v>
      </c>
      <c r="N1845">
        <v>1</v>
      </c>
    </row>
    <row r="1846" spans="1:14" x14ac:dyDescent="0.3">
      <c r="A1846" s="1">
        <v>38245</v>
      </c>
      <c r="B1846">
        <v>10296</v>
      </c>
      <c r="C1846">
        <v>415</v>
      </c>
      <c r="D1846" t="s">
        <v>248</v>
      </c>
      <c r="E1846" t="s">
        <v>20</v>
      </c>
      <c r="F1846" t="s">
        <v>83</v>
      </c>
      <c r="G1846" t="s">
        <v>91</v>
      </c>
      <c r="H1846">
        <v>32</v>
      </c>
      <c r="I1846" s="2">
        <v>63.46</v>
      </c>
      <c r="J1846" s="2">
        <v>29.34</v>
      </c>
      <c r="K1846" s="2">
        <v>2030.72</v>
      </c>
      <c r="L1846" s="2">
        <v>938.88</v>
      </c>
      <c r="M1846" s="2">
        <v>1091.8399999999999</v>
      </c>
      <c r="N1846">
        <v>1</v>
      </c>
    </row>
    <row r="1847" spans="1:14" x14ac:dyDescent="0.3">
      <c r="A1847" s="1">
        <v>38245</v>
      </c>
      <c r="B1847">
        <v>10296</v>
      </c>
      <c r="C1847">
        <v>415</v>
      </c>
      <c r="D1847" t="s">
        <v>248</v>
      </c>
      <c r="E1847" t="s">
        <v>20</v>
      </c>
      <c r="F1847" t="s">
        <v>15</v>
      </c>
      <c r="G1847" t="s">
        <v>94</v>
      </c>
      <c r="H1847">
        <v>26</v>
      </c>
      <c r="I1847" s="2">
        <v>41.02</v>
      </c>
      <c r="J1847" s="2">
        <v>27.06</v>
      </c>
      <c r="K1847" s="2">
        <v>1066.52</v>
      </c>
      <c r="L1847" s="2">
        <v>703.56</v>
      </c>
      <c r="M1847" s="2">
        <v>362.96</v>
      </c>
      <c r="N1847">
        <v>1</v>
      </c>
    </row>
    <row r="1848" spans="1:14" x14ac:dyDescent="0.3">
      <c r="A1848" s="1">
        <v>38245</v>
      </c>
      <c r="B1848">
        <v>10296</v>
      </c>
      <c r="C1848">
        <v>415</v>
      </c>
      <c r="D1848" t="s">
        <v>248</v>
      </c>
      <c r="E1848" t="s">
        <v>20</v>
      </c>
      <c r="F1848" t="s">
        <v>83</v>
      </c>
      <c r="G1848" t="s">
        <v>95</v>
      </c>
      <c r="H1848">
        <v>42</v>
      </c>
      <c r="I1848" s="2">
        <v>75.81</v>
      </c>
      <c r="J1848" s="2">
        <v>51.15</v>
      </c>
      <c r="K1848" s="2">
        <v>3184.02</v>
      </c>
      <c r="L1848" s="2">
        <v>2148.3000000000002</v>
      </c>
      <c r="M1848" s="2">
        <v>1035.72</v>
      </c>
      <c r="N1848">
        <v>1</v>
      </c>
    </row>
    <row r="1849" spans="1:14" x14ac:dyDescent="0.3">
      <c r="A1849" s="1">
        <v>38245</v>
      </c>
      <c r="B1849">
        <v>10296</v>
      </c>
      <c r="C1849">
        <v>415</v>
      </c>
      <c r="D1849" t="s">
        <v>248</v>
      </c>
      <c r="E1849" t="s">
        <v>20</v>
      </c>
      <c r="F1849" t="s">
        <v>71</v>
      </c>
      <c r="G1849" t="s">
        <v>96</v>
      </c>
      <c r="H1849">
        <v>34</v>
      </c>
      <c r="I1849" s="2">
        <v>89.61</v>
      </c>
      <c r="J1849" s="2">
        <v>39.83</v>
      </c>
      <c r="K1849" s="2">
        <v>3046.74</v>
      </c>
      <c r="L1849" s="2">
        <v>1354.22</v>
      </c>
      <c r="M1849" s="2">
        <v>1692.52</v>
      </c>
      <c r="N1849">
        <v>1</v>
      </c>
    </row>
    <row r="1850" spans="1:14" x14ac:dyDescent="0.3">
      <c r="A1850" s="1">
        <v>38245</v>
      </c>
      <c r="B1850">
        <v>10296</v>
      </c>
      <c r="C1850">
        <v>415</v>
      </c>
      <c r="D1850" t="s">
        <v>248</v>
      </c>
      <c r="E1850" t="s">
        <v>20</v>
      </c>
      <c r="F1850" t="s">
        <v>83</v>
      </c>
      <c r="G1850" t="s">
        <v>97</v>
      </c>
      <c r="H1850">
        <v>24</v>
      </c>
      <c r="I1850" s="2">
        <v>96.73</v>
      </c>
      <c r="J1850" s="2">
        <v>68.8</v>
      </c>
      <c r="K1850" s="2">
        <v>2321.52</v>
      </c>
      <c r="L1850" s="2">
        <v>1651.2</v>
      </c>
      <c r="M1850" s="2">
        <v>670.32</v>
      </c>
      <c r="N1850">
        <v>1</v>
      </c>
    </row>
    <row r="1851" spans="1:14" x14ac:dyDescent="0.3">
      <c r="A1851" s="1">
        <v>38245</v>
      </c>
      <c r="B1851">
        <v>10296</v>
      </c>
      <c r="C1851">
        <v>415</v>
      </c>
      <c r="D1851" t="s">
        <v>248</v>
      </c>
      <c r="E1851" t="s">
        <v>20</v>
      </c>
      <c r="F1851" t="s">
        <v>83</v>
      </c>
      <c r="G1851" t="s">
        <v>99</v>
      </c>
      <c r="H1851">
        <v>22</v>
      </c>
      <c r="I1851" s="2">
        <v>74.400000000000006</v>
      </c>
      <c r="J1851" s="2">
        <v>54.4</v>
      </c>
      <c r="K1851" s="2">
        <v>1636.8</v>
      </c>
      <c r="L1851" s="2">
        <v>1196.8</v>
      </c>
      <c r="M1851" s="2">
        <v>440</v>
      </c>
      <c r="N1851">
        <v>1</v>
      </c>
    </row>
    <row r="1852" spans="1:14" x14ac:dyDescent="0.3">
      <c r="A1852" s="1">
        <v>38245</v>
      </c>
      <c r="B1852">
        <v>10296</v>
      </c>
      <c r="C1852">
        <v>415</v>
      </c>
      <c r="D1852" t="s">
        <v>248</v>
      </c>
      <c r="E1852" t="s">
        <v>20</v>
      </c>
      <c r="F1852" t="s">
        <v>83</v>
      </c>
      <c r="G1852" t="s">
        <v>100</v>
      </c>
      <c r="H1852">
        <v>47</v>
      </c>
      <c r="I1852" s="2">
        <v>61.44</v>
      </c>
      <c r="J1852" s="2">
        <v>36.270000000000003</v>
      </c>
      <c r="K1852" s="2">
        <v>2887.68</v>
      </c>
      <c r="L1852" s="2">
        <v>1704.69</v>
      </c>
      <c r="M1852" s="2">
        <v>1182.99</v>
      </c>
      <c r="N1852">
        <v>1</v>
      </c>
    </row>
    <row r="1853" spans="1:14" x14ac:dyDescent="0.3">
      <c r="A1853" s="1">
        <v>38245</v>
      </c>
      <c r="B1853">
        <v>10296</v>
      </c>
      <c r="C1853">
        <v>415</v>
      </c>
      <c r="D1853" t="s">
        <v>248</v>
      </c>
      <c r="E1853" t="s">
        <v>20</v>
      </c>
      <c r="F1853" t="s">
        <v>83</v>
      </c>
      <c r="G1853" t="s">
        <v>101</v>
      </c>
      <c r="H1853">
        <v>21</v>
      </c>
      <c r="I1853" s="2">
        <v>46.68</v>
      </c>
      <c r="J1853" s="2">
        <v>32.770000000000003</v>
      </c>
      <c r="K1853" s="2">
        <v>980.28</v>
      </c>
      <c r="L1853" s="2">
        <v>688.17</v>
      </c>
      <c r="M1853" s="2">
        <v>292.11</v>
      </c>
      <c r="N1853">
        <v>1</v>
      </c>
    </row>
    <row r="1854" spans="1:14" x14ac:dyDescent="0.3">
      <c r="A1854" s="1">
        <v>38246</v>
      </c>
      <c r="B1854">
        <v>10297</v>
      </c>
      <c r="C1854">
        <v>189</v>
      </c>
      <c r="D1854" t="s">
        <v>237</v>
      </c>
      <c r="E1854" t="s">
        <v>188</v>
      </c>
      <c r="F1854" t="s">
        <v>83</v>
      </c>
      <c r="G1854" t="s">
        <v>85</v>
      </c>
      <c r="H1854">
        <v>25</v>
      </c>
      <c r="I1854" s="2">
        <v>81.95</v>
      </c>
      <c r="J1854" s="2">
        <v>49</v>
      </c>
      <c r="K1854" s="2">
        <v>2048.75</v>
      </c>
      <c r="L1854" s="2">
        <v>1225</v>
      </c>
      <c r="M1854" s="2">
        <v>823.75</v>
      </c>
      <c r="N1854">
        <v>2</v>
      </c>
    </row>
    <row r="1855" spans="1:14" x14ac:dyDescent="0.3">
      <c r="A1855" s="1">
        <v>38246</v>
      </c>
      <c r="B1855">
        <v>10297</v>
      </c>
      <c r="C1855">
        <v>189</v>
      </c>
      <c r="D1855" t="s">
        <v>237</v>
      </c>
      <c r="E1855" t="s">
        <v>188</v>
      </c>
      <c r="F1855" t="s">
        <v>83</v>
      </c>
      <c r="G1855" t="s">
        <v>88</v>
      </c>
      <c r="H1855">
        <v>32</v>
      </c>
      <c r="I1855" s="2">
        <v>107.23</v>
      </c>
      <c r="J1855" s="2">
        <v>66.739999999999995</v>
      </c>
      <c r="K1855" s="2">
        <v>3431.36</v>
      </c>
      <c r="L1855" s="2">
        <v>2135.6799999999998</v>
      </c>
      <c r="M1855" s="2">
        <v>1295.68</v>
      </c>
      <c r="N1855">
        <v>2</v>
      </c>
    </row>
    <row r="1856" spans="1:14" x14ac:dyDescent="0.3">
      <c r="A1856" s="1">
        <v>38246</v>
      </c>
      <c r="B1856">
        <v>10297</v>
      </c>
      <c r="C1856">
        <v>189</v>
      </c>
      <c r="D1856" t="s">
        <v>237</v>
      </c>
      <c r="E1856" t="s">
        <v>188</v>
      </c>
      <c r="F1856" t="s">
        <v>102</v>
      </c>
      <c r="G1856" t="s">
        <v>109</v>
      </c>
      <c r="H1856">
        <v>32</v>
      </c>
      <c r="I1856" s="2">
        <v>70.08</v>
      </c>
      <c r="J1856" s="2">
        <v>37.32</v>
      </c>
      <c r="K1856" s="2">
        <v>2242.56</v>
      </c>
      <c r="L1856" s="2">
        <v>1194.24</v>
      </c>
      <c r="M1856" s="2">
        <v>1048.32</v>
      </c>
      <c r="N1856">
        <v>2</v>
      </c>
    </row>
    <row r="1857" spans="1:14" x14ac:dyDescent="0.3">
      <c r="A1857" s="1">
        <v>38246</v>
      </c>
      <c r="B1857">
        <v>10297</v>
      </c>
      <c r="C1857">
        <v>189</v>
      </c>
      <c r="D1857" t="s">
        <v>237</v>
      </c>
      <c r="E1857" t="s">
        <v>188</v>
      </c>
      <c r="F1857" t="s">
        <v>83</v>
      </c>
      <c r="G1857" t="s">
        <v>92</v>
      </c>
      <c r="H1857">
        <v>23</v>
      </c>
      <c r="I1857" s="2">
        <v>71.73</v>
      </c>
      <c r="J1857" s="2">
        <v>36.229999999999997</v>
      </c>
      <c r="K1857" s="2">
        <v>1649.79</v>
      </c>
      <c r="L1857" s="2">
        <v>833.29</v>
      </c>
      <c r="M1857" s="2">
        <v>816.5</v>
      </c>
      <c r="N1857">
        <v>2</v>
      </c>
    </row>
    <row r="1858" spans="1:14" x14ac:dyDescent="0.3">
      <c r="A1858" s="1">
        <v>38246</v>
      </c>
      <c r="B1858">
        <v>10297</v>
      </c>
      <c r="C1858">
        <v>189</v>
      </c>
      <c r="D1858" t="s">
        <v>237</v>
      </c>
      <c r="E1858" t="s">
        <v>188</v>
      </c>
      <c r="F1858" t="s">
        <v>102</v>
      </c>
      <c r="G1858" t="s">
        <v>110</v>
      </c>
      <c r="H1858">
        <v>26</v>
      </c>
      <c r="I1858" s="2">
        <v>88.9</v>
      </c>
      <c r="J1858" s="2">
        <v>66.92</v>
      </c>
      <c r="K1858" s="2">
        <v>2311.4</v>
      </c>
      <c r="L1858" s="2">
        <v>1739.92</v>
      </c>
      <c r="M1858" s="2">
        <v>571.48</v>
      </c>
      <c r="N1858">
        <v>2</v>
      </c>
    </row>
    <row r="1859" spans="1:14" x14ac:dyDescent="0.3">
      <c r="A1859" s="1">
        <v>38246</v>
      </c>
      <c r="B1859">
        <v>10297</v>
      </c>
      <c r="C1859">
        <v>189</v>
      </c>
      <c r="D1859" t="s">
        <v>237</v>
      </c>
      <c r="E1859" t="s">
        <v>188</v>
      </c>
      <c r="F1859" t="s">
        <v>15</v>
      </c>
      <c r="G1859" t="s">
        <v>93</v>
      </c>
      <c r="H1859">
        <v>28</v>
      </c>
      <c r="I1859" s="2">
        <v>63.29</v>
      </c>
      <c r="J1859" s="2">
        <v>33.020000000000003</v>
      </c>
      <c r="K1859" s="2">
        <v>1772.12</v>
      </c>
      <c r="L1859" s="2">
        <v>924.56</v>
      </c>
      <c r="M1859" s="2">
        <v>847.56</v>
      </c>
      <c r="N1859">
        <v>2</v>
      </c>
    </row>
    <row r="1860" spans="1:14" x14ac:dyDescent="0.3">
      <c r="A1860" s="1">
        <v>38246</v>
      </c>
      <c r="B1860">
        <v>10297</v>
      </c>
      <c r="C1860">
        <v>189</v>
      </c>
      <c r="D1860" t="s">
        <v>237</v>
      </c>
      <c r="E1860" t="s">
        <v>188</v>
      </c>
      <c r="F1860" t="s">
        <v>83</v>
      </c>
      <c r="G1860" t="s">
        <v>98</v>
      </c>
      <c r="H1860">
        <v>35</v>
      </c>
      <c r="I1860" s="2">
        <v>111.53</v>
      </c>
      <c r="J1860" s="2">
        <v>59.33</v>
      </c>
      <c r="K1860" s="2">
        <v>3903.55</v>
      </c>
      <c r="L1860" s="2">
        <v>2076.5500000000002</v>
      </c>
      <c r="M1860" s="2">
        <v>1827</v>
      </c>
      <c r="N1860">
        <v>2</v>
      </c>
    </row>
    <row r="1861" spans="1:14" x14ac:dyDescent="0.3">
      <c r="A1861" s="1">
        <v>38257</v>
      </c>
      <c r="B1861">
        <v>10298</v>
      </c>
      <c r="C1861">
        <v>103</v>
      </c>
      <c r="D1861" t="s">
        <v>154</v>
      </c>
      <c r="E1861" t="s">
        <v>144</v>
      </c>
      <c r="F1861" t="s">
        <v>102</v>
      </c>
      <c r="G1861" t="s">
        <v>104</v>
      </c>
      <c r="H1861">
        <v>39</v>
      </c>
      <c r="I1861" s="2">
        <v>105.86</v>
      </c>
      <c r="J1861" s="2">
        <v>68.989999999999995</v>
      </c>
      <c r="K1861" s="2">
        <v>4128.54</v>
      </c>
      <c r="L1861" s="2">
        <v>2690.61</v>
      </c>
      <c r="M1861" s="2">
        <v>1437.93</v>
      </c>
      <c r="N1861">
        <v>2</v>
      </c>
    </row>
    <row r="1862" spans="1:14" x14ac:dyDescent="0.3">
      <c r="A1862" s="1">
        <v>38257</v>
      </c>
      <c r="B1862">
        <v>10298</v>
      </c>
      <c r="C1862">
        <v>103</v>
      </c>
      <c r="D1862" t="s">
        <v>154</v>
      </c>
      <c r="E1862" t="s">
        <v>144</v>
      </c>
      <c r="F1862" t="s">
        <v>102</v>
      </c>
      <c r="G1862" t="s">
        <v>107</v>
      </c>
      <c r="H1862">
        <v>32</v>
      </c>
      <c r="I1862" s="2">
        <v>60.57</v>
      </c>
      <c r="J1862" s="2">
        <v>24.23</v>
      </c>
      <c r="K1862" s="2">
        <v>1938.24</v>
      </c>
      <c r="L1862" s="2">
        <v>775.36</v>
      </c>
      <c r="M1862" s="2">
        <v>1162.8800000000001</v>
      </c>
      <c r="N1862">
        <v>2</v>
      </c>
    </row>
    <row r="1863" spans="1:14" x14ac:dyDescent="0.3">
      <c r="A1863" s="1">
        <v>38260</v>
      </c>
      <c r="B1863">
        <v>10299</v>
      </c>
      <c r="C1863">
        <v>186</v>
      </c>
      <c r="D1863" t="s">
        <v>223</v>
      </c>
      <c r="E1863" t="s">
        <v>164</v>
      </c>
      <c r="F1863" t="s">
        <v>102</v>
      </c>
      <c r="G1863" t="s">
        <v>103</v>
      </c>
      <c r="H1863">
        <v>23</v>
      </c>
      <c r="I1863" s="2">
        <v>76.56</v>
      </c>
      <c r="J1863" s="2">
        <v>48.81</v>
      </c>
      <c r="K1863" s="2">
        <v>1760.88</v>
      </c>
      <c r="L1863" s="2">
        <v>1122.6300000000001</v>
      </c>
      <c r="M1863" s="2">
        <v>638.25</v>
      </c>
      <c r="N1863">
        <v>2</v>
      </c>
    </row>
    <row r="1864" spans="1:14" x14ac:dyDescent="0.3">
      <c r="A1864" s="1">
        <v>38260</v>
      </c>
      <c r="B1864">
        <v>10299</v>
      </c>
      <c r="C1864">
        <v>186</v>
      </c>
      <c r="D1864" t="s">
        <v>223</v>
      </c>
      <c r="E1864" t="s">
        <v>164</v>
      </c>
      <c r="F1864" t="s">
        <v>102</v>
      </c>
      <c r="G1864" t="s">
        <v>105</v>
      </c>
      <c r="H1864">
        <v>29</v>
      </c>
      <c r="I1864" s="2">
        <v>164.61</v>
      </c>
      <c r="J1864" s="2">
        <v>91.02</v>
      </c>
      <c r="K1864" s="2">
        <v>4773.6899999999996</v>
      </c>
      <c r="L1864" s="2">
        <v>2639.58</v>
      </c>
      <c r="M1864" s="2">
        <v>2134.11</v>
      </c>
      <c r="N1864">
        <v>2</v>
      </c>
    </row>
    <row r="1865" spans="1:14" x14ac:dyDescent="0.3">
      <c r="A1865" s="1">
        <v>38260</v>
      </c>
      <c r="B1865">
        <v>10299</v>
      </c>
      <c r="C1865">
        <v>186</v>
      </c>
      <c r="D1865" t="s">
        <v>223</v>
      </c>
      <c r="E1865" t="s">
        <v>164</v>
      </c>
      <c r="F1865" t="s">
        <v>102</v>
      </c>
      <c r="G1865" t="s">
        <v>106</v>
      </c>
      <c r="H1865">
        <v>24</v>
      </c>
      <c r="I1865" s="2">
        <v>123.51</v>
      </c>
      <c r="J1865" s="2">
        <v>66.27</v>
      </c>
      <c r="K1865" s="2">
        <v>2964.24</v>
      </c>
      <c r="L1865" s="2">
        <v>1590.48</v>
      </c>
      <c r="M1865" s="2">
        <v>1373.76</v>
      </c>
      <c r="N1865">
        <v>2</v>
      </c>
    </row>
    <row r="1866" spans="1:14" x14ac:dyDescent="0.3">
      <c r="A1866" s="1">
        <v>38260</v>
      </c>
      <c r="B1866">
        <v>10299</v>
      </c>
      <c r="C1866">
        <v>186</v>
      </c>
      <c r="D1866" t="s">
        <v>223</v>
      </c>
      <c r="E1866" t="s">
        <v>164</v>
      </c>
      <c r="F1866" t="s">
        <v>102</v>
      </c>
      <c r="G1866" t="s">
        <v>119</v>
      </c>
      <c r="H1866">
        <v>39</v>
      </c>
      <c r="I1866" s="2">
        <v>62.17</v>
      </c>
      <c r="J1866" s="2">
        <v>32.950000000000003</v>
      </c>
      <c r="K1866" s="2">
        <v>2424.63</v>
      </c>
      <c r="L1866" s="2">
        <v>1285.05</v>
      </c>
      <c r="M1866" s="2">
        <v>1139.58</v>
      </c>
      <c r="N1866">
        <v>2</v>
      </c>
    </row>
    <row r="1867" spans="1:14" x14ac:dyDescent="0.3">
      <c r="A1867" s="1">
        <v>38260</v>
      </c>
      <c r="B1867">
        <v>10299</v>
      </c>
      <c r="C1867">
        <v>186</v>
      </c>
      <c r="D1867" t="s">
        <v>223</v>
      </c>
      <c r="E1867" t="s">
        <v>164</v>
      </c>
      <c r="F1867" t="s">
        <v>29</v>
      </c>
      <c r="G1867" t="s">
        <v>120</v>
      </c>
      <c r="H1867">
        <v>49</v>
      </c>
      <c r="I1867" s="2">
        <v>119.04</v>
      </c>
      <c r="J1867" s="2">
        <v>69.930000000000007</v>
      </c>
      <c r="K1867" s="2">
        <v>5832.96</v>
      </c>
      <c r="L1867" s="2">
        <v>3426.57</v>
      </c>
      <c r="M1867" s="2">
        <v>2406.39</v>
      </c>
      <c r="N1867">
        <v>2</v>
      </c>
    </row>
    <row r="1868" spans="1:14" x14ac:dyDescent="0.3">
      <c r="A1868" s="1">
        <v>38260</v>
      </c>
      <c r="B1868">
        <v>10299</v>
      </c>
      <c r="C1868">
        <v>186</v>
      </c>
      <c r="D1868" t="s">
        <v>223</v>
      </c>
      <c r="E1868" t="s">
        <v>164</v>
      </c>
      <c r="F1868" t="s">
        <v>102</v>
      </c>
      <c r="G1868" t="s">
        <v>108</v>
      </c>
      <c r="H1868">
        <v>47</v>
      </c>
      <c r="I1868" s="2">
        <v>107.07</v>
      </c>
      <c r="J1868" s="2">
        <v>60.86</v>
      </c>
      <c r="K1868" s="2">
        <v>5032.29</v>
      </c>
      <c r="L1868" s="2">
        <v>2860.42</v>
      </c>
      <c r="M1868" s="2">
        <v>2171.87</v>
      </c>
      <c r="N1868">
        <v>2</v>
      </c>
    </row>
    <row r="1869" spans="1:14" x14ac:dyDescent="0.3">
      <c r="A1869" s="1">
        <v>38260</v>
      </c>
      <c r="B1869">
        <v>10299</v>
      </c>
      <c r="C1869">
        <v>186</v>
      </c>
      <c r="D1869" t="s">
        <v>223</v>
      </c>
      <c r="E1869" t="s">
        <v>164</v>
      </c>
      <c r="F1869" t="s">
        <v>102</v>
      </c>
      <c r="G1869" t="s">
        <v>121</v>
      </c>
      <c r="H1869">
        <v>33</v>
      </c>
      <c r="I1869" s="2">
        <v>58.87</v>
      </c>
      <c r="J1869" s="2">
        <v>47.1</v>
      </c>
      <c r="K1869" s="2">
        <v>1942.71</v>
      </c>
      <c r="L1869" s="2">
        <v>1554.3</v>
      </c>
      <c r="M1869" s="2">
        <v>388.41</v>
      </c>
      <c r="N1869">
        <v>2</v>
      </c>
    </row>
    <row r="1870" spans="1:14" x14ac:dyDescent="0.3">
      <c r="A1870" s="1">
        <v>38260</v>
      </c>
      <c r="B1870">
        <v>10299</v>
      </c>
      <c r="C1870">
        <v>186</v>
      </c>
      <c r="D1870" t="s">
        <v>223</v>
      </c>
      <c r="E1870" t="s">
        <v>164</v>
      </c>
      <c r="F1870" t="s">
        <v>29</v>
      </c>
      <c r="G1870" t="s">
        <v>124</v>
      </c>
      <c r="H1870">
        <v>32</v>
      </c>
      <c r="I1870" s="2">
        <v>66.290000000000006</v>
      </c>
      <c r="J1870" s="2">
        <v>32.33</v>
      </c>
      <c r="K1870" s="2">
        <v>2121.2800000000002</v>
      </c>
      <c r="L1870" s="2">
        <v>1034.56</v>
      </c>
      <c r="M1870" s="2">
        <v>1086.72</v>
      </c>
      <c r="N1870">
        <v>2</v>
      </c>
    </row>
    <row r="1871" spans="1:14" x14ac:dyDescent="0.3">
      <c r="A1871" s="1">
        <v>38260</v>
      </c>
      <c r="B1871">
        <v>10299</v>
      </c>
      <c r="C1871">
        <v>186</v>
      </c>
      <c r="D1871" t="s">
        <v>223</v>
      </c>
      <c r="E1871" t="s">
        <v>164</v>
      </c>
      <c r="F1871" t="s">
        <v>102</v>
      </c>
      <c r="G1871" t="s">
        <v>125</v>
      </c>
      <c r="H1871">
        <v>24</v>
      </c>
      <c r="I1871" s="2">
        <v>36.21</v>
      </c>
      <c r="J1871" s="2">
        <v>24.14</v>
      </c>
      <c r="K1871" s="2">
        <v>869.04</v>
      </c>
      <c r="L1871" s="2">
        <v>579.36</v>
      </c>
      <c r="M1871" s="2">
        <v>289.68</v>
      </c>
      <c r="N1871">
        <v>2</v>
      </c>
    </row>
    <row r="1872" spans="1:14" x14ac:dyDescent="0.3">
      <c r="A1872" s="1">
        <v>38260</v>
      </c>
      <c r="B1872">
        <v>10299</v>
      </c>
      <c r="C1872">
        <v>186</v>
      </c>
      <c r="D1872" t="s">
        <v>223</v>
      </c>
      <c r="E1872" t="s">
        <v>164</v>
      </c>
      <c r="F1872" t="s">
        <v>102</v>
      </c>
      <c r="G1872" t="s">
        <v>126</v>
      </c>
      <c r="H1872">
        <v>38</v>
      </c>
      <c r="I1872" s="2">
        <v>84.7</v>
      </c>
      <c r="J1872" s="2">
        <v>56.13</v>
      </c>
      <c r="K1872" s="2">
        <v>3218.6</v>
      </c>
      <c r="L1872" s="2">
        <v>2132.94</v>
      </c>
      <c r="M1872" s="2">
        <v>1085.6600000000001</v>
      </c>
      <c r="N1872">
        <v>2</v>
      </c>
    </row>
    <row r="1873" spans="1:14" x14ac:dyDescent="0.3">
      <c r="A1873" s="1">
        <v>38260</v>
      </c>
      <c r="B1873">
        <v>10299</v>
      </c>
      <c r="C1873">
        <v>186</v>
      </c>
      <c r="D1873" t="s">
        <v>223</v>
      </c>
      <c r="E1873" t="s">
        <v>164</v>
      </c>
      <c r="F1873" t="s">
        <v>102</v>
      </c>
      <c r="G1873" t="s">
        <v>127</v>
      </c>
      <c r="H1873">
        <v>44</v>
      </c>
      <c r="I1873" s="2">
        <v>77.290000000000006</v>
      </c>
      <c r="J1873" s="2">
        <v>34.17</v>
      </c>
      <c r="K1873" s="2">
        <v>3400.76</v>
      </c>
      <c r="L1873" s="2">
        <v>1503.48</v>
      </c>
      <c r="M1873" s="2">
        <v>1897.28</v>
      </c>
      <c r="N1873">
        <v>2</v>
      </c>
    </row>
    <row r="1874" spans="1:14" x14ac:dyDescent="0.3">
      <c r="A1874" s="1">
        <v>38266</v>
      </c>
      <c r="B1874">
        <v>10303</v>
      </c>
      <c r="C1874">
        <v>484</v>
      </c>
      <c r="D1874" t="s">
        <v>229</v>
      </c>
      <c r="E1874" t="s">
        <v>48</v>
      </c>
      <c r="F1874" t="s">
        <v>15</v>
      </c>
      <c r="G1874" t="s">
        <v>17</v>
      </c>
      <c r="H1874">
        <v>46</v>
      </c>
      <c r="I1874" s="2">
        <v>56.91</v>
      </c>
      <c r="J1874" s="2">
        <v>33.299999999999997</v>
      </c>
      <c r="K1874" s="2">
        <v>2617.86</v>
      </c>
      <c r="L1874" s="2">
        <v>1531.8</v>
      </c>
      <c r="M1874" s="2">
        <v>1086.06</v>
      </c>
      <c r="N1874">
        <v>2</v>
      </c>
    </row>
    <row r="1875" spans="1:14" x14ac:dyDescent="0.3">
      <c r="A1875" s="1">
        <v>38266</v>
      </c>
      <c r="B1875">
        <v>10303</v>
      </c>
      <c r="C1875">
        <v>484</v>
      </c>
      <c r="D1875" t="s">
        <v>229</v>
      </c>
      <c r="E1875" t="s">
        <v>48</v>
      </c>
      <c r="F1875" t="s">
        <v>15</v>
      </c>
      <c r="G1875" t="s">
        <v>19</v>
      </c>
      <c r="H1875">
        <v>24</v>
      </c>
      <c r="I1875" s="2">
        <v>35.700000000000003</v>
      </c>
      <c r="J1875" s="2">
        <v>21.75</v>
      </c>
      <c r="K1875" s="2">
        <v>856.8</v>
      </c>
      <c r="L1875" s="2">
        <v>522</v>
      </c>
      <c r="M1875" s="2">
        <v>334.8</v>
      </c>
      <c r="N1875">
        <v>2</v>
      </c>
    </row>
    <row r="1876" spans="1:14" x14ac:dyDescent="0.3">
      <c r="A1876" s="1">
        <v>38271</v>
      </c>
      <c r="B1876">
        <v>10304</v>
      </c>
      <c r="C1876">
        <v>256</v>
      </c>
      <c r="D1876" t="s">
        <v>236</v>
      </c>
      <c r="E1876" t="s">
        <v>144</v>
      </c>
      <c r="F1876" t="s">
        <v>29</v>
      </c>
      <c r="G1876" t="s">
        <v>30</v>
      </c>
      <c r="H1876">
        <v>47</v>
      </c>
      <c r="I1876" s="2">
        <v>201.44</v>
      </c>
      <c r="J1876" s="2">
        <v>98.58</v>
      </c>
      <c r="K1876" s="2">
        <v>9467.68</v>
      </c>
      <c r="L1876" s="2">
        <v>4633.26</v>
      </c>
      <c r="M1876" s="2">
        <v>4834.42</v>
      </c>
      <c r="N1876">
        <v>2</v>
      </c>
    </row>
    <row r="1877" spans="1:14" x14ac:dyDescent="0.3">
      <c r="A1877" s="1">
        <v>38271</v>
      </c>
      <c r="B1877">
        <v>10304</v>
      </c>
      <c r="C1877">
        <v>256</v>
      </c>
      <c r="D1877" t="s">
        <v>236</v>
      </c>
      <c r="E1877" t="s">
        <v>144</v>
      </c>
      <c r="F1877" t="s">
        <v>32</v>
      </c>
      <c r="G1877" t="s">
        <v>33</v>
      </c>
      <c r="H1877">
        <v>39</v>
      </c>
      <c r="I1877" s="2">
        <v>117.54</v>
      </c>
      <c r="J1877" s="2">
        <v>77.900000000000006</v>
      </c>
      <c r="K1877" s="2">
        <v>4584.0600000000004</v>
      </c>
      <c r="L1877" s="2">
        <v>3038.1</v>
      </c>
      <c r="M1877" s="2">
        <v>1545.96</v>
      </c>
      <c r="N1877">
        <v>2</v>
      </c>
    </row>
    <row r="1878" spans="1:14" x14ac:dyDescent="0.3">
      <c r="A1878" s="1">
        <v>38271</v>
      </c>
      <c r="B1878">
        <v>10304</v>
      </c>
      <c r="C1878">
        <v>256</v>
      </c>
      <c r="D1878" t="s">
        <v>236</v>
      </c>
      <c r="E1878" t="s">
        <v>144</v>
      </c>
      <c r="F1878" t="s">
        <v>32</v>
      </c>
      <c r="G1878" t="s">
        <v>34</v>
      </c>
      <c r="H1878">
        <v>46</v>
      </c>
      <c r="I1878" s="2">
        <v>106.17</v>
      </c>
      <c r="J1878" s="2">
        <v>58.33</v>
      </c>
      <c r="K1878" s="2">
        <v>4883.82</v>
      </c>
      <c r="L1878" s="2">
        <v>2683.18</v>
      </c>
      <c r="M1878" s="2">
        <v>2200.64</v>
      </c>
      <c r="N1878">
        <v>2</v>
      </c>
    </row>
    <row r="1879" spans="1:14" x14ac:dyDescent="0.3">
      <c r="A1879" s="1">
        <v>38271</v>
      </c>
      <c r="B1879">
        <v>10304</v>
      </c>
      <c r="C1879">
        <v>256</v>
      </c>
      <c r="D1879" t="s">
        <v>236</v>
      </c>
      <c r="E1879" t="s">
        <v>144</v>
      </c>
      <c r="F1879" t="s">
        <v>15</v>
      </c>
      <c r="G1879" t="s">
        <v>25</v>
      </c>
      <c r="H1879">
        <v>37</v>
      </c>
      <c r="I1879" s="2">
        <v>95.55</v>
      </c>
      <c r="J1879" s="2">
        <v>60.62</v>
      </c>
      <c r="K1879" s="2">
        <v>3535.35</v>
      </c>
      <c r="L1879" s="2">
        <v>2242.94</v>
      </c>
      <c r="M1879" s="2">
        <v>1292.4100000000001</v>
      </c>
      <c r="N1879">
        <v>2</v>
      </c>
    </row>
    <row r="1880" spans="1:14" x14ac:dyDescent="0.3">
      <c r="A1880" s="1">
        <v>38271</v>
      </c>
      <c r="B1880">
        <v>10304</v>
      </c>
      <c r="C1880">
        <v>256</v>
      </c>
      <c r="D1880" t="s">
        <v>236</v>
      </c>
      <c r="E1880" t="s">
        <v>144</v>
      </c>
      <c r="F1880" t="s">
        <v>15</v>
      </c>
      <c r="G1880" t="s">
        <v>26</v>
      </c>
      <c r="H1880">
        <v>37</v>
      </c>
      <c r="I1880" s="2">
        <v>46.9</v>
      </c>
      <c r="J1880" s="2">
        <v>24.26</v>
      </c>
      <c r="K1880" s="2">
        <v>1735.3</v>
      </c>
      <c r="L1880" s="2">
        <v>897.62</v>
      </c>
      <c r="M1880" s="2">
        <v>837.68</v>
      </c>
      <c r="N1880">
        <v>2</v>
      </c>
    </row>
    <row r="1881" spans="1:14" x14ac:dyDescent="0.3">
      <c r="A1881" s="1">
        <v>38271</v>
      </c>
      <c r="B1881">
        <v>10304</v>
      </c>
      <c r="C1881">
        <v>256</v>
      </c>
      <c r="D1881" t="s">
        <v>236</v>
      </c>
      <c r="E1881" t="s">
        <v>144</v>
      </c>
      <c r="F1881" t="s">
        <v>15</v>
      </c>
      <c r="G1881" t="s">
        <v>21</v>
      </c>
      <c r="H1881">
        <v>24</v>
      </c>
      <c r="I1881" s="2">
        <v>102.98</v>
      </c>
      <c r="J1881" s="2">
        <v>58.48</v>
      </c>
      <c r="K1881" s="2">
        <v>2471.52</v>
      </c>
      <c r="L1881" s="2">
        <v>1403.52</v>
      </c>
      <c r="M1881" s="2">
        <v>1068</v>
      </c>
      <c r="N1881">
        <v>2</v>
      </c>
    </row>
    <row r="1882" spans="1:14" x14ac:dyDescent="0.3">
      <c r="A1882" s="1">
        <v>38271</v>
      </c>
      <c r="B1882">
        <v>10304</v>
      </c>
      <c r="C1882">
        <v>256</v>
      </c>
      <c r="D1882" t="s">
        <v>236</v>
      </c>
      <c r="E1882" t="s">
        <v>144</v>
      </c>
      <c r="F1882" t="s">
        <v>15</v>
      </c>
      <c r="G1882" t="s">
        <v>22</v>
      </c>
      <c r="H1882">
        <v>20</v>
      </c>
      <c r="I1882" s="2">
        <v>141.75</v>
      </c>
      <c r="J1882" s="2">
        <v>72.56</v>
      </c>
      <c r="K1882" s="2">
        <v>2835</v>
      </c>
      <c r="L1882" s="2">
        <v>1451.2</v>
      </c>
      <c r="M1882" s="2">
        <v>1383.8</v>
      </c>
      <c r="N1882">
        <v>2</v>
      </c>
    </row>
    <row r="1883" spans="1:14" x14ac:dyDescent="0.3">
      <c r="A1883" s="1">
        <v>38271</v>
      </c>
      <c r="B1883">
        <v>10304</v>
      </c>
      <c r="C1883">
        <v>256</v>
      </c>
      <c r="D1883" t="s">
        <v>236</v>
      </c>
      <c r="E1883" t="s">
        <v>144</v>
      </c>
      <c r="F1883" t="s">
        <v>15</v>
      </c>
      <c r="G1883" t="s">
        <v>36</v>
      </c>
      <c r="H1883">
        <v>46</v>
      </c>
      <c r="I1883" s="2">
        <v>98.27</v>
      </c>
      <c r="J1883" s="2">
        <v>60.78</v>
      </c>
      <c r="K1883" s="2">
        <v>4520.42</v>
      </c>
      <c r="L1883" s="2">
        <v>2795.88</v>
      </c>
      <c r="M1883" s="2">
        <v>1724.54</v>
      </c>
      <c r="N1883">
        <v>2</v>
      </c>
    </row>
    <row r="1884" spans="1:14" x14ac:dyDescent="0.3">
      <c r="A1884" s="1">
        <v>38271</v>
      </c>
      <c r="B1884">
        <v>10304</v>
      </c>
      <c r="C1884">
        <v>256</v>
      </c>
      <c r="D1884" t="s">
        <v>236</v>
      </c>
      <c r="E1884" t="s">
        <v>144</v>
      </c>
      <c r="F1884" t="s">
        <v>15</v>
      </c>
      <c r="G1884" t="s">
        <v>37</v>
      </c>
      <c r="H1884">
        <v>24</v>
      </c>
      <c r="I1884" s="2">
        <v>54.34</v>
      </c>
      <c r="J1884" s="2">
        <v>34.35</v>
      </c>
      <c r="K1884" s="2">
        <v>1304.1600000000001</v>
      </c>
      <c r="L1884" s="2">
        <v>824.4</v>
      </c>
      <c r="M1884" s="2">
        <v>479.76</v>
      </c>
      <c r="N1884">
        <v>2</v>
      </c>
    </row>
    <row r="1885" spans="1:14" x14ac:dyDescent="0.3">
      <c r="A1885" s="1">
        <v>38271</v>
      </c>
      <c r="B1885">
        <v>10304</v>
      </c>
      <c r="C1885">
        <v>256</v>
      </c>
      <c r="D1885" t="s">
        <v>236</v>
      </c>
      <c r="E1885" t="s">
        <v>144</v>
      </c>
      <c r="F1885" t="s">
        <v>15</v>
      </c>
      <c r="G1885" t="s">
        <v>38</v>
      </c>
      <c r="H1885">
        <v>26</v>
      </c>
      <c r="I1885" s="2">
        <v>90.06</v>
      </c>
      <c r="J1885" s="2">
        <v>60.74</v>
      </c>
      <c r="K1885" s="2">
        <v>2341.56</v>
      </c>
      <c r="L1885" s="2">
        <v>1579.24</v>
      </c>
      <c r="M1885" s="2">
        <v>762.32</v>
      </c>
      <c r="N1885">
        <v>2</v>
      </c>
    </row>
    <row r="1886" spans="1:14" x14ac:dyDescent="0.3">
      <c r="A1886" s="1">
        <v>38271</v>
      </c>
      <c r="B1886">
        <v>10304</v>
      </c>
      <c r="C1886">
        <v>256</v>
      </c>
      <c r="D1886" t="s">
        <v>236</v>
      </c>
      <c r="E1886" t="s">
        <v>144</v>
      </c>
      <c r="F1886" t="s">
        <v>15</v>
      </c>
      <c r="G1886" t="s">
        <v>39</v>
      </c>
      <c r="H1886">
        <v>38</v>
      </c>
      <c r="I1886" s="2">
        <v>95.24</v>
      </c>
      <c r="J1886" s="2">
        <v>57.54</v>
      </c>
      <c r="K1886" s="2">
        <v>3619.12</v>
      </c>
      <c r="L1886" s="2">
        <v>2186.52</v>
      </c>
      <c r="M1886" s="2">
        <v>1432.6</v>
      </c>
      <c r="N1886">
        <v>2</v>
      </c>
    </row>
    <row r="1887" spans="1:14" x14ac:dyDescent="0.3">
      <c r="A1887" s="1">
        <v>38271</v>
      </c>
      <c r="B1887">
        <v>10304</v>
      </c>
      <c r="C1887">
        <v>256</v>
      </c>
      <c r="D1887" t="s">
        <v>236</v>
      </c>
      <c r="E1887" t="s">
        <v>144</v>
      </c>
      <c r="F1887" t="s">
        <v>15</v>
      </c>
      <c r="G1887" t="s">
        <v>41</v>
      </c>
      <c r="H1887">
        <v>34</v>
      </c>
      <c r="I1887" s="2">
        <v>44.27</v>
      </c>
      <c r="J1887" s="2">
        <v>23.14</v>
      </c>
      <c r="K1887" s="2">
        <v>1505.18</v>
      </c>
      <c r="L1887" s="2">
        <v>786.76</v>
      </c>
      <c r="M1887" s="2">
        <v>718.42</v>
      </c>
      <c r="N1887">
        <v>2</v>
      </c>
    </row>
    <row r="1888" spans="1:14" x14ac:dyDescent="0.3">
      <c r="A1888" s="1">
        <v>38271</v>
      </c>
      <c r="B1888">
        <v>10304</v>
      </c>
      <c r="C1888">
        <v>256</v>
      </c>
      <c r="D1888" t="s">
        <v>236</v>
      </c>
      <c r="E1888" t="s">
        <v>144</v>
      </c>
      <c r="F1888" t="s">
        <v>15</v>
      </c>
      <c r="G1888" t="s">
        <v>23</v>
      </c>
      <c r="H1888">
        <v>23</v>
      </c>
      <c r="I1888" s="2">
        <v>29.21</v>
      </c>
      <c r="J1888" s="2">
        <v>22.57</v>
      </c>
      <c r="K1888" s="2">
        <v>671.83</v>
      </c>
      <c r="L1888" s="2">
        <v>519.11</v>
      </c>
      <c r="M1888" s="2">
        <v>152.72</v>
      </c>
      <c r="N1888">
        <v>2</v>
      </c>
    </row>
    <row r="1889" spans="1:14" x14ac:dyDescent="0.3">
      <c r="A1889" s="1">
        <v>38271</v>
      </c>
      <c r="B1889">
        <v>10304</v>
      </c>
      <c r="C1889">
        <v>256</v>
      </c>
      <c r="D1889" t="s">
        <v>236</v>
      </c>
      <c r="E1889" t="s">
        <v>144</v>
      </c>
      <c r="F1889" t="s">
        <v>15</v>
      </c>
      <c r="G1889" t="s">
        <v>24</v>
      </c>
      <c r="H1889">
        <v>44</v>
      </c>
      <c r="I1889" s="2">
        <v>42.11</v>
      </c>
      <c r="J1889" s="2">
        <v>20.61</v>
      </c>
      <c r="K1889" s="2">
        <v>1852.84</v>
      </c>
      <c r="L1889" s="2">
        <v>906.84</v>
      </c>
      <c r="M1889" s="2">
        <v>946</v>
      </c>
      <c r="N1889">
        <v>2</v>
      </c>
    </row>
    <row r="1890" spans="1:14" x14ac:dyDescent="0.3">
      <c r="A1890" s="1">
        <v>38271</v>
      </c>
      <c r="B1890">
        <v>10304</v>
      </c>
      <c r="C1890">
        <v>256</v>
      </c>
      <c r="D1890" t="s">
        <v>236</v>
      </c>
      <c r="E1890" t="s">
        <v>144</v>
      </c>
      <c r="F1890" t="s">
        <v>15</v>
      </c>
      <c r="G1890" t="s">
        <v>43</v>
      </c>
      <c r="H1890">
        <v>33</v>
      </c>
      <c r="I1890" s="2">
        <v>80.83</v>
      </c>
      <c r="J1890" s="2">
        <v>57.46</v>
      </c>
      <c r="K1890" s="2">
        <v>2667.39</v>
      </c>
      <c r="L1890" s="2">
        <v>1896.18</v>
      </c>
      <c r="M1890" s="2">
        <v>771.21</v>
      </c>
      <c r="N1890">
        <v>2</v>
      </c>
    </row>
    <row r="1891" spans="1:14" x14ac:dyDescent="0.3">
      <c r="A1891" s="1">
        <v>38271</v>
      </c>
      <c r="B1891">
        <v>10304</v>
      </c>
      <c r="C1891">
        <v>256</v>
      </c>
      <c r="D1891" t="s">
        <v>236</v>
      </c>
      <c r="E1891" t="s">
        <v>144</v>
      </c>
      <c r="F1891" t="s">
        <v>32</v>
      </c>
      <c r="G1891" t="s">
        <v>45</v>
      </c>
      <c r="H1891">
        <v>36</v>
      </c>
      <c r="I1891" s="2">
        <v>52.36</v>
      </c>
      <c r="J1891" s="2">
        <v>33.61</v>
      </c>
      <c r="K1891" s="2">
        <v>1884.96</v>
      </c>
      <c r="L1891" s="2">
        <v>1209.96</v>
      </c>
      <c r="M1891" s="2">
        <v>675</v>
      </c>
      <c r="N1891">
        <v>2</v>
      </c>
    </row>
    <row r="1892" spans="1:14" x14ac:dyDescent="0.3">
      <c r="A1892" s="1">
        <v>38271</v>
      </c>
      <c r="B1892">
        <v>10304</v>
      </c>
      <c r="C1892">
        <v>256</v>
      </c>
      <c r="D1892" t="s">
        <v>236</v>
      </c>
      <c r="E1892" t="s">
        <v>144</v>
      </c>
      <c r="F1892" t="s">
        <v>29</v>
      </c>
      <c r="G1892" t="s">
        <v>46</v>
      </c>
      <c r="H1892">
        <v>40</v>
      </c>
      <c r="I1892" s="2">
        <v>80.92</v>
      </c>
      <c r="J1892" s="2">
        <v>46.53</v>
      </c>
      <c r="K1892" s="2">
        <v>3236.8</v>
      </c>
      <c r="L1892" s="2">
        <v>1861.2</v>
      </c>
      <c r="M1892" s="2">
        <v>1375.6</v>
      </c>
      <c r="N1892">
        <v>2</v>
      </c>
    </row>
    <row r="1893" spans="1:14" x14ac:dyDescent="0.3">
      <c r="A1893" s="1">
        <v>38273</v>
      </c>
      <c r="B1893">
        <v>10305</v>
      </c>
      <c r="C1893">
        <v>286</v>
      </c>
      <c r="D1893" t="s">
        <v>247</v>
      </c>
      <c r="E1893" t="s">
        <v>14</v>
      </c>
      <c r="F1893" t="s">
        <v>29</v>
      </c>
      <c r="G1893" t="s">
        <v>31</v>
      </c>
      <c r="H1893">
        <v>38</v>
      </c>
      <c r="I1893" s="2">
        <v>130.01</v>
      </c>
      <c r="J1893" s="2">
        <v>103.42</v>
      </c>
      <c r="K1893" s="2">
        <v>4940.38</v>
      </c>
      <c r="L1893" s="2">
        <v>3929.96</v>
      </c>
      <c r="M1893" s="2">
        <v>1010.42</v>
      </c>
      <c r="N1893">
        <v>2</v>
      </c>
    </row>
    <row r="1894" spans="1:14" x14ac:dyDescent="0.3">
      <c r="A1894" s="1">
        <v>38273</v>
      </c>
      <c r="B1894">
        <v>10305</v>
      </c>
      <c r="C1894">
        <v>286</v>
      </c>
      <c r="D1894" t="s">
        <v>247</v>
      </c>
      <c r="E1894" t="s">
        <v>14</v>
      </c>
      <c r="F1894" t="s">
        <v>32</v>
      </c>
      <c r="G1894" t="s">
        <v>50</v>
      </c>
      <c r="H1894">
        <v>38</v>
      </c>
      <c r="I1894" s="2">
        <v>107.84</v>
      </c>
      <c r="J1894" s="2">
        <v>55.7</v>
      </c>
      <c r="K1894" s="2">
        <v>4097.92</v>
      </c>
      <c r="L1894" s="2">
        <v>2116.6</v>
      </c>
      <c r="M1894" s="2">
        <v>1981.32</v>
      </c>
      <c r="N1894">
        <v>2</v>
      </c>
    </row>
    <row r="1895" spans="1:14" x14ac:dyDescent="0.3">
      <c r="A1895" s="1">
        <v>38273</v>
      </c>
      <c r="B1895">
        <v>10305</v>
      </c>
      <c r="C1895">
        <v>286</v>
      </c>
      <c r="D1895" t="s">
        <v>247</v>
      </c>
      <c r="E1895" t="s">
        <v>14</v>
      </c>
      <c r="F1895" t="s">
        <v>29</v>
      </c>
      <c r="G1895" t="s">
        <v>51</v>
      </c>
      <c r="H1895">
        <v>27</v>
      </c>
      <c r="I1895" s="2">
        <v>132.62</v>
      </c>
      <c r="J1895" s="2">
        <v>101.51</v>
      </c>
      <c r="K1895" s="2">
        <v>3580.74</v>
      </c>
      <c r="L1895" s="2">
        <v>2740.77</v>
      </c>
      <c r="M1895" s="2">
        <v>839.97</v>
      </c>
      <c r="N1895">
        <v>2</v>
      </c>
    </row>
    <row r="1896" spans="1:14" x14ac:dyDescent="0.3">
      <c r="A1896" s="1">
        <v>38273</v>
      </c>
      <c r="B1896">
        <v>10305</v>
      </c>
      <c r="C1896">
        <v>286</v>
      </c>
      <c r="D1896" t="s">
        <v>247</v>
      </c>
      <c r="E1896" t="s">
        <v>14</v>
      </c>
      <c r="F1896" t="s">
        <v>32</v>
      </c>
      <c r="G1896" t="s">
        <v>52</v>
      </c>
      <c r="H1896">
        <v>36</v>
      </c>
      <c r="I1896" s="2">
        <v>117.82</v>
      </c>
      <c r="J1896" s="2">
        <v>74.86</v>
      </c>
      <c r="K1896" s="2">
        <v>4241.5200000000004</v>
      </c>
      <c r="L1896" s="2">
        <v>2694.96</v>
      </c>
      <c r="M1896" s="2">
        <v>1546.56</v>
      </c>
      <c r="N1896">
        <v>2</v>
      </c>
    </row>
    <row r="1897" spans="1:14" x14ac:dyDescent="0.3">
      <c r="A1897" s="1">
        <v>38273</v>
      </c>
      <c r="B1897">
        <v>10305</v>
      </c>
      <c r="C1897">
        <v>286</v>
      </c>
      <c r="D1897" t="s">
        <v>247</v>
      </c>
      <c r="E1897" t="s">
        <v>14</v>
      </c>
      <c r="F1897" t="s">
        <v>32</v>
      </c>
      <c r="G1897" t="s">
        <v>35</v>
      </c>
      <c r="H1897">
        <v>41</v>
      </c>
      <c r="I1897" s="2">
        <v>58.95</v>
      </c>
      <c r="J1897" s="2">
        <v>24.92</v>
      </c>
      <c r="K1897" s="2">
        <v>2416.9499999999998</v>
      </c>
      <c r="L1897" s="2">
        <v>1021.72</v>
      </c>
      <c r="M1897" s="2">
        <v>1395.23</v>
      </c>
      <c r="N1897">
        <v>2</v>
      </c>
    </row>
    <row r="1898" spans="1:14" x14ac:dyDescent="0.3">
      <c r="A1898" s="1">
        <v>38273</v>
      </c>
      <c r="B1898">
        <v>10305</v>
      </c>
      <c r="C1898">
        <v>286</v>
      </c>
      <c r="D1898" t="s">
        <v>247</v>
      </c>
      <c r="E1898" t="s">
        <v>14</v>
      </c>
      <c r="F1898" t="s">
        <v>29</v>
      </c>
      <c r="G1898" t="s">
        <v>53</v>
      </c>
      <c r="H1898">
        <v>37</v>
      </c>
      <c r="I1898" s="2">
        <v>160.87</v>
      </c>
      <c r="J1898" s="2">
        <v>77.900000000000006</v>
      </c>
      <c r="K1898" s="2">
        <v>5952.19</v>
      </c>
      <c r="L1898" s="2">
        <v>2882.3</v>
      </c>
      <c r="M1898" s="2">
        <v>3069.89</v>
      </c>
      <c r="N1898">
        <v>2</v>
      </c>
    </row>
    <row r="1899" spans="1:14" x14ac:dyDescent="0.3">
      <c r="A1899" s="1">
        <v>38273</v>
      </c>
      <c r="B1899">
        <v>10305</v>
      </c>
      <c r="C1899">
        <v>286</v>
      </c>
      <c r="D1899" t="s">
        <v>247</v>
      </c>
      <c r="E1899" t="s">
        <v>14</v>
      </c>
      <c r="F1899" t="s">
        <v>32</v>
      </c>
      <c r="G1899" t="s">
        <v>40</v>
      </c>
      <c r="H1899">
        <v>22</v>
      </c>
      <c r="I1899" s="2">
        <v>112.6</v>
      </c>
      <c r="J1899" s="2">
        <v>84.76</v>
      </c>
      <c r="K1899" s="2">
        <v>2477.1999999999998</v>
      </c>
      <c r="L1899" s="2">
        <v>1864.72</v>
      </c>
      <c r="M1899" s="2">
        <v>612.48</v>
      </c>
      <c r="N1899">
        <v>2</v>
      </c>
    </row>
    <row r="1900" spans="1:14" x14ac:dyDescent="0.3">
      <c r="A1900" s="1">
        <v>38273</v>
      </c>
      <c r="B1900">
        <v>10305</v>
      </c>
      <c r="C1900">
        <v>286</v>
      </c>
      <c r="D1900" t="s">
        <v>247</v>
      </c>
      <c r="E1900" t="s">
        <v>14</v>
      </c>
      <c r="F1900" t="s">
        <v>29</v>
      </c>
      <c r="G1900" t="s">
        <v>55</v>
      </c>
      <c r="H1900">
        <v>45</v>
      </c>
      <c r="I1900" s="2">
        <v>48.55</v>
      </c>
      <c r="J1900" s="2">
        <v>32.369999999999997</v>
      </c>
      <c r="K1900" s="2">
        <v>2184.75</v>
      </c>
      <c r="L1900" s="2">
        <v>1456.65</v>
      </c>
      <c r="M1900" s="2">
        <v>728.1</v>
      </c>
      <c r="N1900">
        <v>2</v>
      </c>
    </row>
    <row r="1901" spans="1:14" x14ac:dyDescent="0.3">
      <c r="A1901" s="1">
        <v>38273</v>
      </c>
      <c r="B1901">
        <v>10305</v>
      </c>
      <c r="C1901">
        <v>286</v>
      </c>
      <c r="D1901" t="s">
        <v>247</v>
      </c>
      <c r="E1901" t="s">
        <v>14</v>
      </c>
      <c r="F1901" t="s">
        <v>32</v>
      </c>
      <c r="G1901" t="s">
        <v>42</v>
      </c>
      <c r="H1901">
        <v>24</v>
      </c>
      <c r="I1901" s="2">
        <v>107.34</v>
      </c>
      <c r="J1901" s="2">
        <v>61.34</v>
      </c>
      <c r="K1901" s="2">
        <v>2576.16</v>
      </c>
      <c r="L1901" s="2">
        <v>1472.16</v>
      </c>
      <c r="M1901" s="2">
        <v>1104</v>
      </c>
      <c r="N1901">
        <v>2</v>
      </c>
    </row>
    <row r="1902" spans="1:14" x14ac:dyDescent="0.3">
      <c r="A1902" s="1">
        <v>38273</v>
      </c>
      <c r="B1902">
        <v>10305</v>
      </c>
      <c r="C1902">
        <v>286</v>
      </c>
      <c r="D1902" t="s">
        <v>247</v>
      </c>
      <c r="E1902" t="s">
        <v>14</v>
      </c>
      <c r="F1902" t="s">
        <v>29</v>
      </c>
      <c r="G1902" t="s">
        <v>56</v>
      </c>
      <c r="H1902">
        <v>48</v>
      </c>
      <c r="I1902" s="2">
        <v>30.76</v>
      </c>
      <c r="J1902" s="2">
        <v>15.91</v>
      </c>
      <c r="K1902" s="2">
        <v>1476.48</v>
      </c>
      <c r="L1902" s="2">
        <v>763.68</v>
      </c>
      <c r="M1902" s="2">
        <v>712.8</v>
      </c>
      <c r="N1902">
        <v>2</v>
      </c>
    </row>
    <row r="1903" spans="1:14" x14ac:dyDescent="0.3">
      <c r="A1903" s="1">
        <v>38273</v>
      </c>
      <c r="B1903">
        <v>10305</v>
      </c>
      <c r="C1903">
        <v>286</v>
      </c>
      <c r="D1903" t="s">
        <v>247</v>
      </c>
      <c r="E1903" t="s">
        <v>14</v>
      </c>
      <c r="F1903" t="s">
        <v>29</v>
      </c>
      <c r="G1903" t="s">
        <v>57</v>
      </c>
      <c r="H1903">
        <v>36</v>
      </c>
      <c r="I1903" s="2">
        <v>118.28</v>
      </c>
      <c r="J1903" s="2">
        <v>69.78</v>
      </c>
      <c r="K1903" s="2">
        <v>4258.08</v>
      </c>
      <c r="L1903" s="2">
        <v>2512.08</v>
      </c>
      <c r="M1903" s="2">
        <v>1746</v>
      </c>
      <c r="N1903">
        <v>2</v>
      </c>
    </row>
    <row r="1904" spans="1:14" x14ac:dyDescent="0.3">
      <c r="A1904" s="1">
        <v>38273</v>
      </c>
      <c r="B1904">
        <v>10305</v>
      </c>
      <c r="C1904">
        <v>286</v>
      </c>
      <c r="D1904" t="s">
        <v>247</v>
      </c>
      <c r="E1904" t="s">
        <v>14</v>
      </c>
      <c r="F1904" t="s">
        <v>32</v>
      </c>
      <c r="G1904" t="s">
        <v>44</v>
      </c>
      <c r="H1904">
        <v>28</v>
      </c>
      <c r="I1904" s="2">
        <v>94.38</v>
      </c>
      <c r="J1904" s="2">
        <v>53.93</v>
      </c>
      <c r="K1904" s="2">
        <v>2642.64</v>
      </c>
      <c r="L1904" s="2">
        <v>1510.04</v>
      </c>
      <c r="M1904" s="2">
        <v>1132.5999999999999</v>
      </c>
      <c r="N1904">
        <v>2</v>
      </c>
    </row>
    <row r="1905" spans="1:14" x14ac:dyDescent="0.3">
      <c r="A1905" s="1">
        <v>38273</v>
      </c>
      <c r="B1905">
        <v>10305</v>
      </c>
      <c r="C1905">
        <v>286</v>
      </c>
      <c r="D1905" t="s">
        <v>247</v>
      </c>
      <c r="E1905" t="s">
        <v>14</v>
      </c>
      <c r="F1905" t="s">
        <v>32</v>
      </c>
      <c r="G1905" t="s">
        <v>58</v>
      </c>
      <c r="H1905">
        <v>40</v>
      </c>
      <c r="I1905" s="2">
        <v>48.7</v>
      </c>
      <c r="J1905" s="2">
        <v>25.98</v>
      </c>
      <c r="K1905" s="2">
        <v>1948</v>
      </c>
      <c r="L1905" s="2">
        <v>1039.2</v>
      </c>
      <c r="M1905" s="2">
        <v>908.8</v>
      </c>
      <c r="N1905">
        <v>2</v>
      </c>
    </row>
    <row r="1906" spans="1:14" x14ac:dyDescent="0.3">
      <c r="A1906" s="1">
        <v>38273</v>
      </c>
      <c r="B1906">
        <v>10305</v>
      </c>
      <c r="C1906">
        <v>286</v>
      </c>
      <c r="D1906" t="s">
        <v>247</v>
      </c>
      <c r="E1906" t="s">
        <v>14</v>
      </c>
      <c r="F1906" t="s">
        <v>32</v>
      </c>
      <c r="G1906" t="s">
        <v>61</v>
      </c>
      <c r="H1906">
        <v>42</v>
      </c>
      <c r="I1906" s="2">
        <v>109.96</v>
      </c>
      <c r="J1906" s="2">
        <v>68.290000000000006</v>
      </c>
      <c r="K1906" s="2">
        <v>4618.32</v>
      </c>
      <c r="L1906" s="2">
        <v>2868.18</v>
      </c>
      <c r="M1906" s="2">
        <v>1750.14</v>
      </c>
      <c r="N1906">
        <v>2</v>
      </c>
    </row>
    <row r="1907" spans="1:14" x14ac:dyDescent="0.3">
      <c r="A1907" s="1">
        <v>38274</v>
      </c>
      <c r="B1907">
        <v>10307</v>
      </c>
      <c r="C1907">
        <v>339</v>
      </c>
      <c r="D1907" t="s">
        <v>177</v>
      </c>
      <c r="E1907" t="s">
        <v>14</v>
      </c>
      <c r="F1907" t="s">
        <v>29</v>
      </c>
      <c r="G1907" t="s">
        <v>65</v>
      </c>
      <c r="H1907">
        <v>22</v>
      </c>
      <c r="I1907" s="2">
        <v>118.32</v>
      </c>
      <c r="J1907" s="2">
        <v>85.68</v>
      </c>
      <c r="K1907" s="2">
        <v>2603.04</v>
      </c>
      <c r="L1907" s="2">
        <v>1884.96</v>
      </c>
      <c r="M1907" s="2">
        <v>718.08</v>
      </c>
      <c r="N1907">
        <v>2</v>
      </c>
    </row>
    <row r="1908" spans="1:14" x14ac:dyDescent="0.3">
      <c r="A1908" s="1">
        <v>38274</v>
      </c>
      <c r="B1908">
        <v>10307</v>
      </c>
      <c r="C1908">
        <v>339</v>
      </c>
      <c r="D1908" t="s">
        <v>177</v>
      </c>
      <c r="E1908" t="s">
        <v>14</v>
      </c>
      <c r="F1908" t="s">
        <v>83</v>
      </c>
      <c r="G1908" t="s">
        <v>84</v>
      </c>
      <c r="H1908">
        <v>39</v>
      </c>
      <c r="I1908" s="2">
        <v>135.61000000000001</v>
      </c>
      <c r="J1908" s="2">
        <v>77.27</v>
      </c>
      <c r="K1908" s="2">
        <v>5288.79</v>
      </c>
      <c r="L1908" s="2">
        <v>3013.53</v>
      </c>
      <c r="M1908" s="2">
        <v>2275.2600000000002</v>
      </c>
      <c r="N1908">
        <v>2</v>
      </c>
    </row>
    <row r="1909" spans="1:14" x14ac:dyDescent="0.3">
      <c r="A1909" s="1">
        <v>38274</v>
      </c>
      <c r="B1909">
        <v>10307</v>
      </c>
      <c r="C1909">
        <v>339</v>
      </c>
      <c r="D1909" t="s">
        <v>177</v>
      </c>
      <c r="E1909" t="s">
        <v>14</v>
      </c>
      <c r="F1909" t="s">
        <v>71</v>
      </c>
      <c r="G1909" t="s">
        <v>86</v>
      </c>
      <c r="H1909">
        <v>31</v>
      </c>
      <c r="I1909" s="2">
        <v>71.400000000000006</v>
      </c>
      <c r="J1909" s="2">
        <v>51.61</v>
      </c>
      <c r="K1909" s="2">
        <v>2213.4</v>
      </c>
      <c r="L1909" s="2">
        <v>1599.91</v>
      </c>
      <c r="M1909" s="2">
        <v>613.49</v>
      </c>
      <c r="N1909">
        <v>2</v>
      </c>
    </row>
    <row r="1910" spans="1:14" x14ac:dyDescent="0.3">
      <c r="A1910" s="1">
        <v>38274</v>
      </c>
      <c r="B1910">
        <v>10307</v>
      </c>
      <c r="C1910">
        <v>339</v>
      </c>
      <c r="D1910" t="s">
        <v>177</v>
      </c>
      <c r="E1910" t="s">
        <v>14</v>
      </c>
      <c r="F1910" t="s">
        <v>15</v>
      </c>
      <c r="G1910" t="s">
        <v>87</v>
      </c>
      <c r="H1910">
        <v>48</v>
      </c>
      <c r="I1910" s="2">
        <v>92.11</v>
      </c>
      <c r="J1910" s="2">
        <v>64.58</v>
      </c>
      <c r="K1910" s="2">
        <v>4421.28</v>
      </c>
      <c r="L1910" s="2">
        <v>3099.84</v>
      </c>
      <c r="M1910" s="2">
        <v>1321.44</v>
      </c>
      <c r="N1910">
        <v>2</v>
      </c>
    </row>
    <row r="1911" spans="1:14" x14ac:dyDescent="0.3">
      <c r="A1911" s="1">
        <v>38274</v>
      </c>
      <c r="B1911">
        <v>10307</v>
      </c>
      <c r="C1911">
        <v>339</v>
      </c>
      <c r="D1911" t="s">
        <v>177</v>
      </c>
      <c r="E1911" t="s">
        <v>14</v>
      </c>
      <c r="F1911" t="s">
        <v>83</v>
      </c>
      <c r="G1911" t="s">
        <v>89</v>
      </c>
      <c r="H1911">
        <v>25</v>
      </c>
      <c r="I1911" s="2">
        <v>58.23</v>
      </c>
      <c r="J1911" s="2">
        <v>34.25</v>
      </c>
      <c r="K1911" s="2">
        <v>1455.75</v>
      </c>
      <c r="L1911" s="2">
        <v>856.25</v>
      </c>
      <c r="M1911" s="2">
        <v>599.5</v>
      </c>
      <c r="N1911">
        <v>2</v>
      </c>
    </row>
    <row r="1912" spans="1:14" x14ac:dyDescent="0.3">
      <c r="A1912" s="1">
        <v>38274</v>
      </c>
      <c r="B1912">
        <v>10307</v>
      </c>
      <c r="C1912">
        <v>339</v>
      </c>
      <c r="D1912" t="s">
        <v>177</v>
      </c>
      <c r="E1912" t="s">
        <v>14</v>
      </c>
      <c r="F1912" t="s">
        <v>15</v>
      </c>
      <c r="G1912" t="s">
        <v>90</v>
      </c>
      <c r="H1912">
        <v>22</v>
      </c>
      <c r="I1912" s="2">
        <v>64.44</v>
      </c>
      <c r="J1912" s="2">
        <v>26.3</v>
      </c>
      <c r="K1912" s="2">
        <v>1417.68</v>
      </c>
      <c r="L1912" s="2">
        <v>578.6</v>
      </c>
      <c r="M1912" s="2">
        <v>839.08</v>
      </c>
      <c r="N1912">
        <v>2</v>
      </c>
    </row>
    <row r="1913" spans="1:14" x14ac:dyDescent="0.3">
      <c r="A1913" s="1">
        <v>38274</v>
      </c>
      <c r="B1913">
        <v>10307</v>
      </c>
      <c r="C1913">
        <v>339</v>
      </c>
      <c r="D1913" t="s">
        <v>177</v>
      </c>
      <c r="E1913" t="s">
        <v>14</v>
      </c>
      <c r="F1913" t="s">
        <v>15</v>
      </c>
      <c r="G1913" t="s">
        <v>74</v>
      </c>
      <c r="H1913">
        <v>22</v>
      </c>
      <c r="I1913" s="2">
        <v>75.47</v>
      </c>
      <c r="J1913" s="2">
        <v>48.64</v>
      </c>
      <c r="K1913" s="2">
        <v>1660.34</v>
      </c>
      <c r="L1913" s="2">
        <v>1070.08</v>
      </c>
      <c r="M1913" s="2">
        <v>590.26</v>
      </c>
      <c r="N1913">
        <v>2</v>
      </c>
    </row>
    <row r="1914" spans="1:14" x14ac:dyDescent="0.3">
      <c r="A1914" s="1">
        <v>38274</v>
      </c>
      <c r="B1914">
        <v>10307</v>
      </c>
      <c r="C1914">
        <v>339</v>
      </c>
      <c r="D1914" t="s">
        <v>177</v>
      </c>
      <c r="E1914" t="s">
        <v>14</v>
      </c>
      <c r="F1914" t="s">
        <v>71</v>
      </c>
      <c r="G1914" t="s">
        <v>96</v>
      </c>
      <c r="H1914">
        <v>34</v>
      </c>
      <c r="I1914" s="2">
        <v>81.47</v>
      </c>
      <c r="J1914" s="2">
        <v>39.83</v>
      </c>
      <c r="K1914" s="2">
        <v>2769.98</v>
      </c>
      <c r="L1914" s="2">
        <v>1354.22</v>
      </c>
      <c r="M1914" s="2">
        <v>1415.76</v>
      </c>
      <c r="N1914">
        <v>2</v>
      </c>
    </row>
    <row r="1915" spans="1:14" x14ac:dyDescent="0.3">
      <c r="A1915" s="1">
        <v>38274</v>
      </c>
      <c r="B1915">
        <v>10307</v>
      </c>
      <c r="C1915">
        <v>339</v>
      </c>
      <c r="D1915" t="s">
        <v>177</v>
      </c>
      <c r="E1915" t="s">
        <v>14</v>
      </c>
      <c r="F1915" t="s">
        <v>83</v>
      </c>
      <c r="G1915" t="s">
        <v>101</v>
      </c>
      <c r="H1915">
        <v>34</v>
      </c>
      <c r="I1915" s="2">
        <v>44.2</v>
      </c>
      <c r="J1915" s="2">
        <v>32.770000000000003</v>
      </c>
      <c r="K1915" s="2">
        <v>1502.8</v>
      </c>
      <c r="L1915" s="2">
        <v>1114.18</v>
      </c>
      <c r="M1915" s="2">
        <v>388.62</v>
      </c>
      <c r="N1915">
        <v>2</v>
      </c>
    </row>
    <row r="1916" spans="1:14" x14ac:dyDescent="0.3">
      <c r="A1916" s="1">
        <v>38274</v>
      </c>
      <c r="B1916">
        <v>10306</v>
      </c>
      <c r="C1916">
        <v>187</v>
      </c>
      <c r="D1916" t="s">
        <v>204</v>
      </c>
      <c r="E1916" t="s">
        <v>133</v>
      </c>
      <c r="F1916" t="s">
        <v>29</v>
      </c>
      <c r="G1916" t="s">
        <v>66</v>
      </c>
      <c r="H1916">
        <v>31</v>
      </c>
      <c r="I1916" s="2">
        <v>182.86</v>
      </c>
      <c r="J1916" s="2">
        <v>95.59</v>
      </c>
      <c r="K1916" s="2">
        <v>5668.66</v>
      </c>
      <c r="L1916" s="2">
        <v>2963.29</v>
      </c>
      <c r="M1916" s="2">
        <v>2705.37</v>
      </c>
      <c r="N1916">
        <v>2</v>
      </c>
    </row>
    <row r="1917" spans="1:14" x14ac:dyDescent="0.3">
      <c r="A1917" s="1">
        <v>38274</v>
      </c>
      <c r="B1917">
        <v>10306</v>
      </c>
      <c r="C1917">
        <v>187</v>
      </c>
      <c r="D1917" t="s">
        <v>204</v>
      </c>
      <c r="E1917" t="s">
        <v>133</v>
      </c>
      <c r="F1917" t="s">
        <v>29</v>
      </c>
      <c r="G1917" t="s">
        <v>49</v>
      </c>
      <c r="H1917">
        <v>34</v>
      </c>
      <c r="I1917" s="2">
        <v>145.04</v>
      </c>
      <c r="J1917" s="2">
        <v>89.14</v>
      </c>
      <c r="K1917" s="2">
        <v>4931.3599999999997</v>
      </c>
      <c r="L1917" s="2">
        <v>3030.76</v>
      </c>
      <c r="M1917" s="2">
        <v>1900.6</v>
      </c>
      <c r="N1917">
        <v>2</v>
      </c>
    </row>
    <row r="1918" spans="1:14" x14ac:dyDescent="0.3">
      <c r="A1918" s="1">
        <v>38274</v>
      </c>
      <c r="B1918">
        <v>10306</v>
      </c>
      <c r="C1918">
        <v>187</v>
      </c>
      <c r="D1918" t="s">
        <v>204</v>
      </c>
      <c r="E1918" t="s">
        <v>133</v>
      </c>
      <c r="F1918" t="s">
        <v>29</v>
      </c>
      <c r="G1918" t="s">
        <v>67</v>
      </c>
      <c r="H1918">
        <v>20</v>
      </c>
      <c r="I1918" s="2">
        <v>145.34</v>
      </c>
      <c r="J1918" s="2">
        <v>83.05</v>
      </c>
      <c r="K1918" s="2">
        <v>2906.8</v>
      </c>
      <c r="L1918" s="2">
        <v>1661</v>
      </c>
      <c r="M1918" s="2">
        <v>1245.8</v>
      </c>
      <c r="N1918">
        <v>2</v>
      </c>
    </row>
    <row r="1919" spans="1:14" x14ac:dyDescent="0.3">
      <c r="A1919" s="1">
        <v>38274</v>
      </c>
      <c r="B1919">
        <v>10306</v>
      </c>
      <c r="C1919">
        <v>187</v>
      </c>
      <c r="D1919" t="s">
        <v>204</v>
      </c>
      <c r="E1919" t="s">
        <v>133</v>
      </c>
      <c r="F1919" t="s">
        <v>15</v>
      </c>
      <c r="G1919" t="s">
        <v>68</v>
      </c>
      <c r="H1919">
        <v>32</v>
      </c>
      <c r="I1919" s="2">
        <v>114.74</v>
      </c>
      <c r="J1919" s="2">
        <v>68.3</v>
      </c>
      <c r="K1919" s="2">
        <v>3671.68</v>
      </c>
      <c r="L1919" s="2">
        <v>2185.6</v>
      </c>
      <c r="M1919" s="2">
        <v>1486.08</v>
      </c>
      <c r="N1919">
        <v>2</v>
      </c>
    </row>
    <row r="1920" spans="1:14" x14ac:dyDescent="0.3">
      <c r="A1920" s="1">
        <v>38274</v>
      </c>
      <c r="B1920">
        <v>10306</v>
      </c>
      <c r="C1920">
        <v>187</v>
      </c>
      <c r="D1920" t="s">
        <v>204</v>
      </c>
      <c r="E1920" t="s">
        <v>133</v>
      </c>
      <c r="F1920" t="s">
        <v>59</v>
      </c>
      <c r="G1920" t="s">
        <v>69</v>
      </c>
      <c r="H1920">
        <v>40</v>
      </c>
      <c r="I1920" s="2">
        <v>83.7</v>
      </c>
      <c r="J1920" s="2">
        <v>67.56</v>
      </c>
      <c r="K1920" s="2">
        <v>3348</v>
      </c>
      <c r="L1920" s="2">
        <v>2702.4</v>
      </c>
      <c r="M1920" s="2">
        <v>645.6</v>
      </c>
      <c r="N1920">
        <v>2</v>
      </c>
    </row>
    <row r="1921" spans="1:14" x14ac:dyDescent="0.3">
      <c r="A1921" s="1">
        <v>38274</v>
      </c>
      <c r="B1921">
        <v>10306</v>
      </c>
      <c r="C1921">
        <v>187</v>
      </c>
      <c r="D1921" t="s">
        <v>204</v>
      </c>
      <c r="E1921" t="s">
        <v>133</v>
      </c>
      <c r="F1921" t="s">
        <v>29</v>
      </c>
      <c r="G1921" t="s">
        <v>54</v>
      </c>
      <c r="H1921">
        <v>23</v>
      </c>
      <c r="I1921" s="2">
        <v>126.39</v>
      </c>
      <c r="J1921" s="2">
        <v>91.92</v>
      </c>
      <c r="K1921" s="2">
        <v>2906.97</v>
      </c>
      <c r="L1921" s="2">
        <v>2114.16</v>
      </c>
      <c r="M1921" s="2">
        <v>792.81</v>
      </c>
      <c r="N1921">
        <v>2</v>
      </c>
    </row>
    <row r="1922" spans="1:14" x14ac:dyDescent="0.3">
      <c r="A1922" s="1">
        <v>38274</v>
      </c>
      <c r="B1922">
        <v>10306</v>
      </c>
      <c r="C1922">
        <v>187</v>
      </c>
      <c r="D1922" t="s">
        <v>204</v>
      </c>
      <c r="E1922" t="s">
        <v>133</v>
      </c>
      <c r="F1922" t="s">
        <v>15</v>
      </c>
      <c r="G1922" t="s">
        <v>70</v>
      </c>
      <c r="H1922">
        <v>39</v>
      </c>
      <c r="I1922" s="2">
        <v>85.14</v>
      </c>
      <c r="J1922" s="2">
        <v>52.66</v>
      </c>
      <c r="K1922" s="2">
        <v>3320.46</v>
      </c>
      <c r="L1922" s="2">
        <v>2053.7399999999998</v>
      </c>
      <c r="M1922" s="2">
        <v>1266.72</v>
      </c>
      <c r="N1922">
        <v>2</v>
      </c>
    </row>
    <row r="1923" spans="1:14" x14ac:dyDescent="0.3">
      <c r="A1923" s="1">
        <v>38274</v>
      </c>
      <c r="B1923">
        <v>10306</v>
      </c>
      <c r="C1923">
        <v>187</v>
      </c>
      <c r="D1923" t="s">
        <v>204</v>
      </c>
      <c r="E1923" t="s">
        <v>133</v>
      </c>
      <c r="F1923" t="s">
        <v>71</v>
      </c>
      <c r="G1923" t="s">
        <v>72</v>
      </c>
      <c r="H1923">
        <v>29</v>
      </c>
      <c r="I1923" s="2">
        <v>109.37</v>
      </c>
      <c r="J1923" s="2">
        <v>82.34</v>
      </c>
      <c r="K1923" s="2">
        <v>3171.73</v>
      </c>
      <c r="L1923" s="2">
        <v>2387.86</v>
      </c>
      <c r="M1923" s="2">
        <v>783.87</v>
      </c>
      <c r="N1923">
        <v>2</v>
      </c>
    </row>
    <row r="1924" spans="1:14" x14ac:dyDescent="0.3">
      <c r="A1924" s="1">
        <v>38274</v>
      </c>
      <c r="B1924">
        <v>10306</v>
      </c>
      <c r="C1924">
        <v>187</v>
      </c>
      <c r="D1924" t="s">
        <v>204</v>
      </c>
      <c r="E1924" t="s">
        <v>133</v>
      </c>
      <c r="F1924" t="s">
        <v>15</v>
      </c>
      <c r="G1924" t="s">
        <v>73</v>
      </c>
      <c r="H1924">
        <v>31</v>
      </c>
      <c r="I1924" s="2">
        <v>76.12</v>
      </c>
      <c r="J1924" s="2">
        <v>46.91</v>
      </c>
      <c r="K1924" s="2">
        <v>2359.7199999999998</v>
      </c>
      <c r="L1924" s="2">
        <v>1454.21</v>
      </c>
      <c r="M1924" s="2">
        <v>905.51</v>
      </c>
      <c r="N1924">
        <v>2</v>
      </c>
    </row>
    <row r="1925" spans="1:14" x14ac:dyDescent="0.3">
      <c r="A1925" s="1">
        <v>38274</v>
      </c>
      <c r="B1925">
        <v>10306</v>
      </c>
      <c r="C1925">
        <v>187</v>
      </c>
      <c r="D1925" t="s">
        <v>204</v>
      </c>
      <c r="E1925" t="s">
        <v>133</v>
      </c>
      <c r="F1925" t="s">
        <v>59</v>
      </c>
      <c r="G1925" t="s">
        <v>60</v>
      </c>
      <c r="H1925">
        <v>46</v>
      </c>
      <c r="I1925" s="2">
        <v>60.28</v>
      </c>
      <c r="J1925" s="2">
        <v>26.72</v>
      </c>
      <c r="K1925" s="2">
        <v>2772.88</v>
      </c>
      <c r="L1925" s="2">
        <v>1229.1199999999999</v>
      </c>
      <c r="M1925" s="2">
        <v>1543.76</v>
      </c>
      <c r="N1925">
        <v>2</v>
      </c>
    </row>
    <row r="1926" spans="1:14" x14ac:dyDescent="0.3">
      <c r="A1926" s="1">
        <v>38274</v>
      </c>
      <c r="B1926">
        <v>10306</v>
      </c>
      <c r="C1926">
        <v>187</v>
      </c>
      <c r="D1926" t="s">
        <v>204</v>
      </c>
      <c r="E1926" t="s">
        <v>133</v>
      </c>
      <c r="F1926" t="s">
        <v>59</v>
      </c>
      <c r="G1926" t="s">
        <v>62</v>
      </c>
      <c r="H1926">
        <v>34</v>
      </c>
      <c r="I1926" s="2">
        <v>51.55</v>
      </c>
      <c r="J1926" s="2">
        <v>37.49</v>
      </c>
      <c r="K1926" s="2">
        <v>1752.7</v>
      </c>
      <c r="L1926" s="2">
        <v>1274.6600000000001</v>
      </c>
      <c r="M1926" s="2">
        <v>478.04</v>
      </c>
      <c r="N1926">
        <v>2</v>
      </c>
    </row>
    <row r="1927" spans="1:14" x14ac:dyDescent="0.3">
      <c r="A1927" s="1">
        <v>38274</v>
      </c>
      <c r="B1927">
        <v>10306</v>
      </c>
      <c r="C1927">
        <v>187</v>
      </c>
      <c r="D1927" t="s">
        <v>204</v>
      </c>
      <c r="E1927" t="s">
        <v>133</v>
      </c>
      <c r="F1927" t="s">
        <v>71</v>
      </c>
      <c r="G1927" t="s">
        <v>75</v>
      </c>
      <c r="H1927">
        <v>50</v>
      </c>
      <c r="I1927" s="2">
        <v>61.34</v>
      </c>
      <c r="J1927" s="2">
        <v>34</v>
      </c>
      <c r="K1927" s="2">
        <v>3067</v>
      </c>
      <c r="L1927" s="2">
        <v>1700</v>
      </c>
      <c r="M1927" s="2">
        <v>1367</v>
      </c>
      <c r="N1927">
        <v>2</v>
      </c>
    </row>
    <row r="1928" spans="1:14" x14ac:dyDescent="0.3">
      <c r="A1928" s="1">
        <v>38274</v>
      </c>
      <c r="B1928">
        <v>10306</v>
      </c>
      <c r="C1928">
        <v>187</v>
      </c>
      <c r="D1928" t="s">
        <v>204</v>
      </c>
      <c r="E1928" t="s">
        <v>133</v>
      </c>
      <c r="F1928" t="s">
        <v>71</v>
      </c>
      <c r="G1928" t="s">
        <v>76</v>
      </c>
      <c r="H1928">
        <v>38</v>
      </c>
      <c r="I1928" s="2">
        <v>73.62</v>
      </c>
      <c r="J1928" s="2">
        <v>43.3</v>
      </c>
      <c r="K1928" s="2">
        <v>2797.56</v>
      </c>
      <c r="L1928" s="2">
        <v>1645.4</v>
      </c>
      <c r="M1928" s="2">
        <v>1152.1600000000001</v>
      </c>
      <c r="N1928">
        <v>2</v>
      </c>
    </row>
    <row r="1929" spans="1:14" x14ac:dyDescent="0.3">
      <c r="A1929" s="1">
        <v>38274</v>
      </c>
      <c r="B1929">
        <v>10306</v>
      </c>
      <c r="C1929">
        <v>187</v>
      </c>
      <c r="D1929" t="s">
        <v>204</v>
      </c>
      <c r="E1929" t="s">
        <v>133</v>
      </c>
      <c r="F1929" t="s">
        <v>71</v>
      </c>
      <c r="G1929" t="s">
        <v>77</v>
      </c>
      <c r="H1929">
        <v>43</v>
      </c>
      <c r="I1929" s="2">
        <v>62.16</v>
      </c>
      <c r="J1929" s="2">
        <v>33.97</v>
      </c>
      <c r="K1929" s="2">
        <v>2672.88</v>
      </c>
      <c r="L1929" s="2">
        <v>1460.71</v>
      </c>
      <c r="M1929" s="2">
        <v>1212.17</v>
      </c>
      <c r="N1929">
        <v>2</v>
      </c>
    </row>
    <row r="1930" spans="1:14" x14ac:dyDescent="0.3">
      <c r="A1930" s="1">
        <v>38274</v>
      </c>
      <c r="B1930">
        <v>10306</v>
      </c>
      <c r="C1930">
        <v>187</v>
      </c>
      <c r="D1930" t="s">
        <v>204</v>
      </c>
      <c r="E1930" t="s">
        <v>133</v>
      </c>
      <c r="F1930" t="s">
        <v>71</v>
      </c>
      <c r="G1930" t="s">
        <v>78</v>
      </c>
      <c r="H1930">
        <v>32</v>
      </c>
      <c r="I1930" s="2">
        <v>99.17</v>
      </c>
      <c r="J1930" s="2">
        <v>51.09</v>
      </c>
      <c r="K1930" s="2">
        <v>3173.44</v>
      </c>
      <c r="L1930" s="2">
        <v>1634.88</v>
      </c>
      <c r="M1930" s="2">
        <v>1538.56</v>
      </c>
      <c r="N1930">
        <v>2</v>
      </c>
    </row>
    <row r="1931" spans="1:14" x14ac:dyDescent="0.3">
      <c r="A1931" s="1">
        <v>38274</v>
      </c>
      <c r="B1931">
        <v>10306</v>
      </c>
      <c r="C1931">
        <v>187</v>
      </c>
      <c r="D1931" t="s">
        <v>204</v>
      </c>
      <c r="E1931" t="s">
        <v>133</v>
      </c>
      <c r="F1931" t="s">
        <v>71</v>
      </c>
      <c r="G1931" t="s">
        <v>79</v>
      </c>
      <c r="H1931">
        <v>30</v>
      </c>
      <c r="I1931" s="2">
        <v>87.39</v>
      </c>
      <c r="J1931" s="2">
        <v>53.63</v>
      </c>
      <c r="K1931" s="2">
        <v>2621.7</v>
      </c>
      <c r="L1931" s="2">
        <v>1608.9</v>
      </c>
      <c r="M1931" s="2">
        <v>1012.8</v>
      </c>
      <c r="N1931">
        <v>2</v>
      </c>
    </row>
    <row r="1932" spans="1:14" x14ac:dyDescent="0.3">
      <c r="A1932" s="1">
        <v>38274</v>
      </c>
      <c r="B1932">
        <v>10306</v>
      </c>
      <c r="C1932">
        <v>187</v>
      </c>
      <c r="D1932" t="s">
        <v>204</v>
      </c>
      <c r="E1932" t="s">
        <v>133</v>
      </c>
      <c r="F1932" t="s">
        <v>71</v>
      </c>
      <c r="G1932" t="s">
        <v>80</v>
      </c>
      <c r="H1932">
        <v>35</v>
      </c>
      <c r="I1932" s="2">
        <v>48.05</v>
      </c>
      <c r="J1932" s="2">
        <v>33.299999999999997</v>
      </c>
      <c r="K1932" s="2">
        <v>1681.75</v>
      </c>
      <c r="L1932" s="2">
        <v>1165.5</v>
      </c>
      <c r="M1932" s="2">
        <v>516.25</v>
      </c>
      <c r="N1932">
        <v>2</v>
      </c>
    </row>
    <row r="1933" spans="1:14" x14ac:dyDescent="0.3">
      <c r="A1933" s="1">
        <v>38275</v>
      </c>
      <c r="B1933">
        <v>10309</v>
      </c>
      <c r="C1933">
        <v>121</v>
      </c>
      <c r="D1933" t="s">
        <v>27</v>
      </c>
      <c r="E1933" t="s">
        <v>28</v>
      </c>
      <c r="F1933" t="s">
        <v>102</v>
      </c>
      <c r="G1933" t="s">
        <v>103</v>
      </c>
      <c r="H1933">
        <v>41</v>
      </c>
      <c r="I1933" s="2">
        <v>94.74</v>
      </c>
      <c r="J1933" s="2">
        <v>48.81</v>
      </c>
      <c r="K1933" s="2">
        <v>3884.34</v>
      </c>
      <c r="L1933" s="2">
        <v>2001.21</v>
      </c>
      <c r="M1933" s="2">
        <v>1883.13</v>
      </c>
      <c r="N1933">
        <v>3</v>
      </c>
    </row>
    <row r="1934" spans="1:14" x14ac:dyDescent="0.3">
      <c r="A1934" s="1">
        <v>38275</v>
      </c>
      <c r="B1934">
        <v>10309</v>
      </c>
      <c r="C1934">
        <v>121</v>
      </c>
      <c r="D1934" t="s">
        <v>27</v>
      </c>
      <c r="E1934" t="s">
        <v>28</v>
      </c>
      <c r="F1934" t="s">
        <v>102</v>
      </c>
      <c r="G1934" t="s">
        <v>106</v>
      </c>
      <c r="H1934">
        <v>26</v>
      </c>
      <c r="I1934" s="2">
        <v>144.6</v>
      </c>
      <c r="J1934" s="2">
        <v>66.27</v>
      </c>
      <c r="K1934" s="2">
        <v>3759.6</v>
      </c>
      <c r="L1934" s="2">
        <v>1723.02</v>
      </c>
      <c r="M1934" s="2">
        <v>2036.58</v>
      </c>
      <c r="N1934">
        <v>3</v>
      </c>
    </row>
    <row r="1935" spans="1:14" x14ac:dyDescent="0.3">
      <c r="A1935" s="1">
        <v>38275</v>
      </c>
      <c r="B1935">
        <v>10309</v>
      </c>
      <c r="C1935">
        <v>121</v>
      </c>
      <c r="D1935" t="s">
        <v>27</v>
      </c>
      <c r="E1935" t="s">
        <v>28</v>
      </c>
      <c r="F1935" t="s">
        <v>102</v>
      </c>
      <c r="G1935" t="s">
        <v>108</v>
      </c>
      <c r="H1935">
        <v>21</v>
      </c>
      <c r="I1935" s="2">
        <v>96.92</v>
      </c>
      <c r="J1935" s="2">
        <v>60.86</v>
      </c>
      <c r="K1935" s="2">
        <v>2035.32</v>
      </c>
      <c r="L1935" s="2">
        <v>1278.06</v>
      </c>
      <c r="M1935" s="2">
        <v>757.26</v>
      </c>
      <c r="N1935">
        <v>3</v>
      </c>
    </row>
    <row r="1936" spans="1:14" x14ac:dyDescent="0.3">
      <c r="A1936" s="1">
        <v>38275</v>
      </c>
      <c r="B1936">
        <v>10309</v>
      </c>
      <c r="C1936">
        <v>121</v>
      </c>
      <c r="D1936" t="s">
        <v>27</v>
      </c>
      <c r="E1936" t="s">
        <v>28</v>
      </c>
      <c r="F1936" t="s">
        <v>102</v>
      </c>
      <c r="G1936" t="s">
        <v>121</v>
      </c>
      <c r="H1936">
        <v>24</v>
      </c>
      <c r="I1936" s="2">
        <v>59.56</v>
      </c>
      <c r="J1936" s="2">
        <v>47.1</v>
      </c>
      <c r="K1936" s="2">
        <v>1429.44</v>
      </c>
      <c r="L1936" s="2">
        <v>1130.4000000000001</v>
      </c>
      <c r="M1936" s="2">
        <v>299.04000000000002</v>
      </c>
      <c r="N1936">
        <v>3</v>
      </c>
    </row>
    <row r="1937" spans="1:14" x14ac:dyDescent="0.3">
      <c r="A1937" s="1">
        <v>38275</v>
      </c>
      <c r="B1937">
        <v>10309</v>
      </c>
      <c r="C1937">
        <v>121</v>
      </c>
      <c r="D1937" t="s">
        <v>27</v>
      </c>
      <c r="E1937" t="s">
        <v>28</v>
      </c>
      <c r="F1937" t="s">
        <v>102</v>
      </c>
      <c r="G1937" t="s">
        <v>126</v>
      </c>
      <c r="H1937">
        <v>50</v>
      </c>
      <c r="I1937" s="2">
        <v>93.89</v>
      </c>
      <c r="J1937" s="2">
        <v>56.13</v>
      </c>
      <c r="K1937" s="2">
        <v>4694.5</v>
      </c>
      <c r="L1937" s="2">
        <v>2806.5</v>
      </c>
      <c r="M1937" s="2">
        <v>1888</v>
      </c>
      <c r="N1937">
        <v>3</v>
      </c>
    </row>
    <row r="1938" spans="1:14" x14ac:dyDescent="0.3">
      <c r="A1938" s="1">
        <v>38275</v>
      </c>
      <c r="B1938">
        <v>10309</v>
      </c>
      <c r="C1938">
        <v>121</v>
      </c>
      <c r="D1938" t="s">
        <v>27</v>
      </c>
      <c r="E1938" t="s">
        <v>28</v>
      </c>
      <c r="F1938" t="s">
        <v>102</v>
      </c>
      <c r="G1938" t="s">
        <v>127</v>
      </c>
      <c r="H1938">
        <v>28</v>
      </c>
      <c r="I1938" s="2">
        <v>74.040000000000006</v>
      </c>
      <c r="J1938" s="2">
        <v>34.17</v>
      </c>
      <c r="K1938" s="2">
        <v>2073.12</v>
      </c>
      <c r="L1938" s="2">
        <v>956.76</v>
      </c>
      <c r="M1938" s="2">
        <v>1116.3599999999999</v>
      </c>
      <c r="N1938">
        <v>3</v>
      </c>
    </row>
    <row r="1939" spans="1:14" x14ac:dyDescent="0.3">
      <c r="A1939" s="1">
        <v>38275</v>
      </c>
      <c r="B1939">
        <v>10308</v>
      </c>
      <c r="C1939">
        <v>319</v>
      </c>
      <c r="D1939" t="s">
        <v>182</v>
      </c>
      <c r="E1939" t="s">
        <v>14</v>
      </c>
      <c r="F1939" t="s">
        <v>102</v>
      </c>
      <c r="G1939" t="s">
        <v>104</v>
      </c>
      <c r="H1939">
        <v>34</v>
      </c>
      <c r="I1939" s="2">
        <v>115.37</v>
      </c>
      <c r="J1939" s="2">
        <v>68.989999999999995</v>
      </c>
      <c r="K1939" s="2">
        <v>3922.58</v>
      </c>
      <c r="L1939" s="2">
        <v>2345.66</v>
      </c>
      <c r="M1939" s="2">
        <v>1576.92</v>
      </c>
      <c r="N1939">
        <v>2</v>
      </c>
    </row>
    <row r="1940" spans="1:14" x14ac:dyDescent="0.3">
      <c r="A1940" s="1">
        <v>38275</v>
      </c>
      <c r="B1940">
        <v>10308</v>
      </c>
      <c r="C1940">
        <v>319</v>
      </c>
      <c r="D1940" t="s">
        <v>182</v>
      </c>
      <c r="E1940" t="s">
        <v>14</v>
      </c>
      <c r="F1940" t="s">
        <v>102</v>
      </c>
      <c r="G1940" t="s">
        <v>105</v>
      </c>
      <c r="H1940">
        <v>20</v>
      </c>
      <c r="I1940" s="2">
        <v>187.85</v>
      </c>
      <c r="J1940" s="2">
        <v>91.02</v>
      </c>
      <c r="K1940" s="2">
        <v>3757</v>
      </c>
      <c r="L1940" s="2">
        <v>1820.4</v>
      </c>
      <c r="M1940" s="2">
        <v>1936.6</v>
      </c>
      <c r="N1940">
        <v>2</v>
      </c>
    </row>
    <row r="1941" spans="1:14" x14ac:dyDescent="0.3">
      <c r="A1941" s="1">
        <v>38275</v>
      </c>
      <c r="B1941">
        <v>10308</v>
      </c>
      <c r="C1941">
        <v>319</v>
      </c>
      <c r="D1941" t="s">
        <v>182</v>
      </c>
      <c r="E1941" t="s">
        <v>14</v>
      </c>
      <c r="F1941" t="s">
        <v>83</v>
      </c>
      <c r="G1941" t="s">
        <v>85</v>
      </c>
      <c r="H1941">
        <v>27</v>
      </c>
      <c r="I1941" s="2">
        <v>81.95</v>
      </c>
      <c r="J1941" s="2">
        <v>49</v>
      </c>
      <c r="K1941" s="2">
        <v>2212.65</v>
      </c>
      <c r="L1941" s="2">
        <v>1323</v>
      </c>
      <c r="M1941" s="2">
        <v>889.65</v>
      </c>
      <c r="N1941">
        <v>2</v>
      </c>
    </row>
    <row r="1942" spans="1:14" x14ac:dyDescent="0.3">
      <c r="A1942" s="1">
        <v>38275</v>
      </c>
      <c r="B1942">
        <v>10308</v>
      </c>
      <c r="C1942">
        <v>319</v>
      </c>
      <c r="D1942" t="s">
        <v>182</v>
      </c>
      <c r="E1942" t="s">
        <v>14</v>
      </c>
      <c r="F1942" t="s">
        <v>102</v>
      </c>
      <c r="G1942" t="s">
        <v>107</v>
      </c>
      <c r="H1942">
        <v>34</v>
      </c>
      <c r="I1942" s="2">
        <v>48.46</v>
      </c>
      <c r="J1942" s="2">
        <v>24.23</v>
      </c>
      <c r="K1942" s="2">
        <v>1647.64</v>
      </c>
      <c r="L1942" s="2">
        <v>823.82</v>
      </c>
      <c r="M1942" s="2">
        <v>823.82</v>
      </c>
      <c r="N1942">
        <v>2</v>
      </c>
    </row>
    <row r="1943" spans="1:14" x14ac:dyDescent="0.3">
      <c r="A1943" s="1">
        <v>38275</v>
      </c>
      <c r="B1943">
        <v>10308</v>
      </c>
      <c r="C1943">
        <v>319</v>
      </c>
      <c r="D1943" t="s">
        <v>182</v>
      </c>
      <c r="E1943" t="s">
        <v>14</v>
      </c>
      <c r="F1943" t="s">
        <v>83</v>
      </c>
      <c r="G1943" t="s">
        <v>88</v>
      </c>
      <c r="H1943">
        <v>31</v>
      </c>
      <c r="I1943" s="2">
        <v>99.57</v>
      </c>
      <c r="J1943" s="2">
        <v>66.739999999999995</v>
      </c>
      <c r="K1943" s="2">
        <v>3086.67</v>
      </c>
      <c r="L1943" s="2">
        <v>2068.94</v>
      </c>
      <c r="M1943" s="2">
        <v>1017.73</v>
      </c>
      <c r="N1943">
        <v>2</v>
      </c>
    </row>
    <row r="1944" spans="1:14" x14ac:dyDescent="0.3">
      <c r="A1944" s="1">
        <v>38275</v>
      </c>
      <c r="B1944">
        <v>10308</v>
      </c>
      <c r="C1944">
        <v>319</v>
      </c>
      <c r="D1944" t="s">
        <v>182</v>
      </c>
      <c r="E1944" t="s">
        <v>14</v>
      </c>
      <c r="F1944" t="s">
        <v>102</v>
      </c>
      <c r="G1944" t="s">
        <v>109</v>
      </c>
      <c r="H1944">
        <v>47</v>
      </c>
      <c r="I1944" s="2">
        <v>68.55</v>
      </c>
      <c r="J1944" s="2">
        <v>37.32</v>
      </c>
      <c r="K1944" s="2">
        <v>3221.85</v>
      </c>
      <c r="L1944" s="2">
        <v>1754.04</v>
      </c>
      <c r="M1944" s="2">
        <v>1467.81</v>
      </c>
      <c r="N1944">
        <v>2</v>
      </c>
    </row>
    <row r="1945" spans="1:14" x14ac:dyDescent="0.3">
      <c r="A1945" s="1">
        <v>38275</v>
      </c>
      <c r="B1945">
        <v>10308</v>
      </c>
      <c r="C1945">
        <v>319</v>
      </c>
      <c r="D1945" t="s">
        <v>182</v>
      </c>
      <c r="E1945" t="s">
        <v>14</v>
      </c>
      <c r="F1945" t="s">
        <v>83</v>
      </c>
      <c r="G1945" t="s">
        <v>91</v>
      </c>
      <c r="H1945">
        <v>43</v>
      </c>
      <c r="I1945" s="2">
        <v>58</v>
      </c>
      <c r="J1945" s="2">
        <v>29.34</v>
      </c>
      <c r="K1945" s="2">
        <v>2494</v>
      </c>
      <c r="L1945" s="2">
        <v>1261.6199999999999</v>
      </c>
      <c r="M1945" s="2">
        <v>1232.3800000000001</v>
      </c>
      <c r="N1945">
        <v>2</v>
      </c>
    </row>
    <row r="1946" spans="1:14" x14ac:dyDescent="0.3">
      <c r="A1946" s="1">
        <v>38275</v>
      </c>
      <c r="B1946">
        <v>10308</v>
      </c>
      <c r="C1946">
        <v>319</v>
      </c>
      <c r="D1946" t="s">
        <v>182</v>
      </c>
      <c r="E1946" t="s">
        <v>14</v>
      </c>
      <c r="F1946" t="s">
        <v>83</v>
      </c>
      <c r="G1946" t="s">
        <v>92</v>
      </c>
      <c r="H1946">
        <v>44</v>
      </c>
      <c r="I1946" s="2">
        <v>71.73</v>
      </c>
      <c r="J1946" s="2">
        <v>36.229999999999997</v>
      </c>
      <c r="K1946" s="2">
        <v>3156.12</v>
      </c>
      <c r="L1946" s="2">
        <v>1594.12</v>
      </c>
      <c r="M1946" s="2">
        <v>1562</v>
      </c>
      <c r="N1946">
        <v>2</v>
      </c>
    </row>
    <row r="1947" spans="1:14" x14ac:dyDescent="0.3">
      <c r="A1947" s="1">
        <v>38275</v>
      </c>
      <c r="B1947">
        <v>10308</v>
      </c>
      <c r="C1947">
        <v>319</v>
      </c>
      <c r="D1947" t="s">
        <v>182</v>
      </c>
      <c r="E1947" t="s">
        <v>14</v>
      </c>
      <c r="F1947" t="s">
        <v>102</v>
      </c>
      <c r="G1947" t="s">
        <v>110</v>
      </c>
      <c r="H1947">
        <v>24</v>
      </c>
      <c r="I1947" s="2">
        <v>99.89</v>
      </c>
      <c r="J1947" s="2">
        <v>66.92</v>
      </c>
      <c r="K1947" s="2">
        <v>2397.36</v>
      </c>
      <c r="L1947" s="2">
        <v>1606.08</v>
      </c>
      <c r="M1947" s="2">
        <v>791.28</v>
      </c>
      <c r="N1947">
        <v>2</v>
      </c>
    </row>
    <row r="1948" spans="1:14" x14ac:dyDescent="0.3">
      <c r="A1948" s="1">
        <v>38275</v>
      </c>
      <c r="B1948">
        <v>10308</v>
      </c>
      <c r="C1948">
        <v>319</v>
      </c>
      <c r="D1948" t="s">
        <v>182</v>
      </c>
      <c r="E1948" t="s">
        <v>14</v>
      </c>
      <c r="F1948" t="s">
        <v>15</v>
      </c>
      <c r="G1948" t="s">
        <v>93</v>
      </c>
      <c r="H1948">
        <v>46</v>
      </c>
      <c r="I1948" s="2">
        <v>61.22</v>
      </c>
      <c r="J1948" s="2">
        <v>33.020000000000003</v>
      </c>
      <c r="K1948" s="2">
        <v>2816.12</v>
      </c>
      <c r="L1948" s="2">
        <v>1518.92</v>
      </c>
      <c r="M1948" s="2">
        <v>1297.2</v>
      </c>
      <c r="N1948">
        <v>2</v>
      </c>
    </row>
    <row r="1949" spans="1:14" x14ac:dyDescent="0.3">
      <c r="A1949" s="1">
        <v>38275</v>
      </c>
      <c r="B1949">
        <v>10308</v>
      </c>
      <c r="C1949">
        <v>319</v>
      </c>
      <c r="D1949" t="s">
        <v>182</v>
      </c>
      <c r="E1949" t="s">
        <v>14</v>
      </c>
      <c r="F1949" t="s">
        <v>15</v>
      </c>
      <c r="G1949" t="s">
        <v>94</v>
      </c>
      <c r="H1949">
        <v>47</v>
      </c>
      <c r="I1949" s="2">
        <v>37.090000000000003</v>
      </c>
      <c r="J1949" s="2">
        <v>27.06</v>
      </c>
      <c r="K1949" s="2">
        <v>1743.23</v>
      </c>
      <c r="L1949" s="2">
        <v>1271.82</v>
      </c>
      <c r="M1949" s="2">
        <v>471.41</v>
      </c>
      <c r="N1949">
        <v>2</v>
      </c>
    </row>
    <row r="1950" spans="1:14" x14ac:dyDescent="0.3">
      <c r="A1950" s="1">
        <v>38275</v>
      </c>
      <c r="B1950">
        <v>10308</v>
      </c>
      <c r="C1950">
        <v>319</v>
      </c>
      <c r="D1950" t="s">
        <v>182</v>
      </c>
      <c r="E1950" t="s">
        <v>14</v>
      </c>
      <c r="F1950" t="s">
        <v>83</v>
      </c>
      <c r="G1950" t="s">
        <v>95</v>
      </c>
      <c r="H1950">
        <v>21</v>
      </c>
      <c r="I1950" s="2">
        <v>73.069999999999993</v>
      </c>
      <c r="J1950" s="2">
        <v>51.15</v>
      </c>
      <c r="K1950" s="2">
        <v>1534.47</v>
      </c>
      <c r="L1950" s="2">
        <v>1074.1500000000001</v>
      </c>
      <c r="M1950" s="2">
        <v>460.32</v>
      </c>
      <c r="N1950">
        <v>2</v>
      </c>
    </row>
    <row r="1951" spans="1:14" x14ac:dyDescent="0.3">
      <c r="A1951" s="1">
        <v>38275</v>
      </c>
      <c r="B1951">
        <v>10308</v>
      </c>
      <c r="C1951">
        <v>319</v>
      </c>
      <c r="D1951" t="s">
        <v>182</v>
      </c>
      <c r="E1951" t="s">
        <v>14</v>
      </c>
      <c r="F1951" t="s">
        <v>83</v>
      </c>
      <c r="G1951" t="s">
        <v>97</v>
      </c>
      <c r="H1951">
        <v>35</v>
      </c>
      <c r="I1951" s="2">
        <v>88.75</v>
      </c>
      <c r="J1951" s="2">
        <v>68.8</v>
      </c>
      <c r="K1951" s="2">
        <v>3106.25</v>
      </c>
      <c r="L1951" s="2">
        <v>2408</v>
      </c>
      <c r="M1951" s="2">
        <v>698.25</v>
      </c>
      <c r="N1951">
        <v>2</v>
      </c>
    </row>
    <row r="1952" spans="1:14" x14ac:dyDescent="0.3">
      <c r="A1952" s="1">
        <v>38275</v>
      </c>
      <c r="B1952">
        <v>10308</v>
      </c>
      <c r="C1952">
        <v>319</v>
      </c>
      <c r="D1952" t="s">
        <v>182</v>
      </c>
      <c r="E1952" t="s">
        <v>14</v>
      </c>
      <c r="F1952" t="s">
        <v>83</v>
      </c>
      <c r="G1952" t="s">
        <v>98</v>
      </c>
      <c r="H1952">
        <v>31</v>
      </c>
      <c r="I1952" s="2">
        <v>100.85</v>
      </c>
      <c r="J1952" s="2">
        <v>59.33</v>
      </c>
      <c r="K1952" s="2">
        <v>3126.35</v>
      </c>
      <c r="L1952" s="2">
        <v>1839.23</v>
      </c>
      <c r="M1952" s="2">
        <v>1287.1199999999999</v>
      </c>
      <c r="N1952">
        <v>2</v>
      </c>
    </row>
    <row r="1953" spans="1:14" x14ac:dyDescent="0.3">
      <c r="A1953" s="1">
        <v>38275</v>
      </c>
      <c r="B1953">
        <v>10308</v>
      </c>
      <c r="C1953">
        <v>319</v>
      </c>
      <c r="D1953" t="s">
        <v>182</v>
      </c>
      <c r="E1953" t="s">
        <v>14</v>
      </c>
      <c r="F1953" t="s">
        <v>83</v>
      </c>
      <c r="G1953" t="s">
        <v>99</v>
      </c>
      <c r="H1953">
        <v>21</v>
      </c>
      <c r="I1953" s="2">
        <v>79.2</v>
      </c>
      <c r="J1953" s="2">
        <v>54.4</v>
      </c>
      <c r="K1953" s="2">
        <v>1663.2</v>
      </c>
      <c r="L1953" s="2">
        <v>1142.4000000000001</v>
      </c>
      <c r="M1953" s="2">
        <v>520.79999999999995</v>
      </c>
      <c r="N1953">
        <v>2</v>
      </c>
    </row>
    <row r="1954" spans="1:14" x14ac:dyDescent="0.3">
      <c r="A1954" s="1">
        <v>38275</v>
      </c>
      <c r="B1954">
        <v>10308</v>
      </c>
      <c r="C1954">
        <v>319</v>
      </c>
      <c r="D1954" t="s">
        <v>182</v>
      </c>
      <c r="E1954" t="s">
        <v>14</v>
      </c>
      <c r="F1954" t="s">
        <v>83</v>
      </c>
      <c r="G1954" t="s">
        <v>100</v>
      </c>
      <c r="H1954">
        <v>39</v>
      </c>
      <c r="I1954" s="2">
        <v>62.93</v>
      </c>
      <c r="J1954" s="2">
        <v>36.270000000000003</v>
      </c>
      <c r="K1954" s="2">
        <v>2454.27</v>
      </c>
      <c r="L1954" s="2">
        <v>1414.53</v>
      </c>
      <c r="M1954" s="2">
        <v>1039.74</v>
      </c>
      <c r="N1954">
        <v>2</v>
      </c>
    </row>
    <row r="1955" spans="1:14" x14ac:dyDescent="0.3">
      <c r="A1955" s="1">
        <v>38276</v>
      </c>
      <c r="B1955">
        <v>10311</v>
      </c>
      <c r="C1955">
        <v>141</v>
      </c>
      <c r="D1955" t="s">
        <v>47</v>
      </c>
      <c r="E1955" t="s">
        <v>48</v>
      </c>
      <c r="F1955" t="s">
        <v>29</v>
      </c>
      <c r="G1955" t="s">
        <v>134</v>
      </c>
      <c r="H1955">
        <v>29</v>
      </c>
      <c r="I1955" s="2">
        <v>124.44</v>
      </c>
      <c r="J1955" s="2">
        <v>65.959999999999994</v>
      </c>
      <c r="K1955" s="2">
        <v>3608.76</v>
      </c>
      <c r="L1955" s="2">
        <v>1912.84</v>
      </c>
      <c r="M1955" s="2">
        <v>1695.92</v>
      </c>
      <c r="N1955">
        <v>14</v>
      </c>
    </row>
    <row r="1956" spans="1:14" x14ac:dyDescent="0.3">
      <c r="A1956" s="1">
        <v>38276</v>
      </c>
      <c r="B1956">
        <v>10311</v>
      </c>
      <c r="C1956">
        <v>141</v>
      </c>
      <c r="D1956" t="s">
        <v>47</v>
      </c>
      <c r="E1956" t="s">
        <v>48</v>
      </c>
      <c r="F1956" t="s">
        <v>29</v>
      </c>
      <c r="G1956" t="s">
        <v>130</v>
      </c>
      <c r="H1956">
        <v>43</v>
      </c>
      <c r="I1956" s="2">
        <v>114.84</v>
      </c>
      <c r="J1956" s="2">
        <v>56.76</v>
      </c>
      <c r="K1956" s="2">
        <v>4938.12</v>
      </c>
      <c r="L1956" s="2">
        <v>2440.6799999999998</v>
      </c>
      <c r="M1956" s="2">
        <v>2497.44</v>
      </c>
      <c r="N1956">
        <v>14</v>
      </c>
    </row>
    <row r="1957" spans="1:14" x14ac:dyDescent="0.3">
      <c r="A1957" s="1">
        <v>38276</v>
      </c>
      <c r="B1957">
        <v>10311</v>
      </c>
      <c r="C1957">
        <v>141</v>
      </c>
      <c r="D1957" t="s">
        <v>47</v>
      </c>
      <c r="E1957" t="s">
        <v>48</v>
      </c>
      <c r="F1957" t="s">
        <v>29</v>
      </c>
      <c r="G1957" t="s">
        <v>131</v>
      </c>
      <c r="H1957">
        <v>32</v>
      </c>
      <c r="I1957" s="2">
        <v>134.22</v>
      </c>
      <c r="J1957" s="2">
        <v>62.16</v>
      </c>
      <c r="K1957" s="2">
        <v>4295.04</v>
      </c>
      <c r="L1957" s="2">
        <v>1989.12</v>
      </c>
      <c r="M1957" s="2">
        <v>2305.92</v>
      </c>
      <c r="N1957">
        <v>14</v>
      </c>
    </row>
    <row r="1958" spans="1:14" x14ac:dyDescent="0.3">
      <c r="A1958" s="1">
        <v>38276</v>
      </c>
      <c r="B1958">
        <v>10311</v>
      </c>
      <c r="C1958">
        <v>141</v>
      </c>
      <c r="D1958" t="s">
        <v>47</v>
      </c>
      <c r="E1958" t="s">
        <v>48</v>
      </c>
      <c r="F1958" t="s">
        <v>15</v>
      </c>
      <c r="G1958" t="s">
        <v>18</v>
      </c>
      <c r="H1958">
        <v>41</v>
      </c>
      <c r="I1958" s="2">
        <v>92.03</v>
      </c>
      <c r="J1958" s="2">
        <v>43.26</v>
      </c>
      <c r="K1958" s="2">
        <v>3773.23</v>
      </c>
      <c r="L1958" s="2">
        <v>1773.66</v>
      </c>
      <c r="M1958" s="2">
        <v>1999.57</v>
      </c>
      <c r="N1958">
        <v>14</v>
      </c>
    </row>
    <row r="1959" spans="1:14" x14ac:dyDescent="0.3">
      <c r="A1959" s="1">
        <v>38276</v>
      </c>
      <c r="B1959">
        <v>10311</v>
      </c>
      <c r="C1959">
        <v>141</v>
      </c>
      <c r="D1959" t="s">
        <v>47</v>
      </c>
      <c r="E1959" t="s">
        <v>48</v>
      </c>
      <c r="F1959" t="s">
        <v>29</v>
      </c>
      <c r="G1959" t="s">
        <v>135</v>
      </c>
      <c r="H1959">
        <v>25</v>
      </c>
      <c r="I1959" s="2">
        <v>66.989999999999995</v>
      </c>
      <c r="J1959" s="2">
        <v>34.21</v>
      </c>
      <c r="K1959" s="2">
        <v>1674.75</v>
      </c>
      <c r="L1959" s="2">
        <v>855.25</v>
      </c>
      <c r="M1959" s="2">
        <v>819.5</v>
      </c>
      <c r="N1959">
        <v>14</v>
      </c>
    </row>
    <row r="1960" spans="1:14" x14ac:dyDescent="0.3">
      <c r="A1960" s="1">
        <v>38276</v>
      </c>
      <c r="B1960">
        <v>10311</v>
      </c>
      <c r="C1960">
        <v>141</v>
      </c>
      <c r="D1960" t="s">
        <v>47</v>
      </c>
      <c r="E1960" t="s">
        <v>48</v>
      </c>
      <c r="F1960" t="s">
        <v>29</v>
      </c>
      <c r="G1960" t="s">
        <v>136</v>
      </c>
      <c r="H1960">
        <v>26</v>
      </c>
      <c r="I1960" s="2">
        <v>70.55</v>
      </c>
      <c r="J1960" s="2">
        <v>49.24</v>
      </c>
      <c r="K1960" s="2">
        <v>1834.3</v>
      </c>
      <c r="L1960" s="2">
        <v>1280.24</v>
      </c>
      <c r="M1960" s="2">
        <v>554.05999999999995</v>
      </c>
      <c r="N1960">
        <v>14</v>
      </c>
    </row>
    <row r="1961" spans="1:14" x14ac:dyDescent="0.3">
      <c r="A1961" s="1">
        <v>38276</v>
      </c>
      <c r="B1961">
        <v>10311</v>
      </c>
      <c r="C1961">
        <v>141</v>
      </c>
      <c r="D1961" t="s">
        <v>47</v>
      </c>
      <c r="E1961" t="s">
        <v>48</v>
      </c>
      <c r="F1961" t="s">
        <v>29</v>
      </c>
      <c r="G1961" t="s">
        <v>137</v>
      </c>
      <c r="H1961">
        <v>45</v>
      </c>
      <c r="I1961" s="2">
        <v>48.8</v>
      </c>
      <c r="J1961" s="2">
        <v>29.18</v>
      </c>
      <c r="K1961" s="2">
        <v>2196</v>
      </c>
      <c r="L1961" s="2">
        <v>1313.1</v>
      </c>
      <c r="M1961" s="2">
        <v>882.9</v>
      </c>
      <c r="N1961">
        <v>14</v>
      </c>
    </row>
    <row r="1962" spans="1:14" x14ac:dyDescent="0.3">
      <c r="A1962" s="1">
        <v>38276</v>
      </c>
      <c r="B1962">
        <v>10311</v>
      </c>
      <c r="C1962">
        <v>141</v>
      </c>
      <c r="D1962" t="s">
        <v>47</v>
      </c>
      <c r="E1962" t="s">
        <v>48</v>
      </c>
      <c r="F1962" t="s">
        <v>29</v>
      </c>
      <c r="G1962" t="s">
        <v>138</v>
      </c>
      <c r="H1962">
        <v>28</v>
      </c>
      <c r="I1962" s="2">
        <v>89.05</v>
      </c>
      <c r="J1962" s="2">
        <v>47.25</v>
      </c>
      <c r="K1962" s="2">
        <v>2493.4</v>
      </c>
      <c r="L1962" s="2">
        <v>1323</v>
      </c>
      <c r="M1962" s="2">
        <v>1170.4000000000001</v>
      </c>
      <c r="N1962">
        <v>14</v>
      </c>
    </row>
    <row r="1963" spans="1:14" x14ac:dyDescent="0.3">
      <c r="A1963" s="1">
        <v>38276</v>
      </c>
      <c r="B1963">
        <v>10311</v>
      </c>
      <c r="C1963">
        <v>141</v>
      </c>
      <c r="D1963" t="s">
        <v>47</v>
      </c>
      <c r="E1963" t="s">
        <v>48</v>
      </c>
      <c r="F1963" t="s">
        <v>29</v>
      </c>
      <c r="G1963" t="s">
        <v>139</v>
      </c>
      <c r="H1963">
        <v>43</v>
      </c>
      <c r="I1963" s="2">
        <v>116.27</v>
      </c>
      <c r="J1963" s="2">
        <v>72.819999999999993</v>
      </c>
      <c r="K1963" s="2">
        <v>4999.6099999999997</v>
      </c>
      <c r="L1963" s="2">
        <v>3131.26</v>
      </c>
      <c r="M1963" s="2">
        <v>1868.35</v>
      </c>
      <c r="N1963">
        <v>14</v>
      </c>
    </row>
    <row r="1964" spans="1:14" x14ac:dyDescent="0.3">
      <c r="A1964" s="1">
        <v>38276</v>
      </c>
      <c r="B1964">
        <v>10311</v>
      </c>
      <c r="C1964">
        <v>141</v>
      </c>
      <c r="D1964" t="s">
        <v>47</v>
      </c>
      <c r="E1964" t="s">
        <v>48</v>
      </c>
      <c r="F1964" t="s">
        <v>29</v>
      </c>
      <c r="G1964" t="s">
        <v>140</v>
      </c>
      <c r="H1964">
        <v>25</v>
      </c>
      <c r="I1964" s="2">
        <v>85.61</v>
      </c>
      <c r="J1964" s="2">
        <v>50.51</v>
      </c>
      <c r="K1964" s="2">
        <v>2140.25</v>
      </c>
      <c r="L1964" s="2">
        <v>1262.75</v>
      </c>
      <c r="M1964" s="2">
        <v>877.5</v>
      </c>
      <c r="N1964">
        <v>14</v>
      </c>
    </row>
    <row r="1965" spans="1:14" x14ac:dyDescent="0.3">
      <c r="A1965" s="1">
        <v>38276</v>
      </c>
      <c r="B1965">
        <v>10311</v>
      </c>
      <c r="C1965">
        <v>141</v>
      </c>
      <c r="D1965" t="s">
        <v>47</v>
      </c>
      <c r="E1965" t="s">
        <v>48</v>
      </c>
      <c r="F1965" t="s">
        <v>29</v>
      </c>
      <c r="G1965" t="s">
        <v>141</v>
      </c>
      <c r="H1965">
        <v>46</v>
      </c>
      <c r="I1965" s="2">
        <v>91.02</v>
      </c>
      <c r="J1965" s="2">
        <v>62.11</v>
      </c>
      <c r="K1965" s="2">
        <v>4186.92</v>
      </c>
      <c r="L1965" s="2">
        <v>2857.06</v>
      </c>
      <c r="M1965" s="2">
        <v>1329.86</v>
      </c>
      <c r="N1965">
        <v>14</v>
      </c>
    </row>
    <row r="1966" spans="1:14" x14ac:dyDescent="0.3">
      <c r="A1966" s="1">
        <v>38276</v>
      </c>
      <c r="B1966">
        <v>10310</v>
      </c>
      <c r="C1966">
        <v>259</v>
      </c>
      <c r="D1966" t="s">
        <v>180</v>
      </c>
      <c r="E1966" t="s">
        <v>20</v>
      </c>
      <c r="F1966" t="s">
        <v>29</v>
      </c>
      <c r="G1966" t="s">
        <v>112</v>
      </c>
      <c r="H1966">
        <v>33</v>
      </c>
      <c r="I1966" s="2">
        <v>165.38</v>
      </c>
      <c r="J1966" s="2">
        <v>95.34</v>
      </c>
      <c r="K1966" s="2">
        <v>5457.54</v>
      </c>
      <c r="L1966" s="2">
        <v>3146.22</v>
      </c>
      <c r="M1966" s="2">
        <v>2311.3200000000002</v>
      </c>
      <c r="N1966">
        <v>2</v>
      </c>
    </row>
    <row r="1967" spans="1:14" x14ac:dyDescent="0.3">
      <c r="A1967" s="1">
        <v>38276</v>
      </c>
      <c r="B1967">
        <v>10310</v>
      </c>
      <c r="C1967">
        <v>259</v>
      </c>
      <c r="D1967" t="s">
        <v>180</v>
      </c>
      <c r="E1967" t="s">
        <v>20</v>
      </c>
      <c r="F1967" t="s">
        <v>29</v>
      </c>
      <c r="G1967" t="s">
        <v>113</v>
      </c>
      <c r="H1967">
        <v>24</v>
      </c>
      <c r="I1967" s="2">
        <v>105.7</v>
      </c>
      <c r="J1967" s="2">
        <v>75.16</v>
      </c>
      <c r="K1967" s="2">
        <v>2536.8000000000002</v>
      </c>
      <c r="L1967" s="2">
        <v>1803.84</v>
      </c>
      <c r="M1967" s="2">
        <v>732.96</v>
      </c>
      <c r="N1967">
        <v>2</v>
      </c>
    </row>
    <row r="1968" spans="1:14" x14ac:dyDescent="0.3">
      <c r="A1968" s="1">
        <v>38276</v>
      </c>
      <c r="B1968">
        <v>10310</v>
      </c>
      <c r="C1968">
        <v>259</v>
      </c>
      <c r="D1968" t="s">
        <v>180</v>
      </c>
      <c r="E1968" t="s">
        <v>20</v>
      </c>
      <c r="F1968" t="s">
        <v>29</v>
      </c>
      <c r="G1968" t="s">
        <v>114</v>
      </c>
      <c r="H1968">
        <v>49</v>
      </c>
      <c r="I1968" s="2">
        <v>77.41</v>
      </c>
      <c r="J1968" s="2">
        <v>31.92</v>
      </c>
      <c r="K1968" s="2">
        <v>3793.09</v>
      </c>
      <c r="L1968" s="2">
        <v>1564.08</v>
      </c>
      <c r="M1968" s="2">
        <v>2229.0100000000002</v>
      </c>
      <c r="N1968">
        <v>2</v>
      </c>
    </row>
    <row r="1969" spans="1:14" x14ac:dyDescent="0.3">
      <c r="A1969" s="1">
        <v>38276</v>
      </c>
      <c r="B1969">
        <v>10310</v>
      </c>
      <c r="C1969">
        <v>259</v>
      </c>
      <c r="D1969" t="s">
        <v>180</v>
      </c>
      <c r="E1969" t="s">
        <v>20</v>
      </c>
      <c r="F1969" t="s">
        <v>29</v>
      </c>
      <c r="G1969" t="s">
        <v>115</v>
      </c>
      <c r="H1969">
        <v>25</v>
      </c>
      <c r="I1969" s="2">
        <v>101.34</v>
      </c>
      <c r="J1969" s="2">
        <v>58.73</v>
      </c>
      <c r="K1969" s="2">
        <v>2533.5</v>
      </c>
      <c r="L1969" s="2">
        <v>1468.25</v>
      </c>
      <c r="M1969" s="2">
        <v>1065.25</v>
      </c>
      <c r="N1969">
        <v>2</v>
      </c>
    </row>
    <row r="1970" spans="1:14" x14ac:dyDescent="0.3">
      <c r="A1970" s="1">
        <v>38276</v>
      </c>
      <c r="B1970">
        <v>10310</v>
      </c>
      <c r="C1970">
        <v>259</v>
      </c>
      <c r="D1970" t="s">
        <v>180</v>
      </c>
      <c r="E1970" t="s">
        <v>20</v>
      </c>
      <c r="F1970" t="s">
        <v>29</v>
      </c>
      <c r="G1970" t="s">
        <v>128</v>
      </c>
      <c r="H1970">
        <v>37</v>
      </c>
      <c r="I1970" s="2">
        <v>128.80000000000001</v>
      </c>
      <c r="J1970" s="2">
        <v>83.51</v>
      </c>
      <c r="K1970" s="2">
        <v>4765.6000000000004</v>
      </c>
      <c r="L1970" s="2">
        <v>3089.87</v>
      </c>
      <c r="M1970" s="2">
        <v>1675.73</v>
      </c>
      <c r="N1970">
        <v>2</v>
      </c>
    </row>
    <row r="1971" spans="1:14" x14ac:dyDescent="0.3">
      <c r="A1971" s="1">
        <v>38276</v>
      </c>
      <c r="B1971">
        <v>10310</v>
      </c>
      <c r="C1971">
        <v>259</v>
      </c>
      <c r="D1971" t="s">
        <v>180</v>
      </c>
      <c r="E1971" t="s">
        <v>20</v>
      </c>
      <c r="F1971" t="s">
        <v>29</v>
      </c>
      <c r="G1971" t="s">
        <v>116</v>
      </c>
      <c r="H1971">
        <v>20</v>
      </c>
      <c r="I1971" s="2">
        <v>66.989999999999995</v>
      </c>
      <c r="J1971" s="2">
        <v>53.9</v>
      </c>
      <c r="K1971" s="2">
        <v>1339.8</v>
      </c>
      <c r="L1971" s="2">
        <v>1078</v>
      </c>
      <c r="M1971" s="2">
        <v>261.8</v>
      </c>
      <c r="N1971">
        <v>2</v>
      </c>
    </row>
    <row r="1972" spans="1:14" x14ac:dyDescent="0.3">
      <c r="A1972" s="1">
        <v>38276</v>
      </c>
      <c r="B1972">
        <v>10310</v>
      </c>
      <c r="C1972">
        <v>259</v>
      </c>
      <c r="D1972" t="s">
        <v>180</v>
      </c>
      <c r="E1972" t="s">
        <v>20</v>
      </c>
      <c r="F1972" t="s">
        <v>29</v>
      </c>
      <c r="G1972" t="s">
        <v>129</v>
      </c>
      <c r="H1972">
        <v>24</v>
      </c>
      <c r="I1972" s="2">
        <v>129.44999999999999</v>
      </c>
      <c r="J1972" s="2">
        <v>93.89</v>
      </c>
      <c r="K1972" s="2">
        <v>3106.8</v>
      </c>
      <c r="L1972" s="2">
        <v>2253.36</v>
      </c>
      <c r="M1972" s="2">
        <v>853.44</v>
      </c>
      <c r="N1972">
        <v>2</v>
      </c>
    </row>
    <row r="1973" spans="1:14" x14ac:dyDescent="0.3">
      <c r="A1973" s="1">
        <v>38276</v>
      </c>
      <c r="B1973">
        <v>10310</v>
      </c>
      <c r="C1973">
        <v>259</v>
      </c>
      <c r="D1973" t="s">
        <v>180</v>
      </c>
      <c r="E1973" t="s">
        <v>20</v>
      </c>
      <c r="F1973" t="s">
        <v>29</v>
      </c>
      <c r="G1973" t="s">
        <v>53</v>
      </c>
      <c r="H1973">
        <v>48</v>
      </c>
      <c r="I1973" s="2">
        <v>159.18</v>
      </c>
      <c r="J1973" s="2">
        <v>77.900000000000006</v>
      </c>
      <c r="K1973" s="2">
        <v>7640.64</v>
      </c>
      <c r="L1973" s="2">
        <v>3739.2</v>
      </c>
      <c r="M1973" s="2">
        <v>3901.44</v>
      </c>
      <c r="N1973">
        <v>2</v>
      </c>
    </row>
    <row r="1974" spans="1:14" x14ac:dyDescent="0.3">
      <c r="A1974" s="1">
        <v>38276</v>
      </c>
      <c r="B1974">
        <v>10310</v>
      </c>
      <c r="C1974">
        <v>259</v>
      </c>
      <c r="D1974" t="s">
        <v>180</v>
      </c>
      <c r="E1974" t="s">
        <v>20</v>
      </c>
      <c r="F1974" t="s">
        <v>29</v>
      </c>
      <c r="G1974" t="s">
        <v>117</v>
      </c>
      <c r="H1974">
        <v>27</v>
      </c>
      <c r="I1974" s="2">
        <v>70.760000000000005</v>
      </c>
      <c r="J1974" s="2">
        <v>49.05</v>
      </c>
      <c r="K1974" s="2">
        <v>1910.52</v>
      </c>
      <c r="L1974" s="2">
        <v>1324.35</v>
      </c>
      <c r="M1974" s="2">
        <v>586.16999999999996</v>
      </c>
      <c r="N1974">
        <v>2</v>
      </c>
    </row>
    <row r="1975" spans="1:14" x14ac:dyDescent="0.3">
      <c r="A1975" s="1">
        <v>38276</v>
      </c>
      <c r="B1975">
        <v>10310</v>
      </c>
      <c r="C1975">
        <v>259</v>
      </c>
      <c r="D1975" t="s">
        <v>180</v>
      </c>
      <c r="E1975" t="s">
        <v>20</v>
      </c>
      <c r="F1975" t="s">
        <v>29</v>
      </c>
      <c r="G1975" t="s">
        <v>118</v>
      </c>
      <c r="H1975">
        <v>49</v>
      </c>
      <c r="I1975" s="2">
        <v>122</v>
      </c>
      <c r="J1975" s="2">
        <v>73.489999999999995</v>
      </c>
      <c r="K1975" s="2">
        <v>5978</v>
      </c>
      <c r="L1975" s="2">
        <v>3601.01</v>
      </c>
      <c r="M1975" s="2">
        <v>2376.9899999999998</v>
      </c>
      <c r="N1975">
        <v>2</v>
      </c>
    </row>
    <row r="1976" spans="1:14" x14ac:dyDescent="0.3">
      <c r="A1976" s="1">
        <v>38276</v>
      </c>
      <c r="B1976">
        <v>10310</v>
      </c>
      <c r="C1976">
        <v>259</v>
      </c>
      <c r="D1976" t="s">
        <v>180</v>
      </c>
      <c r="E1976" t="s">
        <v>20</v>
      </c>
      <c r="F1976" t="s">
        <v>102</v>
      </c>
      <c r="G1976" t="s">
        <v>119</v>
      </c>
      <c r="H1976">
        <v>42</v>
      </c>
      <c r="I1976" s="2">
        <v>59.06</v>
      </c>
      <c r="J1976" s="2">
        <v>32.950000000000003</v>
      </c>
      <c r="K1976" s="2">
        <v>2480.52</v>
      </c>
      <c r="L1976" s="2">
        <v>1383.9</v>
      </c>
      <c r="M1976" s="2">
        <v>1096.6199999999999</v>
      </c>
      <c r="N1976">
        <v>2</v>
      </c>
    </row>
    <row r="1977" spans="1:14" x14ac:dyDescent="0.3">
      <c r="A1977" s="1">
        <v>38276</v>
      </c>
      <c r="B1977">
        <v>10310</v>
      </c>
      <c r="C1977">
        <v>259</v>
      </c>
      <c r="D1977" t="s">
        <v>180</v>
      </c>
      <c r="E1977" t="s">
        <v>20</v>
      </c>
      <c r="F1977" t="s">
        <v>29</v>
      </c>
      <c r="G1977" t="s">
        <v>120</v>
      </c>
      <c r="H1977">
        <v>40</v>
      </c>
      <c r="I1977" s="2">
        <v>133.91999999999999</v>
      </c>
      <c r="J1977" s="2">
        <v>69.930000000000007</v>
      </c>
      <c r="K1977" s="2">
        <v>5356.8</v>
      </c>
      <c r="L1977" s="2">
        <v>2797.2</v>
      </c>
      <c r="M1977" s="2">
        <v>2559.6</v>
      </c>
      <c r="N1977">
        <v>2</v>
      </c>
    </row>
    <row r="1978" spans="1:14" x14ac:dyDescent="0.3">
      <c r="A1978" s="1">
        <v>38276</v>
      </c>
      <c r="B1978">
        <v>10310</v>
      </c>
      <c r="C1978">
        <v>259</v>
      </c>
      <c r="D1978" t="s">
        <v>180</v>
      </c>
      <c r="E1978" t="s">
        <v>20</v>
      </c>
      <c r="F1978" t="s">
        <v>29</v>
      </c>
      <c r="G1978" t="s">
        <v>132</v>
      </c>
      <c r="H1978">
        <v>33</v>
      </c>
      <c r="I1978" s="2">
        <v>33.229999999999997</v>
      </c>
      <c r="J1978" s="2">
        <v>16.239999999999998</v>
      </c>
      <c r="K1978" s="2">
        <v>1096.5899999999999</v>
      </c>
      <c r="L1978" s="2">
        <v>535.91999999999996</v>
      </c>
      <c r="M1978" s="2">
        <v>560.66999999999996</v>
      </c>
      <c r="N1978">
        <v>2</v>
      </c>
    </row>
    <row r="1979" spans="1:14" x14ac:dyDescent="0.3">
      <c r="A1979" s="1">
        <v>38276</v>
      </c>
      <c r="B1979">
        <v>10310</v>
      </c>
      <c r="C1979">
        <v>259</v>
      </c>
      <c r="D1979" t="s">
        <v>180</v>
      </c>
      <c r="E1979" t="s">
        <v>20</v>
      </c>
      <c r="F1979" t="s">
        <v>29</v>
      </c>
      <c r="G1979" t="s">
        <v>122</v>
      </c>
      <c r="H1979">
        <v>38</v>
      </c>
      <c r="I1979" s="2">
        <v>50.21</v>
      </c>
      <c r="J1979" s="2">
        <v>38.58</v>
      </c>
      <c r="K1979" s="2">
        <v>1907.98</v>
      </c>
      <c r="L1979" s="2">
        <v>1466.04</v>
      </c>
      <c r="M1979" s="2">
        <v>441.94</v>
      </c>
      <c r="N1979">
        <v>2</v>
      </c>
    </row>
    <row r="1980" spans="1:14" x14ac:dyDescent="0.3">
      <c r="A1980" s="1">
        <v>38276</v>
      </c>
      <c r="B1980">
        <v>10310</v>
      </c>
      <c r="C1980">
        <v>259</v>
      </c>
      <c r="D1980" t="s">
        <v>180</v>
      </c>
      <c r="E1980" t="s">
        <v>20</v>
      </c>
      <c r="F1980" t="s">
        <v>29</v>
      </c>
      <c r="G1980" t="s">
        <v>123</v>
      </c>
      <c r="H1980">
        <v>45</v>
      </c>
      <c r="I1980" s="2">
        <v>139.03</v>
      </c>
      <c r="J1980" s="2">
        <v>98.3</v>
      </c>
      <c r="K1980" s="2">
        <v>6256.35</v>
      </c>
      <c r="L1980" s="2">
        <v>4423.5</v>
      </c>
      <c r="M1980" s="2">
        <v>1832.85</v>
      </c>
      <c r="N1980">
        <v>2</v>
      </c>
    </row>
    <row r="1981" spans="1:14" x14ac:dyDescent="0.3">
      <c r="A1981" s="1">
        <v>38276</v>
      </c>
      <c r="B1981">
        <v>10310</v>
      </c>
      <c r="C1981">
        <v>259</v>
      </c>
      <c r="D1981" t="s">
        <v>180</v>
      </c>
      <c r="E1981" t="s">
        <v>20</v>
      </c>
      <c r="F1981" t="s">
        <v>29</v>
      </c>
      <c r="G1981" t="s">
        <v>124</v>
      </c>
      <c r="H1981">
        <v>49</v>
      </c>
      <c r="I1981" s="2">
        <v>75.180000000000007</v>
      </c>
      <c r="J1981" s="2">
        <v>32.33</v>
      </c>
      <c r="K1981" s="2">
        <v>3683.82</v>
      </c>
      <c r="L1981" s="2">
        <v>1584.17</v>
      </c>
      <c r="M1981" s="2">
        <v>2099.65</v>
      </c>
      <c r="N1981">
        <v>2</v>
      </c>
    </row>
    <row r="1982" spans="1:14" x14ac:dyDescent="0.3">
      <c r="A1982" s="1">
        <v>38276</v>
      </c>
      <c r="B1982">
        <v>10310</v>
      </c>
      <c r="C1982">
        <v>259</v>
      </c>
      <c r="D1982" t="s">
        <v>180</v>
      </c>
      <c r="E1982" t="s">
        <v>20</v>
      </c>
      <c r="F1982" t="s">
        <v>102</v>
      </c>
      <c r="G1982" t="s">
        <v>125</v>
      </c>
      <c r="H1982">
        <v>36</v>
      </c>
      <c r="I1982" s="2">
        <v>38.619999999999997</v>
      </c>
      <c r="J1982" s="2">
        <v>24.14</v>
      </c>
      <c r="K1982" s="2">
        <v>1390.32</v>
      </c>
      <c r="L1982" s="2">
        <v>869.04</v>
      </c>
      <c r="M1982" s="2">
        <v>521.28</v>
      </c>
      <c r="N1982">
        <v>2</v>
      </c>
    </row>
    <row r="1983" spans="1:14" x14ac:dyDescent="0.3">
      <c r="A1983" s="1">
        <v>38281</v>
      </c>
      <c r="B1983">
        <v>10312</v>
      </c>
      <c r="C1983">
        <v>124</v>
      </c>
      <c r="D1983" t="s">
        <v>206</v>
      </c>
      <c r="E1983" t="s">
        <v>14</v>
      </c>
      <c r="F1983" t="s">
        <v>29</v>
      </c>
      <c r="G1983" t="s">
        <v>30</v>
      </c>
      <c r="H1983">
        <v>48</v>
      </c>
      <c r="I1983" s="2">
        <v>214.3</v>
      </c>
      <c r="J1983" s="2">
        <v>98.58</v>
      </c>
      <c r="K1983" s="2">
        <v>10286.4</v>
      </c>
      <c r="L1983" s="2">
        <v>4731.84</v>
      </c>
      <c r="M1983" s="2">
        <v>5554.56</v>
      </c>
      <c r="N1983">
        <v>8</v>
      </c>
    </row>
    <row r="1984" spans="1:14" x14ac:dyDescent="0.3">
      <c r="A1984" s="1">
        <v>38281</v>
      </c>
      <c r="B1984">
        <v>10312</v>
      </c>
      <c r="C1984">
        <v>124</v>
      </c>
      <c r="D1984" t="s">
        <v>206</v>
      </c>
      <c r="E1984" t="s">
        <v>14</v>
      </c>
      <c r="F1984" t="s">
        <v>32</v>
      </c>
      <c r="G1984" t="s">
        <v>34</v>
      </c>
      <c r="H1984">
        <v>32</v>
      </c>
      <c r="I1984" s="2">
        <v>101.5</v>
      </c>
      <c r="J1984" s="2">
        <v>58.33</v>
      </c>
      <c r="K1984" s="2">
        <v>3248</v>
      </c>
      <c r="L1984" s="2">
        <v>1866.56</v>
      </c>
      <c r="M1984" s="2">
        <v>1381.44</v>
      </c>
      <c r="N1984">
        <v>8</v>
      </c>
    </row>
    <row r="1985" spans="1:14" x14ac:dyDescent="0.3">
      <c r="A1985" s="1">
        <v>38281</v>
      </c>
      <c r="B1985">
        <v>10312</v>
      </c>
      <c r="C1985">
        <v>124</v>
      </c>
      <c r="D1985" t="s">
        <v>206</v>
      </c>
      <c r="E1985" t="s">
        <v>14</v>
      </c>
      <c r="F1985" t="s">
        <v>15</v>
      </c>
      <c r="G1985" t="s">
        <v>25</v>
      </c>
      <c r="H1985">
        <v>43</v>
      </c>
      <c r="I1985" s="2">
        <v>102.74</v>
      </c>
      <c r="J1985" s="2">
        <v>60.62</v>
      </c>
      <c r="K1985" s="2">
        <v>4417.82</v>
      </c>
      <c r="L1985" s="2">
        <v>2606.66</v>
      </c>
      <c r="M1985" s="2">
        <v>1811.16</v>
      </c>
      <c r="N1985">
        <v>8</v>
      </c>
    </row>
    <row r="1986" spans="1:14" x14ac:dyDescent="0.3">
      <c r="A1986" s="1">
        <v>38281</v>
      </c>
      <c r="B1986">
        <v>10312</v>
      </c>
      <c r="C1986">
        <v>124</v>
      </c>
      <c r="D1986" t="s">
        <v>206</v>
      </c>
      <c r="E1986" t="s">
        <v>14</v>
      </c>
      <c r="F1986" t="s">
        <v>15</v>
      </c>
      <c r="G1986" t="s">
        <v>26</v>
      </c>
      <c r="H1986">
        <v>25</v>
      </c>
      <c r="I1986" s="2">
        <v>43.67</v>
      </c>
      <c r="J1986" s="2">
        <v>24.26</v>
      </c>
      <c r="K1986" s="2">
        <v>1091.75</v>
      </c>
      <c r="L1986" s="2">
        <v>606.5</v>
      </c>
      <c r="M1986" s="2">
        <v>485.25</v>
      </c>
      <c r="N1986">
        <v>8</v>
      </c>
    </row>
    <row r="1987" spans="1:14" x14ac:dyDescent="0.3">
      <c r="A1987" s="1">
        <v>38281</v>
      </c>
      <c r="B1987">
        <v>10312</v>
      </c>
      <c r="C1987">
        <v>124</v>
      </c>
      <c r="D1987" t="s">
        <v>206</v>
      </c>
      <c r="E1987" t="s">
        <v>14</v>
      </c>
      <c r="F1987" t="s">
        <v>15</v>
      </c>
      <c r="G1987" t="s">
        <v>16</v>
      </c>
      <c r="H1987">
        <v>48</v>
      </c>
      <c r="I1987" s="2">
        <v>146.19999999999999</v>
      </c>
      <c r="J1987" s="2">
        <v>86.7</v>
      </c>
      <c r="K1987" s="2">
        <v>7017.6</v>
      </c>
      <c r="L1987" s="2">
        <v>4161.6000000000004</v>
      </c>
      <c r="M1987" s="2">
        <v>2856</v>
      </c>
      <c r="N1987">
        <v>8</v>
      </c>
    </row>
    <row r="1988" spans="1:14" x14ac:dyDescent="0.3">
      <c r="A1988" s="1">
        <v>38281</v>
      </c>
      <c r="B1988">
        <v>10312</v>
      </c>
      <c r="C1988">
        <v>124</v>
      </c>
      <c r="D1988" t="s">
        <v>206</v>
      </c>
      <c r="E1988" t="s">
        <v>14</v>
      </c>
      <c r="F1988" t="s">
        <v>15</v>
      </c>
      <c r="G1988" t="s">
        <v>17</v>
      </c>
      <c r="H1988">
        <v>30</v>
      </c>
      <c r="I1988" s="2">
        <v>48.43</v>
      </c>
      <c r="J1988" s="2">
        <v>33.299999999999997</v>
      </c>
      <c r="K1988" s="2">
        <v>1452.9</v>
      </c>
      <c r="L1988" s="2">
        <v>999</v>
      </c>
      <c r="M1988" s="2">
        <v>453.9</v>
      </c>
      <c r="N1988">
        <v>8</v>
      </c>
    </row>
    <row r="1989" spans="1:14" x14ac:dyDescent="0.3">
      <c r="A1989" s="1">
        <v>38281</v>
      </c>
      <c r="B1989">
        <v>10312</v>
      </c>
      <c r="C1989">
        <v>124</v>
      </c>
      <c r="D1989" t="s">
        <v>206</v>
      </c>
      <c r="E1989" t="s">
        <v>14</v>
      </c>
      <c r="F1989" t="s">
        <v>15</v>
      </c>
      <c r="G1989" t="s">
        <v>21</v>
      </c>
      <c r="H1989">
        <v>31</v>
      </c>
      <c r="I1989" s="2">
        <v>111.87</v>
      </c>
      <c r="J1989" s="2">
        <v>58.48</v>
      </c>
      <c r="K1989" s="2">
        <v>3467.97</v>
      </c>
      <c r="L1989" s="2">
        <v>1812.88</v>
      </c>
      <c r="M1989" s="2">
        <v>1655.09</v>
      </c>
      <c r="N1989">
        <v>8</v>
      </c>
    </row>
    <row r="1990" spans="1:14" x14ac:dyDescent="0.3">
      <c r="A1990" s="1">
        <v>38281</v>
      </c>
      <c r="B1990">
        <v>10312</v>
      </c>
      <c r="C1990">
        <v>124</v>
      </c>
      <c r="D1990" t="s">
        <v>206</v>
      </c>
      <c r="E1990" t="s">
        <v>14</v>
      </c>
      <c r="F1990" t="s">
        <v>15</v>
      </c>
      <c r="G1990" t="s">
        <v>22</v>
      </c>
      <c r="H1990">
        <v>25</v>
      </c>
      <c r="I1990" s="2">
        <v>150.19</v>
      </c>
      <c r="J1990" s="2">
        <v>72.56</v>
      </c>
      <c r="K1990" s="2">
        <v>3754.75</v>
      </c>
      <c r="L1990" s="2">
        <v>1814</v>
      </c>
      <c r="M1990" s="2">
        <v>1940.75</v>
      </c>
      <c r="N1990">
        <v>8</v>
      </c>
    </row>
    <row r="1991" spans="1:14" x14ac:dyDescent="0.3">
      <c r="A1991" s="1">
        <v>38281</v>
      </c>
      <c r="B1991">
        <v>10312</v>
      </c>
      <c r="C1991">
        <v>124</v>
      </c>
      <c r="D1991" t="s">
        <v>206</v>
      </c>
      <c r="E1991" t="s">
        <v>14</v>
      </c>
      <c r="F1991" t="s">
        <v>15</v>
      </c>
      <c r="G1991" t="s">
        <v>36</v>
      </c>
      <c r="H1991">
        <v>37</v>
      </c>
      <c r="I1991" s="2">
        <v>91.18</v>
      </c>
      <c r="J1991" s="2">
        <v>60.78</v>
      </c>
      <c r="K1991" s="2">
        <v>3373.66</v>
      </c>
      <c r="L1991" s="2">
        <v>2248.86</v>
      </c>
      <c r="M1991" s="2">
        <v>1124.8</v>
      </c>
      <c r="N1991">
        <v>8</v>
      </c>
    </row>
    <row r="1992" spans="1:14" x14ac:dyDescent="0.3">
      <c r="A1992" s="1">
        <v>38281</v>
      </c>
      <c r="B1992">
        <v>10312</v>
      </c>
      <c r="C1992">
        <v>124</v>
      </c>
      <c r="D1992" t="s">
        <v>206</v>
      </c>
      <c r="E1992" t="s">
        <v>14</v>
      </c>
      <c r="F1992" t="s">
        <v>15</v>
      </c>
      <c r="G1992" t="s">
        <v>37</v>
      </c>
      <c r="H1992">
        <v>35</v>
      </c>
      <c r="I1992" s="2">
        <v>54.34</v>
      </c>
      <c r="J1992" s="2">
        <v>34.35</v>
      </c>
      <c r="K1992" s="2">
        <v>1901.9</v>
      </c>
      <c r="L1992" s="2">
        <v>1202.25</v>
      </c>
      <c r="M1992" s="2">
        <v>699.65</v>
      </c>
      <c r="N1992">
        <v>8</v>
      </c>
    </row>
    <row r="1993" spans="1:14" x14ac:dyDescent="0.3">
      <c r="A1993" s="1">
        <v>38281</v>
      </c>
      <c r="B1993">
        <v>10312</v>
      </c>
      <c r="C1993">
        <v>124</v>
      </c>
      <c r="D1993" t="s">
        <v>206</v>
      </c>
      <c r="E1993" t="s">
        <v>14</v>
      </c>
      <c r="F1993" t="s">
        <v>15</v>
      </c>
      <c r="G1993" t="s">
        <v>38</v>
      </c>
      <c r="H1993">
        <v>38</v>
      </c>
      <c r="I1993" s="2">
        <v>93.2</v>
      </c>
      <c r="J1993" s="2">
        <v>60.74</v>
      </c>
      <c r="K1993" s="2">
        <v>3541.6</v>
      </c>
      <c r="L1993" s="2">
        <v>2308.12</v>
      </c>
      <c r="M1993" s="2">
        <v>1233.48</v>
      </c>
      <c r="N1993">
        <v>8</v>
      </c>
    </row>
    <row r="1994" spans="1:14" x14ac:dyDescent="0.3">
      <c r="A1994" s="1">
        <v>38281</v>
      </c>
      <c r="B1994">
        <v>10312</v>
      </c>
      <c r="C1994">
        <v>124</v>
      </c>
      <c r="D1994" t="s">
        <v>206</v>
      </c>
      <c r="E1994" t="s">
        <v>14</v>
      </c>
      <c r="F1994" t="s">
        <v>15</v>
      </c>
      <c r="G1994" t="s">
        <v>39</v>
      </c>
      <c r="H1994">
        <v>33</v>
      </c>
      <c r="I1994" s="2">
        <v>84.33</v>
      </c>
      <c r="J1994" s="2">
        <v>57.54</v>
      </c>
      <c r="K1994" s="2">
        <v>2782.89</v>
      </c>
      <c r="L1994" s="2">
        <v>1898.82</v>
      </c>
      <c r="M1994" s="2">
        <v>884.07</v>
      </c>
      <c r="N1994">
        <v>8</v>
      </c>
    </row>
    <row r="1995" spans="1:14" x14ac:dyDescent="0.3">
      <c r="A1995" s="1">
        <v>38281</v>
      </c>
      <c r="B1995">
        <v>10312</v>
      </c>
      <c r="C1995">
        <v>124</v>
      </c>
      <c r="D1995" t="s">
        <v>206</v>
      </c>
      <c r="E1995" t="s">
        <v>14</v>
      </c>
      <c r="F1995" t="s">
        <v>15</v>
      </c>
      <c r="G1995" t="s">
        <v>41</v>
      </c>
      <c r="H1995">
        <v>39</v>
      </c>
      <c r="I1995" s="2">
        <v>44.27</v>
      </c>
      <c r="J1995" s="2">
        <v>23.14</v>
      </c>
      <c r="K1995" s="2">
        <v>1726.53</v>
      </c>
      <c r="L1995" s="2">
        <v>902.46</v>
      </c>
      <c r="M1995" s="2">
        <v>824.07</v>
      </c>
      <c r="N1995">
        <v>8</v>
      </c>
    </row>
    <row r="1996" spans="1:14" x14ac:dyDescent="0.3">
      <c r="A1996" s="1">
        <v>38281</v>
      </c>
      <c r="B1996">
        <v>10312</v>
      </c>
      <c r="C1996">
        <v>124</v>
      </c>
      <c r="D1996" t="s">
        <v>206</v>
      </c>
      <c r="E1996" t="s">
        <v>14</v>
      </c>
      <c r="F1996" t="s">
        <v>15</v>
      </c>
      <c r="G1996" t="s">
        <v>23</v>
      </c>
      <c r="H1996">
        <v>39</v>
      </c>
      <c r="I1996" s="2">
        <v>27.88</v>
      </c>
      <c r="J1996" s="2">
        <v>22.57</v>
      </c>
      <c r="K1996" s="2">
        <v>1087.32</v>
      </c>
      <c r="L1996" s="2">
        <v>880.23</v>
      </c>
      <c r="M1996" s="2">
        <v>207.09</v>
      </c>
      <c r="N1996">
        <v>8</v>
      </c>
    </row>
    <row r="1997" spans="1:14" x14ac:dyDescent="0.3">
      <c r="A1997" s="1">
        <v>38281</v>
      </c>
      <c r="B1997">
        <v>10312</v>
      </c>
      <c r="C1997">
        <v>124</v>
      </c>
      <c r="D1997" t="s">
        <v>206</v>
      </c>
      <c r="E1997" t="s">
        <v>14</v>
      </c>
      <c r="F1997" t="s">
        <v>15</v>
      </c>
      <c r="G1997" t="s">
        <v>24</v>
      </c>
      <c r="H1997">
        <v>23</v>
      </c>
      <c r="I1997" s="2">
        <v>43.46</v>
      </c>
      <c r="J1997" s="2">
        <v>20.61</v>
      </c>
      <c r="K1997" s="2">
        <v>999.58</v>
      </c>
      <c r="L1997" s="2">
        <v>474.03</v>
      </c>
      <c r="M1997" s="2">
        <v>525.54999999999995</v>
      </c>
      <c r="N1997">
        <v>8</v>
      </c>
    </row>
    <row r="1998" spans="1:14" x14ac:dyDescent="0.3">
      <c r="A1998" s="1">
        <v>38281</v>
      </c>
      <c r="B1998">
        <v>10312</v>
      </c>
      <c r="C1998">
        <v>124</v>
      </c>
      <c r="D1998" t="s">
        <v>206</v>
      </c>
      <c r="E1998" t="s">
        <v>14</v>
      </c>
      <c r="F1998" t="s">
        <v>15</v>
      </c>
      <c r="G1998" t="s">
        <v>19</v>
      </c>
      <c r="H1998">
        <v>31</v>
      </c>
      <c r="I1998" s="2">
        <v>40.21</v>
      </c>
      <c r="J1998" s="2">
        <v>21.75</v>
      </c>
      <c r="K1998" s="2">
        <v>1246.51</v>
      </c>
      <c r="L1998" s="2">
        <v>674.25</v>
      </c>
      <c r="M1998" s="2">
        <v>572.26</v>
      </c>
      <c r="N1998">
        <v>8</v>
      </c>
    </row>
    <row r="1999" spans="1:14" x14ac:dyDescent="0.3">
      <c r="A1999" s="1">
        <v>38281</v>
      </c>
      <c r="B1999">
        <v>10312</v>
      </c>
      <c r="C1999">
        <v>124</v>
      </c>
      <c r="D1999" t="s">
        <v>206</v>
      </c>
      <c r="E1999" t="s">
        <v>14</v>
      </c>
      <c r="F1999" t="s">
        <v>15</v>
      </c>
      <c r="G1999" t="s">
        <v>43</v>
      </c>
      <c r="H1999">
        <v>44</v>
      </c>
      <c r="I1999" s="2">
        <v>96.42</v>
      </c>
      <c r="J1999" s="2">
        <v>57.46</v>
      </c>
      <c r="K1999" s="2">
        <v>4242.4799999999996</v>
      </c>
      <c r="L1999" s="2">
        <v>2528.2399999999998</v>
      </c>
      <c r="M1999" s="2">
        <v>1714.24</v>
      </c>
      <c r="N1999">
        <v>8</v>
      </c>
    </row>
    <row r="2000" spans="1:14" x14ac:dyDescent="0.3">
      <c r="A2000" s="1">
        <v>38282</v>
      </c>
      <c r="B2000">
        <v>10313</v>
      </c>
      <c r="C2000">
        <v>202</v>
      </c>
      <c r="D2000" t="s">
        <v>183</v>
      </c>
      <c r="E2000" t="s">
        <v>172</v>
      </c>
      <c r="F2000" t="s">
        <v>29</v>
      </c>
      <c r="G2000" t="s">
        <v>31</v>
      </c>
      <c r="H2000">
        <v>40</v>
      </c>
      <c r="I2000" s="2">
        <v>141.83000000000001</v>
      </c>
      <c r="J2000" s="2">
        <v>103.42</v>
      </c>
      <c r="K2000" s="2">
        <v>5673.2</v>
      </c>
      <c r="L2000" s="2">
        <v>4136.8</v>
      </c>
      <c r="M2000" s="2">
        <v>1536.4</v>
      </c>
      <c r="N2000">
        <v>2</v>
      </c>
    </row>
    <row r="2001" spans="1:14" x14ac:dyDescent="0.3">
      <c r="A2001" s="1">
        <v>38282</v>
      </c>
      <c r="B2001">
        <v>10313</v>
      </c>
      <c r="C2001">
        <v>202</v>
      </c>
      <c r="D2001" t="s">
        <v>183</v>
      </c>
      <c r="E2001" t="s">
        <v>172</v>
      </c>
      <c r="F2001" t="s">
        <v>32</v>
      </c>
      <c r="G2001" t="s">
        <v>33</v>
      </c>
      <c r="H2001">
        <v>21</v>
      </c>
      <c r="I2001" s="2">
        <v>131.19999999999999</v>
      </c>
      <c r="J2001" s="2">
        <v>77.900000000000006</v>
      </c>
      <c r="K2001" s="2">
        <v>2755.2</v>
      </c>
      <c r="L2001" s="2">
        <v>1635.9</v>
      </c>
      <c r="M2001" s="2">
        <v>1119.3</v>
      </c>
      <c r="N2001">
        <v>2</v>
      </c>
    </row>
    <row r="2002" spans="1:14" x14ac:dyDescent="0.3">
      <c r="A2002" s="1">
        <v>38282</v>
      </c>
      <c r="B2002">
        <v>10313</v>
      </c>
      <c r="C2002">
        <v>202</v>
      </c>
      <c r="D2002" t="s">
        <v>183</v>
      </c>
      <c r="E2002" t="s">
        <v>172</v>
      </c>
      <c r="F2002" t="s">
        <v>32</v>
      </c>
      <c r="G2002" t="s">
        <v>52</v>
      </c>
      <c r="H2002">
        <v>29</v>
      </c>
      <c r="I2002" s="2">
        <v>109.23</v>
      </c>
      <c r="J2002" s="2">
        <v>74.86</v>
      </c>
      <c r="K2002" s="2">
        <v>3167.67</v>
      </c>
      <c r="L2002" s="2">
        <v>2170.94</v>
      </c>
      <c r="M2002" s="2">
        <v>996.73</v>
      </c>
      <c r="N2002">
        <v>2</v>
      </c>
    </row>
    <row r="2003" spans="1:14" x14ac:dyDescent="0.3">
      <c r="A2003" s="1">
        <v>38282</v>
      </c>
      <c r="B2003">
        <v>10313</v>
      </c>
      <c r="C2003">
        <v>202</v>
      </c>
      <c r="D2003" t="s">
        <v>183</v>
      </c>
      <c r="E2003" t="s">
        <v>172</v>
      </c>
      <c r="F2003" t="s">
        <v>32</v>
      </c>
      <c r="G2003" t="s">
        <v>35</v>
      </c>
      <c r="H2003">
        <v>34</v>
      </c>
      <c r="I2003" s="2">
        <v>52.87</v>
      </c>
      <c r="J2003" s="2">
        <v>24.92</v>
      </c>
      <c r="K2003" s="2">
        <v>1797.58</v>
      </c>
      <c r="L2003" s="2">
        <v>847.28</v>
      </c>
      <c r="M2003" s="2">
        <v>950.3</v>
      </c>
      <c r="N2003">
        <v>2</v>
      </c>
    </row>
    <row r="2004" spans="1:14" x14ac:dyDescent="0.3">
      <c r="A2004" s="1">
        <v>38282</v>
      </c>
      <c r="B2004">
        <v>10313</v>
      </c>
      <c r="C2004">
        <v>202</v>
      </c>
      <c r="D2004" t="s">
        <v>183</v>
      </c>
      <c r="E2004" t="s">
        <v>172</v>
      </c>
      <c r="F2004" t="s">
        <v>29</v>
      </c>
      <c r="G2004" t="s">
        <v>53</v>
      </c>
      <c r="H2004">
        <v>25</v>
      </c>
      <c r="I2004" s="2">
        <v>143.94</v>
      </c>
      <c r="J2004" s="2">
        <v>77.900000000000006</v>
      </c>
      <c r="K2004" s="2">
        <v>3598.5</v>
      </c>
      <c r="L2004" s="2">
        <v>1947.5</v>
      </c>
      <c r="M2004" s="2">
        <v>1651</v>
      </c>
      <c r="N2004">
        <v>2</v>
      </c>
    </row>
    <row r="2005" spans="1:14" x14ac:dyDescent="0.3">
      <c r="A2005" s="1">
        <v>38282</v>
      </c>
      <c r="B2005">
        <v>10313</v>
      </c>
      <c r="C2005">
        <v>202</v>
      </c>
      <c r="D2005" t="s">
        <v>183</v>
      </c>
      <c r="E2005" t="s">
        <v>172</v>
      </c>
      <c r="F2005" t="s">
        <v>32</v>
      </c>
      <c r="G2005" t="s">
        <v>40</v>
      </c>
      <c r="H2005">
        <v>28</v>
      </c>
      <c r="I2005" s="2">
        <v>110.18</v>
      </c>
      <c r="J2005" s="2">
        <v>84.76</v>
      </c>
      <c r="K2005" s="2">
        <v>3085.04</v>
      </c>
      <c r="L2005" s="2">
        <v>2373.2800000000002</v>
      </c>
      <c r="M2005" s="2">
        <v>711.76</v>
      </c>
      <c r="N2005">
        <v>2</v>
      </c>
    </row>
    <row r="2006" spans="1:14" x14ac:dyDescent="0.3">
      <c r="A2006" s="1">
        <v>38282</v>
      </c>
      <c r="B2006">
        <v>10313</v>
      </c>
      <c r="C2006">
        <v>202</v>
      </c>
      <c r="D2006" t="s">
        <v>183</v>
      </c>
      <c r="E2006" t="s">
        <v>172</v>
      </c>
      <c r="F2006" t="s">
        <v>32</v>
      </c>
      <c r="G2006" t="s">
        <v>42</v>
      </c>
      <c r="H2006">
        <v>42</v>
      </c>
      <c r="I2006" s="2">
        <v>102.23</v>
      </c>
      <c r="J2006" s="2">
        <v>61.34</v>
      </c>
      <c r="K2006" s="2">
        <v>4293.66</v>
      </c>
      <c r="L2006" s="2">
        <v>2576.2800000000002</v>
      </c>
      <c r="M2006" s="2">
        <v>1717.38</v>
      </c>
      <c r="N2006">
        <v>2</v>
      </c>
    </row>
    <row r="2007" spans="1:14" x14ac:dyDescent="0.3">
      <c r="A2007" s="1">
        <v>38282</v>
      </c>
      <c r="B2007">
        <v>10313</v>
      </c>
      <c r="C2007">
        <v>202</v>
      </c>
      <c r="D2007" t="s">
        <v>183</v>
      </c>
      <c r="E2007" t="s">
        <v>172</v>
      </c>
      <c r="F2007" t="s">
        <v>32</v>
      </c>
      <c r="G2007" t="s">
        <v>44</v>
      </c>
      <c r="H2007">
        <v>27</v>
      </c>
      <c r="I2007" s="2">
        <v>96.31</v>
      </c>
      <c r="J2007" s="2">
        <v>53.93</v>
      </c>
      <c r="K2007" s="2">
        <v>2600.37</v>
      </c>
      <c r="L2007" s="2">
        <v>1456.11</v>
      </c>
      <c r="M2007" s="2">
        <v>1144.26</v>
      </c>
      <c r="N2007">
        <v>2</v>
      </c>
    </row>
    <row r="2008" spans="1:14" x14ac:dyDescent="0.3">
      <c r="A2008" s="1">
        <v>38282</v>
      </c>
      <c r="B2008">
        <v>10313</v>
      </c>
      <c r="C2008">
        <v>202</v>
      </c>
      <c r="D2008" t="s">
        <v>183</v>
      </c>
      <c r="E2008" t="s">
        <v>172</v>
      </c>
      <c r="F2008" t="s">
        <v>32</v>
      </c>
      <c r="G2008" t="s">
        <v>58</v>
      </c>
      <c r="H2008">
        <v>38</v>
      </c>
      <c r="I2008" s="2">
        <v>48.7</v>
      </c>
      <c r="J2008" s="2">
        <v>25.98</v>
      </c>
      <c r="K2008" s="2">
        <v>1850.6</v>
      </c>
      <c r="L2008" s="2">
        <v>987.24</v>
      </c>
      <c r="M2008" s="2">
        <v>863.36</v>
      </c>
      <c r="N2008">
        <v>2</v>
      </c>
    </row>
    <row r="2009" spans="1:14" x14ac:dyDescent="0.3">
      <c r="A2009" s="1">
        <v>38282</v>
      </c>
      <c r="B2009">
        <v>10313</v>
      </c>
      <c r="C2009">
        <v>202</v>
      </c>
      <c r="D2009" t="s">
        <v>183</v>
      </c>
      <c r="E2009" t="s">
        <v>172</v>
      </c>
      <c r="F2009" t="s">
        <v>32</v>
      </c>
      <c r="G2009" t="s">
        <v>45</v>
      </c>
      <c r="H2009">
        <v>34</v>
      </c>
      <c r="I2009" s="2">
        <v>55.59</v>
      </c>
      <c r="J2009" s="2">
        <v>33.61</v>
      </c>
      <c r="K2009" s="2">
        <v>1890.06</v>
      </c>
      <c r="L2009" s="2">
        <v>1142.74</v>
      </c>
      <c r="M2009" s="2">
        <v>747.32</v>
      </c>
      <c r="N2009">
        <v>2</v>
      </c>
    </row>
    <row r="2010" spans="1:14" x14ac:dyDescent="0.3">
      <c r="A2010" s="1">
        <v>38282</v>
      </c>
      <c r="B2010">
        <v>10313</v>
      </c>
      <c r="C2010">
        <v>202</v>
      </c>
      <c r="D2010" t="s">
        <v>183</v>
      </c>
      <c r="E2010" t="s">
        <v>172</v>
      </c>
      <c r="F2010" t="s">
        <v>29</v>
      </c>
      <c r="G2010" t="s">
        <v>46</v>
      </c>
      <c r="H2010">
        <v>30</v>
      </c>
      <c r="I2010" s="2">
        <v>96.09</v>
      </c>
      <c r="J2010" s="2">
        <v>46.53</v>
      </c>
      <c r="K2010" s="2">
        <v>2882.7</v>
      </c>
      <c r="L2010" s="2">
        <v>1395.9</v>
      </c>
      <c r="M2010" s="2">
        <v>1486.8</v>
      </c>
      <c r="N2010">
        <v>2</v>
      </c>
    </row>
    <row r="2011" spans="1:14" x14ac:dyDescent="0.3">
      <c r="A2011" s="1">
        <v>38282</v>
      </c>
      <c r="B2011">
        <v>10314</v>
      </c>
      <c r="C2011">
        <v>227</v>
      </c>
      <c r="D2011" t="s">
        <v>168</v>
      </c>
      <c r="E2011" t="s">
        <v>64</v>
      </c>
      <c r="F2011" t="s">
        <v>29</v>
      </c>
      <c r="G2011" t="s">
        <v>66</v>
      </c>
      <c r="H2011">
        <v>38</v>
      </c>
      <c r="I2011" s="2">
        <v>176.63</v>
      </c>
      <c r="J2011" s="2">
        <v>95.59</v>
      </c>
      <c r="K2011" s="2">
        <v>6711.94</v>
      </c>
      <c r="L2011" s="2">
        <v>3632.42</v>
      </c>
      <c r="M2011" s="2">
        <v>3079.52</v>
      </c>
      <c r="N2011">
        <v>2</v>
      </c>
    </row>
    <row r="2012" spans="1:14" x14ac:dyDescent="0.3">
      <c r="A2012" s="1">
        <v>38282</v>
      </c>
      <c r="B2012">
        <v>10314</v>
      </c>
      <c r="C2012">
        <v>227</v>
      </c>
      <c r="D2012" t="s">
        <v>168</v>
      </c>
      <c r="E2012" t="s">
        <v>64</v>
      </c>
      <c r="F2012" t="s">
        <v>29</v>
      </c>
      <c r="G2012" t="s">
        <v>49</v>
      </c>
      <c r="H2012">
        <v>46</v>
      </c>
      <c r="I2012" s="2">
        <v>125.4</v>
      </c>
      <c r="J2012" s="2">
        <v>89.14</v>
      </c>
      <c r="K2012" s="2">
        <v>5768.4</v>
      </c>
      <c r="L2012" s="2">
        <v>4100.4399999999996</v>
      </c>
      <c r="M2012" s="2">
        <v>1667.96</v>
      </c>
      <c r="N2012">
        <v>2</v>
      </c>
    </row>
    <row r="2013" spans="1:14" x14ac:dyDescent="0.3">
      <c r="A2013" s="1">
        <v>38282</v>
      </c>
      <c r="B2013">
        <v>10314</v>
      </c>
      <c r="C2013">
        <v>227</v>
      </c>
      <c r="D2013" t="s">
        <v>168</v>
      </c>
      <c r="E2013" t="s">
        <v>64</v>
      </c>
      <c r="F2013" t="s">
        <v>29</v>
      </c>
      <c r="G2013" t="s">
        <v>67</v>
      </c>
      <c r="H2013">
        <v>36</v>
      </c>
      <c r="I2013" s="2">
        <v>169.56</v>
      </c>
      <c r="J2013" s="2">
        <v>83.05</v>
      </c>
      <c r="K2013" s="2">
        <v>6104.16</v>
      </c>
      <c r="L2013" s="2">
        <v>2989.8</v>
      </c>
      <c r="M2013" s="2">
        <v>3114.36</v>
      </c>
      <c r="N2013">
        <v>2</v>
      </c>
    </row>
    <row r="2014" spans="1:14" x14ac:dyDescent="0.3">
      <c r="A2014" s="1">
        <v>38282</v>
      </c>
      <c r="B2014">
        <v>10314</v>
      </c>
      <c r="C2014">
        <v>227</v>
      </c>
      <c r="D2014" t="s">
        <v>168</v>
      </c>
      <c r="E2014" t="s">
        <v>64</v>
      </c>
      <c r="F2014" t="s">
        <v>32</v>
      </c>
      <c r="G2014" t="s">
        <v>50</v>
      </c>
      <c r="H2014">
        <v>45</v>
      </c>
      <c r="I2014" s="2">
        <v>95.99</v>
      </c>
      <c r="J2014" s="2">
        <v>55.7</v>
      </c>
      <c r="K2014" s="2">
        <v>4319.55</v>
      </c>
      <c r="L2014" s="2">
        <v>2506.5</v>
      </c>
      <c r="M2014" s="2">
        <v>1813.05</v>
      </c>
      <c r="N2014">
        <v>2</v>
      </c>
    </row>
    <row r="2015" spans="1:14" x14ac:dyDescent="0.3">
      <c r="A2015" s="1">
        <v>38282</v>
      </c>
      <c r="B2015">
        <v>10314</v>
      </c>
      <c r="C2015">
        <v>227</v>
      </c>
      <c r="D2015" t="s">
        <v>168</v>
      </c>
      <c r="E2015" t="s">
        <v>64</v>
      </c>
      <c r="F2015" t="s">
        <v>29</v>
      </c>
      <c r="G2015" t="s">
        <v>51</v>
      </c>
      <c r="H2015">
        <v>42</v>
      </c>
      <c r="I2015" s="2">
        <v>135.9</v>
      </c>
      <c r="J2015" s="2">
        <v>101.51</v>
      </c>
      <c r="K2015" s="2">
        <v>5707.8</v>
      </c>
      <c r="L2015" s="2">
        <v>4263.42</v>
      </c>
      <c r="M2015" s="2">
        <v>1444.38</v>
      </c>
      <c r="N2015">
        <v>2</v>
      </c>
    </row>
    <row r="2016" spans="1:14" x14ac:dyDescent="0.3">
      <c r="A2016" s="1">
        <v>38282</v>
      </c>
      <c r="B2016">
        <v>10314</v>
      </c>
      <c r="C2016">
        <v>227</v>
      </c>
      <c r="D2016" t="s">
        <v>168</v>
      </c>
      <c r="E2016" t="s">
        <v>64</v>
      </c>
      <c r="F2016" t="s">
        <v>15</v>
      </c>
      <c r="G2016" t="s">
        <v>68</v>
      </c>
      <c r="H2016">
        <v>20</v>
      </c>
      <c r="I2016" s="2">
        <v>129.76</v>
      </c>
      <c r="J2016" s="2">
        <v>68.3</v>
      </c>
      <c r="K2016" s="2">
        <v>2595.1999999999998</v>
      </c>
      <c r="L2016" s="2">
        <v>1366</v>
      </c>
      <c r="M2016" s="2">
        <v>1229.2</v>
      </c>
      <c r="N2016">
        <v>2</v>
      </c>
    </row>
    <row r="2017" spans="1:14" x14ac:dyDescent="0.3">
      <c r="A2017" s="1">
        <v>38282</v>
      </c>
      <c r="B2017">
        <v>10314</v>
      </c>
      <c r="C2017">
        <v>227</v>
      </c>
      <c r="D2017" t="s">
        <v>168</v>
      </c>
      <c r="E2017" t="s">
        <v>64</v>
      </c>
      <c r="F2017" t="s">
        <v>59</v>
      </c>
      <c r="G2017" t="s">
        <v>69</v>
      </c>
      <c r="H2017">
        <v>23</v>
      </c>
      <c r="I2017" s="2">
        <v>84.71</v>
      </c>
      <c r="J2017" s="2">
        <v>67.56</v>
      </c>
      <c r="K2017" s="2">
        <v>1948.33</v>
      </c>
      <c r="L2017" s="2">
        <v>1553.88</v>
      </c>
      <c r="M2017" s="2">
        <v>394.45</v>
      </c>
      <c r="N2017">
        <v>2</v>
      </c>
    </row>
    <row r="2018" spans="1:14" x14ac:dyDescent="0.3">
      <c r="A2018" s="1">
        <v>38282</v>
      </c>
      <c r="B2018">
        <v>10314</v>
      </c>
      <c r="C2018">
        <v>227</v>
      </c>
      <c r="D2018" t="s">
        <v>168</v>
      </c>
      <c r="E2018" t="s">
        <v>64</v>
      </c>
      <c r="F2018" t="s">
        <v>29</v>
      </c>
      <c r="G2018" t="s">
        <v>54</v>
      </c>
      <c r="H2018">
        <v>29</v>
      </c>
      <c r="I2018" s="2">
        <v>129.26</v>
      </c>
      <c r="J2018" s="2">
        <v>91.92</v>
      </c>
      <c r="K2018" s="2">
        <v>3748.54</v>
      </c>
      <c r="L2018" s="2">
        <v>2665.68</v>
      </c>
      <c r="M2018" s="2">
        <v>1082.8599999999999</v>
      </c>
      <c r="N2018">
        <v>2</v>
      </c>
    </row>
    <row r="2019" spans="1:14" x14ac:dyDescent="0.3">
      <c r="A2019" s="1">
        <v>38282</v>
      </c>
      <c r="B2019">
        <v>10314</v>
      </c>
      <c r="C2019">
        <v>227</v>
      </c>
      <c r="D2019" t="s">
        <v>168</v>
      </c>
      <c r="E2019" t="s">
        <v>64</v>
      </c>
      <c r="F2019" t="s">
        <v>29</v>
      </c>
      <c r="G2019" t="s">
        <v>55</v>
      </c>
      <c r="H2019">
        <v>44</v>
      </c>
      <c r="I2019" s="2">
        <v>51.44</v>
      </c>
      <c r="J2019" s="2">
        <v>32.369999999999997</v>
      </c>
      <c r="K2019" s="2">
        <v>2263.36</v>
      </c>
      <c r="L2019" s="2">
        <v>1424.28</v>
      </c>
      <c r="M2019" s="2">
        <v>839.08</v>
      </c>
      <c r="N2019">
        <v>2</v>
      </c>
    </row>
    <row r="2020" spans="1:14" x14ac:dyDescent="0.3">
      <c r="A2020" s="1">
        <v>38282</v>
      </c>
      <c r="B2020">
        <v>10314</v>
      </c>
      <c r="C2020">
        <v>227</v>
      </c>
      <c r="D2020" t="s">
        <v>168</v>
      </c>
      <c r="E2020" t="s">
        <v>64</v>
      </c>
      <c r="F2020" t="s">
        <v>29</v>
      </c>
      <c r="G2020" t="s">
        <v>56</v>
      </c>
      <c r="H2020">
        <v>39</v>
      </c>
      <c r="I2020" s="2">
        <v>31.82</v>
      </c>
      <c r="J2020" s="2">
        <v>15.91</v>
      </c>
      <c r="K2020" s="2">
        <v>1240.98</v>
      </c>
      <c r="L2020" s="2">
        <v>620.49</v>
      </c>
      <c r="M2020" s="2">
        <v>620.49</v>
      </c>
      <c r="N2020">
        <v>2</v>
      </c>
    </row>
    <row r="2021" spans="1:14" x14ac:dyDescent="0.3">
      <c r="A2021" s="1">
        <v>38282</v>
      </c>
      <c r="B2021">
        <v>10314</v>
      </c>
      <c r="C2021">
        <v>227</v>
      </c>
      <c r="D2021" t="s">
        <v>168</v>
      </c>
      <c r="E2021" t="s">
        <v>64</v>
      </c>
      <c r="F2021" t="s">
        <v>29</v>
      </c>
      <c r="G2021" t="s">
        <v>57</v>
      </c>
      <c r="H2021">
        <v>38</v>
      </c>
      <c r="I2021" s="2">
        <v>111.18</v>
      </c>
      <c r="J2021" s="2">
        <v>69.78</v>
      </c>
      <c r="K2021" s="2">
        <v>4224.84</v>
      </c>
      <c r="L2021" s="2">
        <v>2651.64</v>
      </c>
      <c r="M2021" s="2">
        <v>1573.2</v>
      </c>
      <c r="N2021">
        <v>2</v>
      </c>
    </row>
    <row r="2022" spans="1:14" x14ac:dyDescent="0.3">
      <c r="A2022" s="1">
        <v>38282</v>
      </c>
      <c r="B2022">
        <v>10314</v>
      </c>
      <c r="C2022">
        <v>227</v>
      </c>
      <c r="D2022" t="s">
        <v>168</v>
      </c>
      <c r="E2022" t="s">
        <v>64</v>
      </c>
      <c r="F2022" t="s">
        <v>59</v>
      </c>
      <c r="G2022" t="s">
        <v>60</v>
      </c>
      <c r="H2022">
        <v>35</v>
      </c>
      <c r="I2022" s="2">
        <v>58.41</v>
      </c>
      <c r="J2022" s="2">
        <v>26.72</v>
      </c>
      <c r="K2022" s="2">
        <v>2044.35</v>
      </c>
      <c r="L2022" s="2">
        <v>935.2</v>
      </c>
      <c r="M2022" s="2">
        <v>1109.1500000000001</v>
      </c>
      <c r="N2022">
        <v>2</v>
      </c>
    </row>
    <row r="2023" spans="1:14" x14ac:dyDescent="0.3">
      <c r="A2023" s="1">
        <v>38282</v>
      </c>
      <c r="B2023">
        <v>10314</v>
      </c>
      <c r="C2023">
        <v>227</v>
      </c>
      <c r="D2023" t="s">
        <v>168</v>
      </c>
      <c r="E2023" t="s">
        <v>64</v>
      </c>
      <c r="F2023" t="s">
        <v>32</v>
      </c>
      <c r="G2023" t="s">
        <v>61</v>
      </c>
      <c r="H2023">
        <v>28</v>
      </c>
      <c r="I2023" s="2">
        <v>115.75</v>
      </c>
      <c r="J2023" s="2">
        <v>68.290000000000006</v>
      </c>
      <c r="K2023" s="2">
        <v>3241</v>
      </c>
      <c r="L2023" s="2">
        <v>1912.12</v>
      </c>
      <c r="M2023" s="2">
        <v>1328.88</v>
      </c>
      <c r="N2023">
        <v>2</v>
      </c>
    </row>
    <row r="2024" spans="1:14" x14ac:dyDescent="0.3">
      <c r="A2024" s="1">
        <v>38282</v>
      </c>
      <c r="B2024">
        <v>10314</v>
      </c>
      <c r="C2024">
        <v>227</v>
      </c>
      <c r="D2024" t="s">
        <v>168</v>
      </c>
      <c r="E2024" t="s">
        <v>64</v>
      </c>
      <c r="F2024" t="s">
        <v>59</v>
      </c>
      <c r="G2024" t="s">
        <v>62</v>
      </c>
      <c r="H2024">
        <v>38</v>
      </c>
      <c r="I2024" s="2">
        <v>50.38</v>
      </c>
      <c r="J2024" s="2">
        <v>37.49</v>
      </c>
      <c r="K2024" s="2">
        <v>1914.44</v>
      </c>
      <c r="L2024" s="2">
        <v>1424.62</v>
      </c>
      <c r="M2024" s="2">
        <v>489.82</v>
      </c>
      <c r="N2024">
        <v>2</v>
      </c>
    </row>
    <row r="2025" spans="1:14" x14ac:dyDescent="0.3">
      <c r="A2025" s="1">
        <v>38282</v>
      </c>
      <c r="B2025">
        <v>10314</v>
      </c>
      <c r="C2025">
        <v>227</v>
      </c>
      <c r="D2025" t="s">
        <v>168</v>
      </c>
      <c r="E2025" t="s">
        <v>64</v>
      </c>
      <c r="F2025" t="s">
        <v>71</v>
      </c>
      <c r="G2025" t="s">
        <v>76</v>
      </c>
      <c r="H2025">
        <v>23</v>
      </c>
      <c r="I2025" s="2">
        <v>83.15</v>
      </c>
      <c r="J2025" s="2">
        <v>43.3</v>
      </c>
      <c r="K2025" s="2">
        <v>1912.45</v>
      </c>
      <c r="L2025" s="2">
        <v>995.9</v>
      </c>
      <c r="M2025" s="2">
        <v>916.55</v>
      </c>
      <c r="N2025">
        <v>2</v>
      </c>
    </row>
    <row r="2026" spans="1:14" x14ac:dyDescent="0.3">
      <c r="A2026" s="1">
        <v>38289</v>
      </c>
      <c r="B2026">
        <v>10315</v>
      </c>
      <c r="C2026">
        <v>119</v>
      </c>
      <c r="D2026" t="s">
        <v>196</v>
      </c>
      <c r="E2026" t="s">
        <v>144</v>
      </c>
      <c r="F2026" t="s">
        <v>15</v>
      </c>
      <c r="G2026" t="s">
        <v>70</v>
      </c>
      <c r="H2026">
        <v>36</v>
      </c>
      <c r="I2026" s="2">
        <v>78.12</v>
      </c>
      <c r="J2026" s="2">
        <v>52.66</v>
      </c>
      <c r="K2026" s="2">
        <v>2812.32</v>
      </c>
      <c r="L2026" s="2">
        <v>1895.76</v>
      </c>
      <c r="M2026" s="2">
        <v>916.56</v>
      </c>
      <c r="N2026">
        <v>2</v>
      </c>
    </row>
    <row r="2027" spans="1:14" x14ac:dyDescent="0.3">
      <c r="A2027" s="1">
        <v>38289</v>
      </c>
      <c r="B2027">
        <v>10315</v>
      </c>
      <c r="C2027">
        <v>119</v>
      </c>
      <c r="D2027" t="s">
        <v>196</v>
      </c>
      <c r="E2027" t="s">
        <v>144</v>
      </c>
      <c r="F2027" t="s">
        <v>71</v>
      </c>
      <c r="G2027" t="s">
        <v>72</v>
      </c>
      <c r="H2027">
        <v>35</v>
      </c>
      <c r="I2027" s="2">
        <v>111.83</v>
      </c>
      <c r="J2027" s="2">
        <v>82.34</v>
      </c>
      <c r="K2027" s="2">
        <v>3914.05</v>
      </c>
      <c r="L2027" s="2">
        <v>2881.9</v>
      </c>
      <c r="M2027" s="2">
        <v>1032.1500000000001</v>
      </c>
      <c r="N2027">
        <v>2</v>
      </c>
    </row>
    <row r="2028" spans="1:14" x14ac:dyDescent="0.3">
      <c r="A2028" s="1">
        <v>38289</v>
      </c>
      <c r="B2028">
        <v>10315</v>
      </c>
      <c r="C2028">
        <v>119</v>
      </c>
      <c r="D2028" t="s">
        <v>196</v>
      </c>
      <c r="E2028" t="s">
        <v>144</v>
      </c>
      <c r="F2028" t="s">
        <v>15</v>
      </c>
      <c r="G2028" t="s">
        <v>73</v>
      </c>
      <c r="H2028">
        <v>24</v>
      </c>
      <c r="I2028" s="2">
        <v>78.77</v>
      </c>
      <c r="J2028" s="2">
        <v>46.91</v>
      </c>
      <c r="K2028" s="2">
        <v>1890.48</v>
      </c>
      <c r="L2028" s="2">
        <v>1125.8399999999999</v>
      </c>
      <c r="M2028" s="2">
        <v>764.64</v>
      </c>
      <c r="N2028">
        <v>2</v>
      </c>
    </row>
    <row r="2029" spans="1:14" x14ac:dyDescent="0.3">
      <c r="A2029" s="1">
        <v>38289</v>
      </c>
      <c r="B2029">
        <v>10315</v>
      </c>
      <c r="C2029">
        <v>119</v>
      </c>
      <c r="D2029" t="s">
        <v>196</v>
      </c>
      <c r="E2029" t="s">
        <v>144</v>
      </c>
      <c r="F2029" t="s">
        <v>71</v>
      </c>
      <c r="G2029" t="s">
        <v>75</v>
      </c>
      <c r="H2029">
        <v>41</v>
      </c>
      <c r="I2029" s="2">
        <v>60.67</v>
      </c>
      <c r="J2029" s="2">
        <v>34</v>
      </c>
      <c r="K2029" s="2">
        <v>2487.4699999999998</v>
      </c>
      <c r="L2029" s="2">
        <v>1394</v>
      </c>
      <c r="M2029" s="2">
        <v>1093.47</v>
      </c>
      <c r="N2029">
        <v>2</v>
      </c>
    </row>
    <row r="2030" spans="1:14" x14ac:dyDescent="0.3">
      <c r="A2030" s="1">
        <v>38289</v>
      </c>
      <c r="B2030">
        <v>10315</v>
      </c>
      <c r="C2030">
        <v>119</v>
      </c>
      <c r="D2030" t="s">
        <v>196</v>
      </c>
      <c r="E2030" t="s">
        <v>144</v>
      </c>
      <c r="F2030" t="s">
        <v>71</v>
      </c>
      <c r="G2030" t="s">
        <v>78</v>
      </c>
      <c r="H2030">
        <v>31</v>
      </c>
      <c r="I2030" s="2">
        <v>99.17</v>
      </c>
      <c r="J2030" s="2">
        <v>51.09</v>
      </c>
      <c r="K2030" s="2">
        <v>3074.27</v>
      </c>
      <c r="L2030" s="2">
        <v>1583.79</v>
      </c>
      <c r="M2030" s="2">
        <v>1490.48</v>
      </c>
      <c r="N2030">
        <v>2</v>
      </c>
    </row>
    <row r="2031" spans="1:14" x14ac:dyDescent="0.3">
      <c r="A2031" s="1">
        <v>38289</v>
      </c>
      <c r="B2031">
        <v>10315</v>
      </c>
      <c r="C2031">
        <v>119</v>
      </c>
      <c r="D2031" t="s">
        <v>196</v>
      </c>
      <c r="E2031" t="s">
        <v>144</v>
      </c>
      <c r="F2031" t="s">
        <v>71</v>
      </c>
      <c r="G2031" t="s">
        <v>79</v>
      </c>
      <c r="H2031">
        <v>37</v>
      </c>
      <c r="I2031" s="2">
        <v>88.39</v>
      </c>
      <c r="J2031" s="2">
        <v>53.63</v>
      </c>
      <c r="K2031" s="2">
        <v>3270.43</v>
      </c>
      <c r="L2031" s="2">
        <v>1984.31</v>
      </c>
      <c r="M2031" s="2">
        <v>1286.1199999999999</v>
      </c>
      <c r="N2031">
        <v>2</v>
      </c>
    </row>
    <row r="2032" spans="1:14" x14ac:dyDescent="0.3">
      <c r="A2032" s="1">
        <v>38289</v>
      </c>
      <c r="B2032">
        <v>10315</v>
      </c>
      <c r="C2032">
        <v>119</v>
      </c>
      <c r="D2032" t="s">
        <v>196</v>
      </c>
      <c r="E2032" t="s">
        <v>144</v>
      </c>
      <c r="F2032" t="s">
        <v>71</v>
      </c>
      <c r="G2032" t="s">
        <v>80</v>
      </c>
      <c r="H2032">
        <v>40</v>
      </c>
      <c r="I2032" s="2">
        <v>51.32</v>
      </c>
      <c r="J2032" s="2">
        <v>33.299999999999997</v>
      </c>
      <c r="K2032" s="2">
        <v>2052.8000000000002</v>
      </c>
      <c r="L2032" s="2">
        <v>1332</v>
      </c>
      <c r="M2032" s="2">
        <v>720.8</v>
      </c>
      <c r="N2032">
        <v>2</v>
      </c>
    </row>
    <row r="2033" spans="1:14" x14ac:dyDescent="0.3">
      <c r="A2033" s="1">
        <v>38292</v>
      </c>
      <c r="B2033">
        <v>10316</v>
      </c>
      <c r="C2033">
        <v>240</v>
      </c>
      <c r="D2033" t="s">
        <v>240</v>
      </c>
      <c r="E2033" t="s">
        <v>133</v>
      </c>
      <c r="F2033" t="s">
        <v>29</v>
      </c>
      <c r="G2033" t="s">
        <v>65</v>
      </c>
      <c r="H2033">
        <v>33</v>
      </c>
      <c r="I2033" s="2">
        <v>126.48</v>
      </c>
      <c r="J2033" s="2">
        <v>85.68</v>
      </c>
      <c r="K2033" s="2">
        <v>4173.84</v>
      </c>
      <c r="L2033" s="2">
        <v>2827.44</v>
      </c>
      <c r="M2033" s="2">
        <v>1346.4</v>
      </c>
      <c r="N2033">
        <v>2</v>
      </c>
    </row>
    <row r="2034" spans="1:14" x14ac:dyDescent="0.3">
      <c r="A2034" s="1">
        <v>38292</v>
      </c>
      <c r="B2034">
        <v>10316</v>
      </c>
      <c r="C2034">
        <v>240</v>
      </c>
      <c r="D2034" t="s">
        <v>240</v>
      </c>
      <c r="E2034" t="s">
        <v>133</v>
      </c>
      <c r="F2034" t="s">
        <v>83</v>
      </c>
      <c r="G2034" t="s">
        <v>84</v>
      </c>
      <c r="H2034">
        <v>27</v>
      </c>
      <c r="I2034" s="2">
        <v>140.34</v>
      </c>
      <c r="J2034" s="2">
        <v>77.27</v>
      </c>
      <c r="K2034" s="2">
        <v>3789.18</v>
      </c>
      <c r="L2034" s="2">
        <v>2086.29</v>
      </c>
      <c r="M2034" s="2">
        <v>1702.89</v>
      </c>
      <c r="N2034">
        <v>2</v>
      </c>
    </row>
    <row r="2035" spans="1:14" x14ac:dyDescent="0.3">
      <c r="A2035" s="1">
        <v>38292</v>
      </c>
      <c r="B2035">
        <v>10316</v>
      </c>
      <c r="C2035">
        <v>240</v>
      </c>
      <c r="D2035" t="s">
        <v>240</v>
      </c>
      <c r="E2035" t="s">
        <v>133</v>
      </c>
      <c r="F2035" t="s">
        <v>71</v>
      </c>
      <c r="G2035" t="s">
        <v>86</v>
      </c>
      <c r="H2035">
        <v>21</v>
      </c>
      <c r="I2035" s="2">
        <v>72.260000000000005</v>
      </c>
      <c r="J2035" s="2">
        <v>51.61</v>
      </c>
      <c r="K2035" s="2">
        <v>1517.46</v>
      </c>
      <c r="L2035" s="2">
        <v>1083.81</v>
      </c>
      <c r="M2035" s="2">
        <v>433.65</v>
      </c>
      <c r="N2035">
        <v>2</v>
      </c>
    </row>
    <row r="2036" spans="1:14" x14ac:dyDescent="0.3">
      <c r="A2036" s="1">
        <v>38292</v>
      </c>
      <c r="B2036">
        <v>10316</v>
      </c>
      <c r="C2036">
        <v>240</v>
      </c>
      <c r="D2036" t="s">
        <v>240</v>
      </c>
      <c r="E2036" t="s">
        <v>133</v>
      </c>
      <c r="F2036" t="s">
        <v>15</v>
      </c>
      <c r="G2036" t="s">
        <v>87</v>
      </c>
      <c r="H2036">
        <v>47</v>
      </c>
      <c r="I2036" s="2">
        <v>89.99</v>
      </c>
      <c r="J2036" s="2">
        <v>64.58</v>
      </c>
      <c r="K2036" s="2">
        <v>4229.53</v>
      </c>
      <c r="L2036" s="2">
        <v>3035.26</v>
      </c>
      <c r="M2036" s="2">
        <v>1194.27</v>
      </c>
      <c r="N2036">
        <v>2</v>
      </c>
    </row>
    <row r="2037" spans="1:14" x14ac:dyDescent="0.3">
      <c r="A2037" s="1">
        <v>38292</v>
      </c>
      <c r="B2037">
        <v>10316</v>
      </c>
      <c r="C2037">
        <v>240</v>
      </c>
      <c r="D2037" t="s">
        <v>240</v>
      </c>
      <c r="E2037" t="s">
        <v>133</v>
      </c>
      <c r="F2037" t="s">
        <v>83</v>
      </c>
      <c r="G2037" t="s">
        <v>88</v>
      </c>
      <c r="H2037">
        <v>25</v>
      </c>
      <c r="I2037" s="2">
        <v>93.01</v>
      </c>
      <c r="J2037" s="2">
        <v>66.739999999999995</v>
      </c>
      <c r="K2037" s="2">
        <v>2325.25</v>
      </c>
      <c r="L2037" s="2">
        <v>1668.5</v>
      </c>
      <c r="M2037" s="2">
        <v>656.75</v>
      </c>
      <c r="N2037">
        <v>2</v>
      </c>
    </row>
    <row r="2038" spans="1:14" x14ac:dyDescent="0.3">
      <c r="A2038" s="1">
        <v>38292</v>
      </c>
      <c r="B2038">
        <v>10316</v>
      </c>
      <c r="C2038">
        <v>240</v>
      </c>
      <c r="D2038" t="s">
        <v>240</v>
      </c>
      <c r="E2038" t="s">
        <v>133</v>
      </c>
      <c r="F2038" t="s">
        <v>83</v>
      </c>
      <c r="G2038" t="s">
        <v>89</v>
      </c>
      <c r="H2038">
        <v>34</v>
      </c>
      <c r="I2038" s="2">
        <v>67.14</v>
      </c>
      <c r="J2038" s="2">
        <v>34.25</v>
      </c>
      <c r="K2038" s="2">
        <v>2282.7600000000002</v>
      </c>
      <c r="L2038" s="2">
        <v>1164.5</v>
      </c>
      <c r="M2038" s="2">
        <v>1118.26</v>
      </c>
      <c r="N2038">
        <v>2</v>
      </c>
    </row>
    <row r="2039" spans="1:14" x14ac:dyDescent="0.3">
      <c r="A2039" s="1">
        <v>38292</v>
      </c>
      <c r="B2039">
        <v>10316</v>
      </c>
      <c r="C2039">
        <v>240</v>
      </c>
      <c r="D2039" t="s">
        <v>240</v>
      </c>
      <c r="E2039" t="s">
        <v>133</v>
      </c>
      <c r="F2039" t="s">
        <v>15</v>
      </c>
      <c r="G2039" t="s">
        <v>90</v>
      </c>
      <c r="H2039">
        <v>47</v>
      </c>
      <c r="I2039" s="2">
        <v>55.23</v>
      </c>
      <c r="J2039" s="2">
        <v>26.3</v>
      </c>
      <c r="K2039" s="2">
        <v>2595.81</v>
      </c>
      <c r="L2039" s="2">
        <v>1236.0999999999999</v>
      </c>
      <c r="M2039" s="2">
        <v>1359.71</v>
      </c>
      <c r="N2039">
        <v>2</v>
      </c>
    </row>
    <row r="2040" spans="1:14" x14ac:dyDescent="0.3">
      <c r="A2040" s="1">
        <v>38292</v>
      </c>
      <c r="B2040">
        <v>10316</v>
      </c>
      <c r="C2040">
        <v>240</v>
      </c>
      <c r="D2040" t="s">
        <v>240</v>
      </c>
      <c r="E2040" t="s">
        <v>133</v>
      </c>
      <c r="F2040" t="s">
        <v>15</v>
      </c>
      <c r="G2040" t="s">
        <v>74</v>
      </c>
      <c r="H2040">
        <v>25</v>
      </c>
      <c r="I2040" s="2">
        <v>77.150000000000006</v>
      </c>
      <c r="J2040" s="2">
        <v>48.64</v>
      </c>
      <c r="K2040" s="2">
        <v>1928.75</v>
      </c>
      <c r="L2040" s="2">
        <v>1216</v>
      </c>
      <c r="M2040" s="2">
        <v>712.75</v>
      </c>
      <c r="N2040">
        <v>2</v>
      </c>
    </row>
    <row r="2041" spans="1:14" x14ac:dyDescent="0.3">
      <c r="A2041" s="1">
        <v>38292</v>
      </c>
      <c r="B2041">
        <v>10316</v>
      </c>
      <c r="C2041">
        <v>240</v>
      </c>
      <c r="D2041" t="s">
        <v>240</v>
      </c>
      <c r="E2041" t="s">
        <v>133</v>
      </c>
      <c r="F2041" t="s">
        <v>83</v>
      </c>
      <c r="G2041" t="s">
        <v>91</v>
      </c>
      <c r="H2041">
        <v>30</v>
      </c>
      <c r="I2041" s="2">
        <v>67.56</v>
      </c>
      <c r="J2041" s="2">
        <v>29.34</v>
      </c>
      <c r="K2041" s="2">
        <v>2026.8</v>
      </c>
      <c r="L2041" s="2">
        <v>880.2</v>
      </c>
      <c r="M2041" s="2">
        <v>1146.5999999999999</v>
      </c>
      <c r="N2041">
        <v>2</v>
      </c>
    </row>
    <row r="2042" spans="1:14" x14ac:dyDescent="0.3">
      <c r="A2042" s="1">
        <v>38292</v>
      </c>
      <c r="B2042">
        <v>10316</v>
      </c>
      <c r="C2042">
        <v>240</v>
      </c>
      <c r="D2042" t="s">
        <v>240</v>
      </c>
      <c r="E2042" t="s">
        <v>133</v>
      </c>
      <c r="F2042" t="s">
        <v>15</v>
      </c>
      <c r="G2042" t="s">
        <v>93</v>
      </c>
      <c r="H2042">
        <v>24</v>
      </c>
      <c r="I2042" s="2">
        <v>59.16</v>
      </c>
      <c r="J2042" s="2">
        <v>33.020000000000003</v>
      </c>
      <c r="K2042" s="2">
        <v>1419.84</v>
      </c>
      <c r="L2042" s="2">
        <v>792.48</v>
      </c>
      <c r="M2042" s="2">
        <v>627.36</v>
      </c>
      <c r="N2042">
        <v>2</v>
      </c>
    </row>
    <row r="2043" spans="1:14" x14ac:dyDescent="0.3">
      <c r="A2043" s="1">
        <v>38292</v>
      </c>
      <c r="B2043">
        <v>10316</v>
      </c>
      <c r="C2043">
        <v>240</v>
      </c>
      <c r="D2043" t="s">
        <v>240</v>
      </c>
      <c r="E2043" t="s">
        <v>133</v>
      </c>
      <c r="F2043" t="s">
        <v>15</v>
      </c>
      <c r="G2043" t="s">
        <v>94</v>
      </c>
      <c r="H2043">
        <v>34</v>
      </c>
      <c r="I2043" s="2">
        <v>36.659999999999997</v>
      </c>
      <c r="J2043" s="2">
        <v>27.06</v>
      </c>
      <c r="K2043" s="2">
        <v>1246.44</v>
      </c>
      <c r="L2043" s="2">
        <v>920.04</v>
      </c>
      <c r="M2043" s="2">
        <v>326.39999999999998</v>
      </c>
      <c r="N2043">
        <v>2</v>
      </c>
    </row>
    <row r="2044" spans="1:14" x14ac:dyDescent="0.3">
      <c r="A2044" s="1">
        <v>38292</v>
      </c>
      <c r="B2044">
        <v>10316</v>
      </c>
      <c r="C2044">
        <v>240</v>
      </c>
      <c r="D2044" t="s">
        <v>240</v>
      </c>
      <c r="E2044" t="s">
        <v>133</v>
      </c>
      <c r="F2044" t="s">
        <v>83</v>
      </c>
      <c r="G2044" t="s">
        <v>95</v>
      </c>
      <c r="H2044">
        <v>34</v>
      </c>
      <c r="I2044" s="2">
        <v>74.900000000000006</v>
      </c>
      <c r="J2044" s="2">
        <v>51.15</v>
      </c>
      <c r="K2044" s="2">
        <v>2546.6</v>
      </c>
      <c r="L2044" s="2">
        <v>1739.1</v>
      </c>
      <c r="M2044" s="2">
        <v>807.5</v>
      </c>
      <c r="N2044">
        <v>2</v>
      </c>
    </row>
    <row r="2045" spans="1:14" x14ac:dyDescent="0.3">
      <c r="A2045" s="1">
        <v>38292</v>
      </c>
      <c r="B2045">
        <v>10316</v>
      </c>
      <c r="C2045">
        <v>240</v>
      </c>
      <c r="D2045" t="s">
        <v>240</v>
      </c>
      <c r="E2045" t="s">
        <v>133</v>
      </c>
      <c r="F2045" t="s">
        <v>71</v>
      </c>
      <c r="G2045" t="s">
        <v>96</v>
      </c>
      <c r="H2045">
        <v>45</v>
      </c>
      <c r="I2045" s="2">
        <v>73.319999999999993</v>
      </c>
      <c r="J2045" s="2">
        <v>39.83</v>
      </c>
      <c r="K2045" s="2">
        <v>3299.4</v>
      </c>
      <c r="L2045" s="2">
        <v>1792.35</v>
      </c>
      <c r="M2045" s="2">
        <v>1507.05</v>
      </c>
      <c r="N2045">
        <v>2</v>
      </c>
    </row>
    <row r="2046" spans="1:14" x14ac:dyDescent="0.3">
      <c r="A2046" s="1">
        <v>38292</v>
      </c>
      <c r="B2046">
        <v>10316</v>
      </c>
      <c r="C2046">
        <v>240</v>
      </c>
      <c r="D2046" t="s">
        <v>240</v>
      </c>
      <c r="E2046" t="s">
        <v>133</v>
      </c>
      <c r="F2046" t="s">
        <v>83</v>
      </c>
      <c r="G2046" t="s">
        <v>97</v>
      </c>
      <c r="H2046">
        <v>23</v>
      </c>
      <c r="I2046" s="2">
        <v>85.76</v>
      </c>
      <c r="J2046" s="2">
        <v>68.8</v>
      </c>
      <c r="K2046" s="2">
        <v>1972.48</v>
      </c>
      <c r="L2046" s="2">
        <v>1582.4</v>
      </c>
      <c r="M2046" s="2">
        <v>390.08</v>
      </c>
      <c r="N2046">
        <v>2</v>
      </c>
    </row>
    <row r="2047" spans="1:14" x14ac:dyDescent="0.3">
      <c r="A2047" s="1">
        <v>38292</v>
      </c>
      <c r="B2047">
        <v>10316</v>
      </c>
      <c r="C2047">
        <v>240</v>
      </c>
      <c r="D2047" t="s">
        <v>240</v>
      </c>
      <c r="E2047" t="s">
        <v>133</v>
      </c>
      <c r="F2047" t="s">
        <v>71</v>
      </c>
      <c r="G2047" t="s">
        <v>77</v>
      </c>
      <c r="H2047">
        <v>48</v>
      </c>
      <c r="I2047" s="2">
        <v>67.22</v>
      </c>
      <c r="J2047" s="2">
        <v>33.97</v>
      </c>
      <c r="K2047" s="2">
        <v>3226.56</v>
      </c>
      <c r="L2047" s="2">
        <v>1630.56</v>
      </c>
      <c r="M2047" s="2">
        <v>1596</v>
      </c>
      <c r="N2047">
        <v>2</v>
      </c>
    </row>
    <row r="2048" spans="1:14" x14ac:dyDescent="0.3">
      <c r="A2048" s="1">
        <v>38292</v>
      </c>
      <c r="B2048">
        <v>10316</v>
      </c>
      <c r="C2048">
        <v>240</v>
      </c>
      <c r="D2048" t="s">
        <v>240</v>
      </c>
      <c r="E2048" t="s">
        <v>133</v>
      </c>
      <c r="F2048" t="s">
        <v>83</v>
      </c>
      <c r="G2048" t="s">
        <v>99</v>
      </c>
      <c r="H2048">
        <v>48</v>
      </c>
      <c r="I2048" s="2">
        <v>77.599999999999994</v>
      </c>
      <c r="J2048" s="2">
        <v>54.4</v>
      </c>
      <c r="K2048" s="2">
        <v>3724.8</v>
      </c>
      <c r="L2048" s="2">
        <v>2611.1999999999998</v>
      </c>
      <c r="M2048" s="2">
        <v>1113.5999999999999</v>
      </c>
      <c r="N2048">
        <v>2</v>
      </c>
    </row>
    <row r="2049" spans="1:14" x14ac:dyDescent="0.3">
      <c r="A2049" s="1">
        <v>38292</v>
      </c>
      <c r="B2049">
        <v>10316</v>
      </c>
      <c r="C2049">
        <v>240</v>
      </c>
      <c r="D2049" t="s">
        <v>240</v>
      </c>
      <c r="E2049" t="s">
        <v>133</v>
      </c>
      <c r="F2049" t="s">
        <v>83</v>
      </c>
      <c r="G2049" t="s">
        <v>100</v>
      </c>
      <c r="H2049">
        <v>44</v>
      </c>
      <c r="I2049" s="2">
        <v>68.11</v>
      </c>
      <c r="J2049" s="2">
        <v>36.270000000000003</v>
      </c>
      <c r="K2049" s="2">
        <v>2996.84</v>
      </c>
      <c r="L2049" s="2">
        <v>1595.88</v>
      </c>
      <c r="M2049" s="2">
        <v>1400.96</v>
      </c>
      <c r="N2049">
        <v>2</v>
      </c>
    </row>
    <row r="2050" spans="1:14" x14ac:dyDescent="0.3">
      <c r="A2050" s="1">
        <v>38292</v>
      </c>
      <c r="B2050">
        <v>10316</v>
      </c>
      <c r="C2050">
        <v>240</v>
      </c>
      <c r="D2050" t="s">
        <v>240</v>
      </c>
      <c r="E2050" t="s">
        <v>133</v>
      </c>
      <c r="F2050" t="s">
        <v>83</v>
      </c>
      <c r="G2050" t="s">
        <v>101</v>
      </c>
      <c r="H2050">
        <v>34</v>
      </c>
      <c r="I2050" s="2">
        <v>43.7</v>
      </c>
      <c r="J2050" s="2">
        <v>32.770000000000003</v>
      </c>
      <c r="K2050" s="2">
        <v>1485.8</v>
      </c>
      <c r="L2050" s="2">
        <v>1114.18</v>
      </c>
      <c r="M2050" s="2">
        <v>371.62</v>
      </c>
      <c r="N2050">
        <v>2</v>
      </c>
    </row>
    <row r="2051" spans="1:14" x14ac:dyDescent="0.3">
      <c r="A2051" s="1">
        <v>38292</v>
      </c>
      <c r="B2051">
        <v>10348</v>
      </c>
      <c r="C2051">
        <v>458</v>
      </c>
      <c r="D2051" t="s">
        <v>156</v>
      </c>
      <c r="E2051" t="s">
        <v>48</v>
      </c>
      <c r="F2051" t="s">
        <v>29</v>
      </c>
      <c r="G2051" t="s">
        <v>66</v>
      </c>
      <c r="H2051">
        <v>48</v>
      </c>
      <c r="I2051" s="2">
        <v>207.8</v>
      </c>
      <c r="J2051" s="2">
        <v>95.59</v>
      </c>
      <c r="K2051" s="2">
        <v>9974.4</v>
      </c>
      <c r="L2051" s="2">
        <v>4588.32</v>
      </c>
      <c r="M2051" s="2">
        <v>5386.08</v>
      </c>
      <c r="N2051">
        <v>3</v>
      </c>
    </row>
    <row r="2052" spans="1:14" x14ac:dyDescent="0.3">
      <c r="A2052" s="1">
        <v>38292</v>
      </c>
      <c r="B2052">
        <v>10348</v>
      </c>
      <c r="C2052">
        <v>458</v>
      </c>
      <c r="D2052" t="s">
        <v>156</v>
      </c>
      <c r="E2052" t="s">
        <v>48</v>
      </c>
      <c r="F2052" t="s">
        <v>29</v>
      </c>
      <c r="G2052" t="s">
        <v>49</v>
      </c>
      <c r="H2052">
        <v>47</v>
      </c>
      <c r="I2052" s="2">
        <v>122.37</v>
      </c>
      <c r="J2052" s="2">
        <v>89.14</v>
      </c>
      <c r="K2052" s="2">
        <v>5751.39</v>
      </c>
      <c r="L2052" s="2">
        <v>4189.58</v>
      </c>
      <c r="M2052" s="2">
        <v>1561.81</v>
      </c>
      <c r="N2052">
        <v>3</v>
      </c>
    </row>
    <row r="2053" spans="1:14" x14ac:dyDescent="0.3">
      <c r="A2053" s="1">
        <v>38292</v>
      </c>
      <c r="B2053">
        <v>10348</v>
      </c>
      <c r="C2053">
        <v>458</v>
      </c>
      <c r="D2053" t="s">
        <v>156</v>
      </c>
      <c r="E2053" t="s">
        <v>48</v>
      </c>
      <c r="F2053" t="s">
        <v>15</v>
      </c>
      <c r="G2053" t="s">
        <v>41</v>
      </c>
      <c r="H2053">
        <v>29</v>
      </c>
      <c r="I2053" s="2">
        <v>43.77</v>
      </c>
      <c r="J2053" s="2">
        <v>23.14</v>
      </c>
      <c r="K2053" s="2">
        <v>1269.33</v>
      </c>
      <c r="L2053" s="2">
        <v>671.06</v>
      </c>
      <c r="M2053" s="2">
        <v>598.27</v>
      </c>
      <c r="N2053">
        <v>3</v>
      </c>
    </row>
    <row r="2054" spans="1:14" x14ac:dyDescent="0.3">
      <c r="A2054" s="1">
        <v>38292</v>
      </c>
      <c r="B2054">
        <v>10348</v>
      </c>
      <c r="C2054">
        <v>458</v>
      </c>
      <c r="D2054" t="s">
        <v>156</v>
      </c>
      <c r="E2054" t="s">
        <v>48</v>
      </c>
      <c r="F2054" t="s">
        <v>32</v>
      </c>
      <c r="G2054" t="s">
        <v>42</v>
      </c>
      <c r="H2054">
        <v>37</v>
      </c>
      <c r="I2054" s="2">
        <v>107.34</v>
      </c>
      <c r="J2054" s="2">
        <v>61.34</v>
      </c>
      <c r="K2054" s="2">
        <v>3971.58</v>
      </c>
      <c r="L2054" s="2">
        <v>2269.58</v>
      </c>
      <c r="M2054" s="2">
        <v>1702</v>
      </c>
      <c r="N2054">
        <v>3</v>
      </c>
    </row>
    <row r="2055" spans="1:14" x14ac:dyDescent="0.3">
      <c r="A2055" s="1">
        <v>38292</v>
      </c>
      <c r="B2055">
        <v>10348</v>
      </c>
      <c r="C2055">
        <v>458</v>
      </c>
      <c r="D2055" t="s">
        <v>156</v>
      </c>
      <c r="E2055" t="s">
        <v>48</v>
      </c>
      <c r="F2055" t="s">
        <v>15</v>
      </c>
      <c r="G2055" t="s">
        <v>43</v>
      </c>
      <c r="H2055">
        <v>39</v>
      </c>
      <c r="I2055" s="2">
        <v>82.78</v>
      </c>
      <c r="J2055" s="2">
        <v>57.46</v>
      </c>
      <c r="K2055" s="2">
        <v>3228.42</v>
      </c>
      <c r="L2055" s="2">
        <v>2240.94</v>
      </c>
      <c r="M2055" s="2">
        <v>987.48</v>
      </c>
      <c r="N2055">
        <v>3</v>
      </c>
    </row>
    <row r="2056" spans="1:14" x14ac:dyDescent="0.3">
      <c r="A2056" s="1">
        <v>38292</v>
      </c>
      <c r="B2056">
        <v>10348</v>
      </c>
      <c r="C2056">
        <v>458</v>
      </c>
      <c r="D2056" t="s">
        <v>156</v>
      </c>
      <c r="E2056" t="s">
        <v>48</v>
      </c>
      <c r="F2056" t="s">
        <v>32</v>
      </c>
      <c r="G2056" t="s">
        <v>44</v>
      </c>
      <c r="H2056">
        <v>42</v>
      </c>
      <c r="I2056" s="2">
        <v>90.53</v>
      </c>
      <c r="J2056" s="2">
        <v>53.93</v>
      </c>
      <c r="K2056" s="2">
        <v>3802.26</v>
      </c>
      <c r="L2056" s="2">
        <v>2265.06</v>
      </c>
      <c r="M2056" s="2">
        <v>1537.2</v>
      </c>
      <c r="N2056">
        <v>3</v>
      </c>
    </row>
    <row r="2057" spans="1:14" x14ac:dyDescent="0.3">
      <c r="A2057" s="1">
        <v>38292</v>
      </c>
      <c r="B2057">
        <v>10348</v>
      </c>
      <c r="C2057">
        <v>458</v>
      </c>
      <c r="D2057" t="s">
        <v>156</v>
      </c>
      <c r="E2057" t="s">
        <v>48</v>
      </c>
      <c r="F2057" t="s">
        <v>32</v>
      </c>
      <c r="G2057" t="s">
        <v>45</v>
      </c>
      <c r="H2057">
        <v>31</v>
      </c>
      <c r="I2057" s="2">
        <v>62.7</v>
      </c>
      <c r="J2057" s="2">
        <v>33.61</v>
      </c>
      <c r="K2057" s="2">
        <v>1943.7</v>
      </c>
      <c r="L2057" s="2">
        <v>1041.9100000000001</v>
      </c>
      <c r="M2057" s="2">
        <v>901.79</v>
      </c>
      <c r="N2057">
        <v>3</v>
      </c>
    </row>
    <row r="2058" spans="1:14" x14ac:dyDescent="0.3">
      <c r="A2058" s="1">
        <v>38292</v>
      </c>
      <c r="B2058">
        <v>10348</v>
      </c>
      <c r="C2058">
        <v>458</v>
      </c>
      <c r="D2058" t="s">
        <v>156</v>
      </c>
      <c r="E2058" t="s">
        <v>48</v>
      </c>
      <c r="F2058" t="s">
        <v>29</v>
      </c>
      <c r="G2058" t="s">
        <v>46</v>
      </c>
      <c r="H2058">
        <v>32</v>
      </c>
      <c r="I2058" s="2">
        <v>100.14</v>
      </c>
      <c r="J2058" s="2">
        <v>46.53</v>
      </c>
      <c r="K2058" s="2">
        <v>3204.48</v>
      </c>
      <c r="L2058" s="2">
        <v>1488.96</v>
      </c>
      <c r="M2058" s="2">
        <v>1715.52</v>
      </c>
      <c r="N2058">
        <v>3</v>
      </c>
    </row>
    <row r="2059" spans="1:14" x14ac:dyDescent="0.3">
      <c r="A2059" s="1">
        <v>38293</v>
      </c>
      <c r="B2059">
        <v>10318</v>
      </c>
      <c r="C2059">
        <v>157</v>
      </c>
      <c r="D2059" t="s">
        <v>245</v>
      </c>
      <c r="E2059" t="s">
        <v>14</v>
      </c>
      <c r="F2059" t="s">
        <v>102</v>
      </c>
      <c r="G2059" t="s">
        <v>103</v>
      </c>
      <c r="H2059">
        <v>46</v>
      </c>
      <c r="I2059" s="2">
        <v>84.22</v>
      </c>
      <c r="J2059" s="2">
        <v>48.81</v>
      </c>
      <c r="K2059" s="2">
        <v>3874.12</v>
      </c>
      <c r="L2059" s="2">
        <v>2245.2600000000002</v>
      </c>
      <c r="M2059" s="2">
        <v>1628.86</v>
      </c>
      <c r="N2059">
        <v>3</v>
      </c>
    </row>
    <row r="2060" spans="1:14" x14ac:dyDescent="0.3">
      <c r="A2060" s="1">
        <v>38293</v>
      </c>
      <c r="B2060">
        <v>10318</v>
      </c>
      <c r="C2060">
        <v>157</v>
      </c>
      <c r="D2060" t="s">
        <v>245</v>
      </c>
      <c r="E2060" t="s">
        <v>14</v>
      </c>
      <c r="F2060" t="s">
        <v>102</v>
      </c>
      <c r="G2060" t="s">
        <v>104</v>
      </c>
      <c r="H2060">
        <v>45</v>
      </c>
      <c r="I2060" s="2">
        <v>102.29</v>
      </c>
      <c r="J2060" s="2">
        <v>68.989999999999995</v>
      </c>
      <c r="K2060" s="2">
        <v>4603.05</v>
      </c>
      <c r="L2060" s="2">
        <v>3104.55</v>
      </c>
      <c r="M2060" s="2">
        <v>1498.5</v>
      </c>
      <c r="N2060">
        <v>3</v>
      </c>
    </row>
    <row r="2061" spans="1:14" x14ac:dyDescent="0.3">
      <c r="A2061" s="1">
        <v>38293</v>
      </c>
      <c r="B2061">
        <v>10318</v>
      </c>
      <c r="C2061">
        <v>157</v>
      </c>
      <c r="D2061" t="s">
        <v>245</v>
      </c>
      <c r="E2061" t="s">
        <v>14</v>
      </c>
      <c r="F2061" t="s">
        <v>102</v>
      </c>
      <c r="G2061" t="s">
        <v>105</v>
      </c>
      <c r="H2061">
        <v>37</v>
      </c>
      <c r="I2061" s="2">
        <v>189.79</v>
      </c>
      <c r="J2061" s="2">
        <v>91.02</v>
      </c>
      <c r="K2061" s="2">
        <v>7022.23</v>
      </c>
      <c r="L2061" s="2">
        <v>3367.74</v>
      </c>
      <c r="M2061" s="2">
        <v>3654.49</v>
      </c>
      <c r="N2061">
        <v>3</v>
      </c>
    </row>
    <row r="2062" spans="1:14" x14ac:dyDescent="0.3">
      <c r="A2062" s="1">
        <v>38293</v>
      </c>
      <c r="B2062">
        <v>10318</v>
      </c>
      <c r="C2062">
        <v>157</v>
      </c>
      <c r="D2062" t="s">
        <v>245</v>
      </c>
      <c r="E2062" t="s">
        <v>14</v>
      </c>
      <c r="F2062" t="s">
        <v>83</v>
      </c>
      <c r="G2062" t="s">
        <v>85</v>
      </c>
      <c r="H2062">
        <v>31</v>
      </c>
      <c r="I2062" s="2">
        <v>81.95</v>
      </c>
      <c r="J2062" s="2">
        <v>49</v>
      </c>
      <c r="K2062" s="2">
        <v>2540.4499999999998</v>
      </c>
      <c r="L2062" s="2">
        <v>1519</v>
      </c>
      <c r="M2062" s="2">
        <v>1021.45</v>
      </c>
      <c r="N2062">
        <v>3</v>
      </c>
    </row>
    <row r="2063" spans="1:14" x14ac:dyDescent="0.3">
      <c r="A2063" s="1">
        <v>38293</v>
      </c>
      <c r="B2063">
        <v>10318</v>
      </c>
      <c r="C2063">
        <v>157</v>
      </c>
      <c r="D2063" t="s">
        <v>245</v>
      </c>
      <c r="E2063" t="s">
        <v>14</v>
      </c>
      <c r="F2063" t="s">
        <v>102</v>
      </c>
      <c r="G2063" t="s">
        <v>107</v>
      </c>
      <c r="H2063">
        <v>42</v>
      </c>
      <c r="I2063" s="2">
        <v>49.67</v>
      </c>
      <c r="J2063" s="2">
        <v>24.23</v>
      </c>
      <c r="K2063" s="2">
        <v>2086.14</v>
      </c>
      <c r="L2063" s="2">
        <v>1017.66</v>
      </c>
      <c r="M2063" s="2">
        <v>1068.48</v>
      </c>
      <c r="N2063">
        <v>3</v>
      </c>
    </row>
    <row r="2064" spans="1:14" x14ac:dyDescent="0.3">
      <c r="A2064" s="1">
        <v>38293</v>
      </c>
      <c r="B2064">
        <v>10318</v>
      </c>
      <c r="C2064">
        <v>157</v>
      </c>
      <c r="D2064" t="s">
        <v>245</v>
      </c>
      <c r="E2064" t="s">
        <v>14</v>
      </c>
      <c r="F2064" t="s">
        <v>102</v>
      </c>
      <c r="G2064" t="s">
        <v>108</v>
      </c>
      <c r="H2064">
        <v>48</v>
      </c>
      <c r="I2064" s="2">
        <v>93.54</v>
      </c>
      <c r="J2064" s="2">
        <v>60.86</v>
      </c>
      <c r="K2064" s="2">
        <v>4489.92</v>
      </c>
      <c r="L2064" s="2">
        <v>2921.28</v>
      </c>
      <c r="M2064" s="2">
        <v>1568.64</v>
      </c>
      <c r="N2064">
        <v>3</v>
      </c>
    </row>
    <row r="2065" spans="1:14" x14ac:dyDescent="0.3">
      <c r="A2065" s="1">
        <v>38293</v>
      </c>
      <c r="B2065">
        <v>10318</v>
      </c>
      <c r="C2065">
        <v>157</v>
      </c>
      <c r="D2065" t="s">
        <v>245</v>
      </c>
      <c r="E2065" t="s">
        <v>14</v>
      </c>
      <c r="F2065" t="s">
        <v>102</v>
      </c>
      <c r="G2065" t="s">
        <v>109</v>
      </c>
      <c r="H2065">
        <v>26</v>
      </c>
      <c r="I2065" s="2">
        <v>60.94</v>
      </c>
      <c r="J2065" s="2">
        <v>37.32</v>
      </c>
      <c r="K2065" s="2">
        <v>1584.44</v>
      </c>
      <c r="L2065" s="2">
        <v>970.32</v>
      </c>
      <c r="M2065" s="2">
        <v>614.12</v>
      </c>
      <c r="N2065">
        <v>3</v>
      </c>
    </row>
    <row r="2066" spans="1:14" x14ac:dyDescent="0.3">
      <c r="A2066" s="1">
        <v>38293</v>
      </c>
      <c r="B2066">
        <v>10318</v>
      </c>
      <c r="C2066">
        <v>157</v>
      </c>
      <c r="D2066" t="s">
        <v>245</v>
      </c>
      <c r="E2066" t="s">
        <v>14</v>
      </c>
      <c r="F2066" t="s">
        <v>102</v>
      </c>
      <c r="G2066" t="s">
        <v>110</v>
      </c>
      <c r="H2066">
        <v>47</v>
      </c>
      <c r="I2066" s="2">
        <v>81.91</v>
      </c>
      <c r="J2066" s="2">
        <v>66.92</v>
      </c>
      <c r="K2066" s="2">
        <v>3849.77</v>
      </c>
      <c r="L2066" s="2">
        <v>3145.24</v>
      </c>
      <c r="M2066" s="2">
        <v>704.53</v>
      </c>
      <c r="N2066">
        <v>3</v>
      </c>
    </row>
    <row r="2067" spans="1:14" x14ac:dyDescent="0.3">
      <c r="A2067" s="1">
        <v>38293</v>
      </c>
      <c r="B2067">
        <v>10318</v>
      </c>
      <c r="C2067">
        <v>157</v>
      </c>
      <c r="D2067" t="s">
        <v>245</v>
      </c>
      <c r="E2067" t="s">
        <v>14</v>
      </c>
      <c r="F2067" t="s">
        <v>83</v>
      </c>
      <c r="G2067" t="s">
        <v>98</v>
      </c>
      <c r="H2067">
        <v>50</v>
      </c>
      <c r="I2067" s="2">
        <v>102.04</v>
      </c>
      <c r="J2067" s="2">
        <v>59.33</v>
      </c>
      <c r="K2067" s="2">
        <v>5102</v>
      </c>
      <c r="L2067" s="2">
        <v>2966.5</v>
      </c>
      <c r="M2067" s="2">
        <v>2135.5</v>
      </c>
      <c r="N2067">
        <v>3</v>
      </c>
    </row>
    <row r="2068" spans="1:14" x14ac:dyDescent="0.3">
      <c r="A2068" s="1">
        <v>38293</v>
      </c>
      <c r="B2068">
        <v>10317</v>
      </c>
      <c r="C2068">
        <v>161</v>
      </c>
      <c r="D2068" t="s">
        <v>215</v>
      </c>
      <c r="E2068" t="s">
        <v>14</v>
      </c>
      <c r="F2068" t="s">
        <v>83</v>
      </c>
      <c r="G2068" t="s">
        <v>92</v>
      </c>
      <c r="H2068">
        <v>35</v>
      </c>
      <c r="I2068" s="2">
        <v>69.55</v>
      </c>
      <c r="J2068" s="2">
        <v>36.229999999999997</v>
      </c>
      <c r="K2068" s="2">
        <v>2434.25</v>
      </c>
      <c r="L2068" s="2">
        <v>1268.05</v>
      </c>
      <c r="M2068" s="2">
        <v>1166.2</v>
      </c>
      <c r="N2068">
        <v>3</v>
      </c>
    </row>
    <row r="2069" spans="1:14" x14ac:dyDescent="0.3">
      <c r="A2069" s="1">
        <v>38294</v>
      </c>
      <c r="B2069">
        <v>10320</v>
      </c>
      <c r="C2069">
        <v>144</v>
      </c>
      <c r="D2069" t="s">
        <v>142</v>
      </c>
      <c r="E2069" t="s">
        <v>143</v>
      </c>
      <c r="F2069" t="s">
        <v>29</v>
      </c>
      <c r="G2069" t="s">
        <v>112</v>
      </c>
      <c r="H2069">
        <v>31</v>
      </c>
      <c r="I2069" s="2">
        <v>184.84</v>
      </c>
      <c r="J2069" s="2">
        <v>95.34</v>
      </c>
      <c r="K2069" s="2">
        <v>5730.04</v>
      </c>
      <c r="L2069" s="2">
        <v>2955.54</v>
      </c>
      <c r="M2069" s="2">
        <v>2774.5</v>
      </c>
      <c r="N2069">
        <v>2</v>
      </c>
    </row>
    <row r="2070" spans="1:14" x14ac:dyDescent="0.3">
      <c r="A2070" s="1">
        <v>38294</v>
      </c>
      <c r="B2070">
        <v>10320</v>
      </c>
      <c r="C2070">
        <v>144</v>
      </c>
      <c r="D2070" t="s">
        <v>142</v>
      </c>
      <c r="E2070" t="s">
        <v>143</v>
      </c>
      <c r="F2070" t="s">
        <v>29</v>
      </c>
      <c r="G2070" t="s">
        <v>113</v>
      </c>
      <c r="H2070">
        <v>35</v>
      </c>
      <c r="I2070" s="2">
        <v>102.17</v>
      </c>
      <c r="J2070" s="2">
        <v>75.16</v>
      </c>
      <c r="K2070" s="2">
        <v>3575.95</v>
      </c>
      <c r="L2070" s="2">
        <v>2630.6</v>
      </c>
      <c r="M2070" s="2">
        <v>945.35</v>
      </c>
      <c r="N2070">
        <v>2</v>
      </c>
    </row>
    <row r="2071" spans="1:14" x14ac:dyDescent="0.3">
      <c r="A2071" s="1">
        <v>38294</v>
      </c>
      <c r="B2071">
        <v>10320</v>
      </c>
      <c r="C2071">
        <v>144</v>
      </c>
      <c r="D2071" t="s">
        <v>142</v>
      </c>
      <c r="E2071" t="s">
        <v>143</v>
      </c>
      <c r="F2071" t="s">
        <v>29</v>
      </c>
      <c r="G2071" t="s">
        <v>114</v>
      </c>
      <c r="H2071">
        <v>38</v>
      </c>
      <c r="I2071" s="2">
        <v>63.84</v>
      </c>
      <c r="J2071" s="2">
        <v>31.92</v>
      </c>
      <c r="K2071" s="2">
        <v>2425.92</v>
      </c>
      <c r="L2071" s="2">
        <v>1212.96</v>
      </c>
      <c r="M2071" s="2">
        <v>1212.96</v>
      </c>
      <c r="N2071">
        <v>2</v>
      </c>
    </row>
    <row r="2072" spans="1:14" x14ac:dyDescent="0.3">
      <c r="A2072" s="1">
        <v>38294</v>
      </c>
      <c r="B2072">
        <v>10320</v>
      </c>
      <c r="C2072">
        <v>144</v>
      </c>
      <c r="D2072" t="s">
        <v>142</v>
      </c>
      <c r="E2072" t="s">
        <v>143</v>
      </c>
      <c r="F2072" t="s">
        <v>29</v>
      </c>
      <c r="G2072" t="s">
        <v>118</v>
      </c>
      <c r="H2072">
        <v>25</v>
      </c>
      <c r="I2072" s="2">
        <v>139.63999999999999</v>
      </c>
      <c r="J2072" s="2">
        <v>73.489999999999995</v>
      </c>
      <c r="K2072" s="2">
        <v>3491</v>
      </c>
      <c r="L2072" s="2">
        <v>1837.25</v>
      </c>
      <c r="M2072" s="2">
        <v>1653.75</v>
      </c>
      <c r="N2072">
        <v>2</v>
      </c>
    </row>
    <row r="2073" spans="1:14" x14ac:dyDescent="0.3">
      <c r="A2073" s="1">
        <v>38294</v>
      </c>
      <c r="B2073">
        <v>10320</v>
      </c>
      <c r="C2073">
        <v>144</v>
      </c>
      <c r="D2073" t="s">
        <v>142</v>
      </c>
      <c r="E2073" t="s">
        <v>143</v>
      </c>
      <c r="F2073" t="s">
        <v>29</v>
      </c>
      <c r="G2073" t="s">
        <v>122</v>
      </c>
      <c r="H2073">
        <v>26</v>
      </c>
      <c r="I2073" s="2">
        <v>60.62</v>
      </c>
      <c r="J2073" s="2">
        <v>38.58</v>
      </c>
      <c r="K2073" s="2">
        <v>1576.12</v>
      </c>
      <c r="L2073" s="2">
        <v>1003.08</v>
      </c>
      <c r="M2073" s="2">
        <v>573.04</v>
      </c>
      <c r="N2073">
        <v>2</v>
      </c>
    </row>
    <row r="2074" spans="1:14" x14ac:dyDescent="0.3">
      <c r="A2074" s="1">
        <v>38294</v>
      </c>
      <c r="B2074">
        <v>10319</v>
      </c>
      <c r="C2074">
        <v>456</v>
      </c>
      <c r="D2074" t="s">
        <v>243</v>
      </c>
      <c r="E2074" t="s">
        <v>14</v>
      </c>
      <c r="F2074" t="s">
        <v>102</v>
      </c>
      <c r="G2074" t="s">
        <v>106</v>
      </c>
      <c r="H2074">
        <v>30</v>
      </c>
      <c r="I2074" s="2">
        <v>134.05000000000001</v>
      </c>
      <c r="J2074" s="2">
        <v>66.27</v>
      </c>
      <c r="K2074" s="2">
        <v>4021.5</v>
      </c>
      <c r="L2074" s="2">
        <v>1988.1</v>
      </c>
      <c r="M2074" s="2">
        <v>2033.4</v>
      </c>
      <c r="N2074">
        <v>2</v>
      </c>
    </row>
    <row r="2075" spans="1:14" x14ac:dyDescent="0.3">
      <c r="A2075" s="1">
        <v>38294</v>
      </c>
      <c r="B2075">
        <v>10319</v>
      </c>
      <c r="C2075">
        <v>456</v>
      </c>
      <c r="D2075" t="s">
        <v>243</v>
      </c>
      <c r="E2075" t="s">
        <v>14</v>
      </c>
      <c r="F2075" t="s">
        <v>29</v>
      </c>
      <c r="G2075" t="s">
        <v>117</v>
      </c>
      <c r="H2075">
        <v>46</v>
      </c>
      <c r="I2075" s="2">
        <v>77.19</v>
      </c>
      <c r="J2075" s="2">
        <v>49.05</v>
      </c>
      <c r="K2075" s="2">
        <v>3550.74</v>
      </c>
      <c r="L2075" s="2">
        <v>2256.3000000000002</v>
      </c>
      <c r="M2075" s="2">
        <v>1294.44</v>
      </c>
      <c r="N2075">
        <v>2</v>
      </c>
    </row>
    <row r="2076" spans="1:14" x14ac:dyDescent="0.3">
      <c r="A2076" s="1">
        <v>38294</v>
      </c>
      <c r="B2076">
        <v>10319</v>
      </c>
      <c r="C2076">
        <v>456</v>
      </c>
      <c r="D2076" t="s">
        <v>243</v>
      </c>
      <c r="E2076" t="s">
        <v>14</v>
      </c>
      <c r="F2076" t="s">
        <v>102</v>
      </c>
      <c r="G2076" t="s">
        <v>119</v>
      </c>
      <c r="H2076">
        <v>44</v>
      </c>
      <c r="I2076" s="2">
        <v>54.71</v>
      </c>
      <c r="J2076" s="2">
        <v>32.950000000000003</v>
      </c>
      <c r="K2076" s="2">
        <v>2407.2399999999998</v>
      </c>
      <c r="L2076" s="2">
        <v>1449.8</v>
      </c>
      <c r="M2076" s="2">
        <v>957.44</v>
      </c>
      <c r="N2076">
        <v>2</v>
      </c>
    </row>
    <row r="2077" spans="1:14" x14ac:dyDescent="0.3">
      <c r="A2077" s="1">
        <v>38294</v>
      </c>
      <c r="B2077">
        <v>10319</v>
      </c>
      <c r="C2077">
        <v>456</v>
      </c>
      <c r="D2077" t="s">
        <v>243</v>
      </c>
      <c r="E2077" t="s">
        <v>14</v>
      </c>
      <c r="F2077" t="s">
        <v>29</v>
      </c>
      <c r="G2077" t="s">
        <v>120</v>
      </c>
      <c r="H2077">
        <v>45</v>
      </c>
      <c r="I2077" s="2">
        <v>120.53</v>
      </c>
      <c r="J2077" s="2">
        <v>69.930000000000007</v>
      </c>
      <c r="K2077" s="2">
        <v>5423.85</v>
      </c>
      <c r="L2077" s="2">
        <v>3146.85</v>
      </c>
      <c r="M2077" s="2">
        <v>2277</v>
      </c>
      <c r="N2077">
        <v>2</v>
      </c>
    </row>
    <row r="2078" spans="1:14" x14ac:dyDescent="0.3">
      <c r="A2078" s="1">
        <v>38294</v>
      </c>
      <c r="B2078">
        <v>10319</v>
      </c>
      <c r="C2078">
        <v>456</v>
      </c>
      <c r="D2078" t="s">
        <v>243</v>
      </c>
      <c r="E2078" t="s">
        <v>14</v>
      </c>
      <c r="F2078" t="s">
        <v>102</v>
      </c>
      <c r="G2078" t="s">
        <v>121</v>
      </c>
      <c r="H2078">
        <v>31</v>
      </c>
      <c r="I2078" s="2">
        <v>65.8</v>
      </c>
      <c r="J2078" s="2">
        <v>47.1</v>
      </c>
      <c r="K2078" s="2">
        <v>2039.8</v>
      </c>
      <c r="L2078" s="2">
        <v>1460.1</v>
      </c>
      <c r="M2078" s="2">
        <v>579.70000000000005</v>
      </c>
      <c r="N2078">
        <v>2</v>
      </c>
    </row>
    <row r="2079" spans="1:14" x14ac:dyDescent="0.3">
      <c r="A2079" s="1">
        <v>38294</v>
      </c>
      <c r="B2079">
        <v>10319</v>
      </c>
      <c r="C2079">
        <v>456</v>
      </c>
      <c r="D2079" t="s">
        <v>243</v>
      </c>
      <c r="E2079" t="s">
        <v>14</v>
      </c>
      <c r="F2079" t="s">
        <v>29</v>
      </c>
      <c r="G2079" t="s">
        <v>124</v>
      </c>
      <c r="H2079">
        <v>43</v>
      </c>
      <c r="I2079" s="2">
        <v>78.41</v>
      </c>
      <c r="J2079" s="2">
        <v>32.33</v>
      </c>
      <c r="K2079" s="2">
        <v>3371.63</v>
      </c>
      <c r="L2079" s="2">
        <v>1390.19</v>
      </c>
      <c r="M2079" s="2">
        <v>1981.44</v>
      </c>
      <c r="N2079">
        <v>2</v>
      </c>
    </row>
    <row r="2080" spans="1:14" x14ac:dyDescent="0.3">
      <c r="A2080" s="1">
        <v>38294</v>
      </c>
      <c r="B2080">
        <v>10319</v>
      </c>
      <c r="C2080">
        <v>456</v>
      </c>
      <c r="D2080" t="s">
        <v>243</v>
      </c>
      <c r="E2080" t="s">
        <v>14</v>
      </c>
      <c r="F2080" t="s">
        <v>102</v>
      </c>
      <c r="G2080" t="s">
        <v>125</v>
      </c>
      <c r="H2080">
        <v>29</v>
      </c>
      <c r="I2080" s="2">
        <v>35</v>
      </c>
      <c r="J2080" s="2">
        <v>24.14</v>
      </c>
      <c r="K2080" s="2">
        <v>1015</v>
      </c>
      <c r="L2080" s="2">
        <v>700.06</v>
      </c>
      <c r="M2080" s="2">
        <v>314.94</v>
      </c>
      <c r="N2080">
        <v>2</v>
      </c>
    </row>
    <row r="2081" spans="1:14" x14ac:dyDescent="0.3">
      <c r="A2081" s="1">
        <v>38294</v>
      </c>
      <c r="B2081">
        <v>10319</v>
      </c>
      <c r="C2081">
        <v>456</v>
      </c>
      <c r="D2081" t="s">
        <v>243</v>
      </c>
      <c r="E2081" t="s">
        <v>14</v>
      </c>
      <c r="F2081" t="s">
        <v>102</v>
      </c>
      <c r="G2081" t="s">
        <v>126</v>
      </c>
      <c r="H2081">
        <v>22</v>
      </c>
      <c r="I2081" s="2">
        <v>96.95</v>
      </c>
      <c r="J2081" s="2">
        <v>56.13</v>
      </c>
      <c r="K2081" s="2">
        <v>2132.9</v>
      </c>
      <c r="L2081" s="2">
        <v>1234.8599999999999</v>
      </c>
      <c r="M2081" s="2">
        <v>898.04</v>
      </c>
      <c r="N2081">
        <v>2</v>
      </c>
    </row>
    <row r="2082" spans="1:14" x14ac:dyDescent="0.3">
      <c r="A2082" s="1">
        <v>38294</v>
      </c>
      <c r="B2082">
        <v>10319</v>
      </c>
      <c r="C2082">
        <v>456</v>
      </c>
      <c r="D2082" t="s">
        <v>243</v>
      </c>
      <c r="E2082" t="s">
        <v>14</v>
      </c>
      <c r="F2082" t="s">
        <v>102</v>
      </c>
      <c r="G2082" t="s">
        <v>127</v>
      </c>
      <c r="H2082">
        <v>45</v>
      </c>
      <c r="I2082" s="2">
        <v>79.73</v>
      </c>
      <c r="J2082" s="2">
        <v>34.17</v>
      </c>
      <c r="K2082" s="2">
        <v>3587.85</v>
      </c>
      <c r="L2082" s="2">
        <v>1537.65</v>
      </c>
      <c r="M2082" s="2">
        <v>2050.1999999999998</v>
      </c>
      <c r="N2082">
        <v>2</v>
      </c>
    </row>
    <row r="2083" spans="1:14" x14ac:dyDescent="0.3">
      <c r="A2083" s="1">
        <v>38295</v>
      </c>
      <c r="B2083">
        <v>10322</v>
      </c>
      <c r="C2083">
        <v>363</v>
      </c>
      <c r="D2083" t="s">
        <v>198</v>
      </c>
      <c r="E2083" t="s">
        <v>14</v>
      </c>
      <c r="F2083" t="s">
        <v>29</v>
      </c>
      <c r="G2083" t="s">
        <v>30</v>
      </c>
      <c r="H2083">
        <v>40</v>
      </c>
      <c r="I2083" s="2">
        <v>180.01</v>
      </c>
      <c r="J2083" s="2">
        <v>98.58</v>
      </c>
      <c r="K2083" s="2">
        <v>7200.4</v>
      </c>
      <c r="L2083" s="2">
        <v>3943.2</v>
      </c>
      <c r="M2083" s="2">
        <v>3257.2</v>
      </c>
      <c r="N2083">
        <v>3</v>
      </c>
    </row>
    <row r="2084" spans="1:14" x14ac:dyDescent="0.3">
      <c r="A2084" s="1">
        <v>38295</v>
      </c>
      <c r="B2084">
        <v>10322</v>
      </c>
      <c r="C2084">
        <v>363</v>
      </c>
      <c r="D2084" t="s">
        <v>198</v>
      </c>
      <c r="E2084" t="s">
        <v>14</v>
      </c>
      <c r="F2084" t="s">
        <v>29</v>
      </c>
      <c r="G2084" t="s">
        <v>31</v>
      </c>
      <c r="H2084">
        <v>46</v>
      </c>
      <c r="I2084" s="2">
        <v>141.83000000000001</v>
      </c>
      <c r="J2084" s="2">
        <v>103.42</v>
      </c>
      <c r="K2084" s="2">
        <v>6524.18</v>
      </c>
      <c r="L2084" s="2">
        <v>4757.32</v>
      </c>
      <c r="M2084" s="2">
        <v>1766.86</v>
      </c>
      <c r="N2084">
        <v>3</v>
      </c>
    </row>
    <row r="2085" spans="1:14" x14ac:dyDescent="0.3">
      <c r="A2085" s="1">
        <v>38295</v>
      </c>
      <c r="B2085">
        <v>10322</v>
      </c>
      <c r="C2085">
        <v>363</v>
      </c>
      <c r="D2085" t="s">
        <v>198</v>
      </c>
      <c r="E2085" t="s">
        <v>14</v>
      </c>
      <c r="F2085" t="s">
        <v>32</v>
      </c>
      <c r="G2085" t="s">
        <v>33</v>
      </c>
      <c r="H2085">
        <v>27</v>
      </c>
      <c r="I2085" s="2">
        <v>136.66999999999999</v>
      </c>
      <c r="J2085" s="2">
        <v>77.900000000000006</v>
      </c>
      <c r="K2085" s="2">
        <v>3690.09</v>
      </c>
      <c r="L2085" s="2">
        <v>2103.3000000000002</v>
      </c>
      <c r="M2085" s="2">
        <v>1586.79</v>
      </c>
      <c r="N2085">
        <v>3</v>
      </c>
    </row>
    <row r="2086" spans="1:14" x14ac:dyDescent="0.3">
      <c r="A2086" s="1">
        <v>38295</v>
      </c>
      <c r="B2086">
        <v>10322</v>
      </c>
      <c r="C2086">
        <v>363</v>
      </c>
      <c r="D2086" t="s">
        <v>198</v>
      </c>
      <c r="E2086" t="s">
        <v>14</v>
      </c>
      <c r="F2086" t="s">
        <v>32</v>
      </c>
      <c r="G2086" t="s">
        <v>34</v>
      </c>
      <c r="H2086">
        <v>22</v>
      </c>
      <c r="I2086" s="2">
        <v>101.5</v>
      </c>
      <c r="J2086" s="2">
        <v>58.33</v>
      </c>
      <c r="K2086" s="2">
        <v>2233</v>
      </c>
      <c r="L2086" s="2">
        <v>1283.26</v>
      </c>
      <c r="M2086" s="2">
        <v>949.74</v>
      </c>
      <c r="N2086">
        <v>3</v>
      </c>
    </row>
    <row r="2087" spans="1:14" x14ac:dyDescent="0.3">
      <c r="A2087" s="1">
        <v>38295</v>
      </c>
      <c r="B2087">
        <v>10322</v>
      </c>
      <c r="C2087">
        <v>363</v>
      </c>
      <c r="D2087" t="s">
        <v>198</v>
      </c>
      <c r="E2087" t="s">
        <v>14</v>
      </c>
      <c r="F2087" t="s">
        <v>15</v>
      </c>
      <c r="G2087" t="s">
        <v>25</v>
      </c>
      <c r="H2087">
        <v>43</v>
      </c>
      <c r="I2087" s="2">
        <v>92.47</v>
      </c>
      <c r="J2087" s="2">
        <v>60.62</v>
      </c>
      <c r="K2087" s="2">
        <v>3976.21</v>
      </c>
      <c r="L2087" s="2">
        <v>2606.66</v>
      </c>
      <c r="M2087" s="2">
        <v>1369.55</v>
      </c>
      <c r="N2087">
        <v>3</v>
      </c>
    </row>
    <row r="2088" spans="1:14" x14ac:dyDescent="0.3">
      <c r="A2088" s="1">
        <v>38295</v>
      </c>
      <c r="B2088">
        <v>10322</v>
      </c>
      <c r="C2088">
        <v>363</v>
      </c>
      <c r="D2088" t="s">
        <v>198</v>
      </c>
      <c r="E2088" t="s">
        <v>14</v>
      </c>
      <c r="F2088" t="s">
        <v>15</v>
      </c>
      <c r="G2088" t="s">
        <v>26</v>
      </c>
      <c r="H2088">
        <v>41</v>
      </c>
      <c r="I2088" s="2">
        <v>44.21</v>
      </c>
      <c r="J2088" s="2">
        <v>24.26</v>
      </c>
      <c r="K2088" s="2">
        <v>1812.61</v>
      </c>
      <c r="L2088" s="2">
        <v>994.66</v>
      </c>
      <c r="M2088" s="2">
        <v>817.95</v>
      </c>
      <c r="N2088">
        <v>3</v>
      </c>
    </row>
    <row r="2089" spans="1:14" x14ac:dyDescent="0.3">
      <c r="A2089" s="1">
        <v>38295</v>
      </c>
      <c r="B2089">
        <v>10322</v>
      </c>
      <c r="C2089">
        <v>363</v>
      </c>
      <c r="D2089" t="s">
        <v>198</v>
      </c>
      <c r="E2089" t="s">
        <v>14</v>
      </c>
      <c r="F2089" t="s">
        <v>15</v>
      </c>
      <c r="G2089" t="s">
        <v>21</v>
      </c>
      <c r="H2089">
        <v>50</v>
      </c>
      <c r="I2089" s="2">
        <v>120.77</v>
      </c>
      <c r="J2089" s="2">
        <v>58.48</v>
      </c>
      <c r="K2089" s="2">
        <v>6038.5</v>
      </c>
      <c r="L2089" s="2">
        <v>2924</v>
      </c>
      <c r="M2089" s="2">
        <v>3114.5</v>
      </c>
      <c r="N2089">
        <v>3</v>
      </c>
    </row>
    <row r="2090" spans="1:14" x14ac:dyDescent="0.3">
      <c r="A2090" s="1">
        <v>38295</v>
      </c>
      <c r="B2090">
        <v>10322</v>
      </c>
      <c r="C2090">
        <v>363</v>
      </c>
      <c r="D2090" t="s">
        <v>198</v>
      </c>
      <c r="E2090" t="s">
        <v>14</v>
      </c>
      <c r="F2090" t="s">
        <v>32</v>
      </c>
      <c r="G2090" t="s">
        <v>35</v>
      </c>
      <c r="H2090">
        <v>35</v>
      </c>
      <c r="I2090" s="2">
        <v>57.12</v>
      </c>
      <c r="J2090" s="2">
        <v>24.92</v>
      </c>
      <c r="K2090" s="2">
        <v>1999.2</v>
      </c>
      <c r="L2090" s="2">
        <v>872.2</v>
      </c>
      <c r="M2090" s="2">
        <v>1127</v>
      </c>
      <c r="N2090">
        <v>3</v>
      </c>
    </row>
    <row r="2091" spans="1:14" x14ac:dyDescent="0.3">
      <c r="A2091" s="1">
        <v>38295</v>
      </c>
      <c r="B2091">
        <v>10322</v>
      </c>
      <c r="C2091">
        <v>363</v>
      </c>
      <c r="D2091" t="s">
        <v>198</v>
      </c>
      <c r="E2091" t="s">
        <v>14</v>
      </c>
      <c r="F2091" t="s">
        <v>15</v>
      </c>
      <c r="G2091" t="s">
        <v>22</v>
      </c>
      <c r="H2091">
        <v>36</v>
      </c>
      <c r="I2091" s="2">
        <v>158.63</v>
      </c>
      <c r="J2091" s="2">
        <v>72.56</v>
      </c>
      <c r="K2091" s="2">
        <v>5710.68</v>
      </c>
      <c r="L2091" s="2">
        <v>2612.16</v>
      </c>
      <c r="M2091" s="2">
        <v>3098.52</v>
      </c>
      <c r="N2091">
        <v>3</v>
      </c>
    </row>
    <row r="2092" spans="1:14" x14ac:dyDescent="0.3">
      <c r="A2092" s="1">
        <v>38295</v>
      </c>
      <c r="B2092">
        <v>10322</v>
      </c>
      <c r="C2092">
        <v>363</v>
      </c>
      <c r="D2092" t="s">
        <v>198</v>
      </c>
      <c r="E2092" t="s">
        <v>14</v>
      </c>
      <c r="F2092" t="s">
        <v>15</v>
      </c>
      <c r="G2092" t="s">
        <v>36</v>
      </c>
      <c r="H2092">
        <v>33</v>
      </c>
      <c r="I2092" s="2">
        <v>100.3</v>
      </c>
      <c r="J2092" s="2">
        <v>60.78</v>
      </c>
      <c r="K2092" s="2">
        <v>3309.9</v>
      </c>
      <c r="L2092" s="2">
        <v>2005.74</v>
      </c>
      <c r="M2092" s="2">
        <v>1304.1600000000001</v>
      </c>
      <c r="N2092">
        <v>3</v>
      </c>
    </row>
    <row r="2093" spans="1:14" x14ac:dyDescent="0.3">
      <c r="A2093" s="1">
        <v>38295</v>
      </c>
      <c r="B2093">
        <v>10322</v>
      </c>
      <c r="C2093">
        <v>363</v>
      </c>
      <c r="D2093" t="s">
        <v>198</v>
      </c>
      <c r="E2093" t="s">
        <v>14</v>
      </c>
      <c r="F2093" t="s">
        <v>15</v>
      </c>
      <c r="G2093" t="s">
        <v>37</v>
      </c>
      <c r="H2093">
        <v>41</v>
      </c>
      <c r="I2093" s="2">
        <v>54.34</v>
      </c>
      <c r="J2093" s="2">
        <v>34.35</v>
      </c>
      <c r="K2093" s="2">
        <v>2227.94</v>
      </c>
      <c r="L2093" s="2">
        <v>1408.35</v>
      </c>
      <c r="M2093" s="2">
        <v>819.59</v>
      </c>
      <c r="N2093">
        <v>3</v>
      </c>
    </row>
    <row r="2094" spans="1:14" x14ac:dyDescent="0.3">
      <c r="A2094" s="1">
        <v>38295</v>
      </c>
      <c r="B2094">
        <v>10322</v>
      </c>
      <c r="C2094">
        <v>363</v>
      </c>
      <c r="D2094" t="s">
        <v>198</v>
      </c>
      <c r="E2094" t="s">
        <v>14</v>
      </c>
      <c r="F2094" t="s">
        <v>15</v>
      </c>
      <c r="G2094" t="s">
        <v>38</v>
      </c>
      <c r="H2094">
        <v>48</v>
      </c>
      <c r="I2094" s="2">
        <v>90.06</v>
      </c>
      <c r="J2094" s="2">
        <v>60.74</v>
      </c>
      <c r="K2094" s="2">
        <v>4322.88</v>
      </c>
      <c r="L2094" s="2">
        <v>2915.52</v>
      </c>
      <c r="M2094" s="2">
        <v>1407.36</v>
      </c>
      <c r="N2094">
        <v>3</v>
      </c>
    </row>
    <row r="2095" spans="1:14" x14ac:dyDescent="0.3">
      <c r="A2095" s="1">
        <v>38295</v>
      </c>
      <c r="B2095">
        <v>10322</v>
      </c>
      <c r="C2095">
        <v>363</v>
      </c>
      <c r="D2095" t="s">
        <v>198</v>
      </c>
      <c r="E2095" t="s">
        <v>14</v>
      </c>
      <c r="F2095" t="s">
        <v>15</v>
      </c>
      <c r="G2095" t="s">
        <v>23</v>
      </c>
      <c r="H2095">
        <v>20</v>
      </c>
      <c r="I2095" s="2">
        <v>26.55</v>
      </c>
      <c r="J2095" s="2">
        <v>22.57</v>
      </c>
      <c r="K2095" s="2">
        <v>531</v>
      </c>
      <c r="L2095" s="2">
        <v>451.4</v>
      </c>
      <c r="M2095" s="2">
        <v>79.599999999999994</v>
      </c>
      <c r="N2095">
        <v>3</v>
      </c>
    </row>
    <row r="2096" spans="1:14" x14ac:dyDescent="0.3">
      <c r="A2096" s="1">
        <v>38295</v>
      </c>
      <c r="B2096">
        <v>10322</v>
      </c>
      <c r="C2096">
        <v>363</v>
      </c>
      <c r="D2096" t="s">
        <v>198</v>
      </c>
      <c r="E2096" t="s">
        <v>14</v>
      </c>
      <c r="F2096" t="s">
        <v>15</v>
      </c>
      <c r="G2096" t="s">
        <v>24</v>
      </c>
      <c r="H2096">
        <v>30</v>
      </c>
      <c r="I2096" s="2">
        <v>40.770000000000003</v>
      </c>
      <c r="J2096" s="2">
        <v>20.61</v>
      </c>
      <c r="K2096" s="2">
        <v>1223.0999999999999</v>
      </c>
      <c r="L2096" s="2">
        <v>618.29999999999995</v>
      </c>
      <c r="M2096" s="2">
        <v>604.79999999999995</v>
      </c>
      <c r="N2096">
        <v>3</v>
      </c>
    </row>
    <row r="2097" spans="1:14" x14ac:dyDescent="0.3">
      <c r="A2097" s="1">
        <v>38295</v>
      </c>
      <c r="B2097">
        <v>10321</v>
      </c>
      <c r="C2097">
        <v>462</v>
      </c>
      <c r="D2097" t="s">
        <v>227</v>
      </c>
      <c r="E2097" t="s">
        <v>14</v>
      </c>
      <c r="F2097" t="s">
        <v>29</v>
      </c>
      <c r="G2097" t="s">
        <v>115</v>
      </c>
      <c r="H2097">
        <v>24</v>
      </c>
      <c r="I2097" s="2">
        <v>105.95</v>
      </c>
      <c r="J2097" s="2">
        <v>58.73</v>
      </c>
      <c r="K2097" s="2">
        <v>2542.8000000000002</v>
      </c>
      <c r="L2097" s="2">
        <v>1409.52</v>
      </c>
      <c r="M2097" s="2">
        <v>1133.28</v>
      </c>
      <c r="N2097">
        <v>2</v>
      </c>
    </row>
    <row r="2098" spans="1:14" x14ac:dyDescent="0.3">
      <c r="A2098" s="1">
        <v>38295</v>
      </c>
      <c r="B2098">
        <v>10321</v>
      </c>
      <c r="C2098">
        <v>462</v>
      </c>
      <c r="D2098" t="s">
        <v>227</v>
      </c>
      <c r="E2098" t="s">
        <v>14</v>
      </c>
      <c r="F2098" t="s">
        <v>29</v>
      </c>
      <c r="G2098" t="s">
        <v>128</v>
      </c>
      <c r="H2098">
        <v>41</v>
      </c>
      <c r="I2098" s="2">
        <v>123.14</v>
      </c>
      <c r="J2098" s="2">
        <v>83.51</v>
      </c>
      <c r="K2098" s="2">
        <v>5048.74</v>
      </c>
      <c r="L2098" s="2">
        <v>3423.91</v>
      </c>
      <c r="M2098" s="2">
        <v>1624.83</v>
      </c>
      <c r="N2098">
        <v>2</v>
      </c>
    </row>
    <row r="2099" spans="1:14" x14ac:dyDescent="0.3">
      <c r="A2099" s="1">
        <v>38295</v>
      </c>
      <c r="B2099">
        <v>10321</v>
      </c>
      <c r="C2099">
        <v>462</v>
      </c>
      <c r="D2099" t="s">
        <v>227</v>
      </c>
      <c r="E2099" t="s">
        <v>14</v>
      </c>
      <c r="F2099" t="s">
        <v>29</v>
      </c>
      <c r="G2099" t="s">
        <v>134</v>
      </c>
      <c r="H2099">
        <v>44</v>
      </c>
      <c r="I2099" s="2">
        <v>120.71</v>
      </c>
      <c r="J2099" s="2">
        <v>65.959999999999994</v>
      </c>
      <c r="K2099" s="2">
        <v>5311.24</v>
      </c>
      <c r="L2099" s="2">
        <v>2902.24</v>
      </c>
      <c r="M2099" s="2">
        <v>2409</v>
      </c>
      <c r="N2099">
        <v>2</v>
      </c>
    </row>
    <row r="2100" spans="1:14" x14ac:dyDescent="0.3">
      <c r="A2100" s="1">
        <v>38295</v>
      </c>
      <c r="B2100">
        <v>10321</v>
      </c>
      <c r="C2100">
        <v>462</v>
      </c>
      <c r="D2100" t="s">
        <v>227</v>
      </c>
      <c r="E2100" t="s">
        <v>14</v>
      </c>
      <c r="F2100" t="s">
        <v>29</v>
      </c>
      <c r="G2100" t="s">
        <v>116</v>
      </c>
      <c r="H2100">
        <v>37</v>
      </c>
      <c r="I2100" s="2">
        <v>73.92</v>
      </c>
      <c r="J2100" s="2">
        <v>53.9</v>
      </c>
      <c r="K2100" s="2">
        <v>2735.04</v>
      </c>
      <c r="L2100" s="2">
        <v>1994.3</v>
      </c>
      <c r="M2100" s="2">
        <v>740.74</v>
      </c>
      <c r="N2100">
        <v>2</v>
      </c>
    </row>
    <row r="2101" spans="1:14" x14ac:dyDescent="0.3">
      <c r="A2101" s="1">
        <v>38295</v>
      </c>
      <c r="B2101">
        <v>10321</v>
      </c>
      <c r="C2101">
        <v>462</v>
      </c>
      <c r="D2101" t="s">
        <v>227</v>
      </c>
      <c r="E2101" t="s">
        <v>14</v>
      </c>
      <c r="F2101" t="s">
        <v>29</v>
      </c>
      <c r="G2101" t="s">
        <v>129</v>
      </c>
      <c r="H2101">
        <v>25</v>
      </c>
      <c r="I2101" s="2">
        <v>142.25</v>
      </c>
      <c r="J2101" s="2">
        <v>93.89</v>
      </c>
      <c r="K2101" s="2">
        <v>3556.25</v>
      </c>
      <c r="L2101" s="2">
        <v>2347.25</v>
      </c>
      <c r="M2101" s="2">
        <v>1209</v>
      </c>
      <c r="N2101">
        <v>2</v>
      </c>
    </row>
    <row r="2102" spans="1:14" x14ac:dyDescent="0.3">
      <c r="A2102" s="1">
        <v>38295</v>
      </c>
      <c r="B2102">
        <v>10321</v>
      </c>
      <c r="C2102">
        <v>462</v>
      </c>
      <c r="D2102" t="s">
        <v>227</v>
      </c>
      <c r="E2102" t="s">
        <v>14</v>
      </c>
      <c r="F2102" t="s">
        <v>29</v>
      </c>
      <c r="G2102" t="s">
        <v>130</v>
      </c>
      <c r="H2102">
        <v>27</v>
      </c>
      <c r="I2102" s="2">
        <v>126.72</v>
      </c>
      <c r="J2102" s="2">
        <v>56.76</v>
      </c>
      <c r="K2102" s="2">
        <v>3421.44</v>
      </c>
      <c r="L2102" s="2">
        <v>1532.52</v>
      </c>
      <c r="M2102" s="2">
        <v>1888.92</v>
      </c>
      <c r="N2102">
        <v>2</v>
      </c>
    </row>
    <row r="2103" spans="1:14" x14ac:dyDescent="0.3">
      <c r="A2103" s="1">
        <v>38295</v>
      </c>
      <c r="B2103">
        <v>10321</v>
      </c>
      <c r="C2103">
        <v>462</v>
      </c>
      <c r="D2103" t="s">
        <v>227</v>
      </c>
      <c r="E2103" t="s">
        <v>14</v>
      </c>
      <c r="F2103" t="s">
        <v>29</v>
      </c>
      <c r="G2103" t="s">
        <v>53</v>
      </c>
      <c r="H2103">
        <v>33</v>
      </c>
      <c r="I2103" s="2">
        <v>164.26</v>
      </c>
      <c r="J2103" s="2">
        <v>77.900000000000006</v>
      </c>
      <c r="K2103" s="2">
        <v>5420.58</v>
      </c>
      <c r="L2103" s="2">
        <v>2570.6999999999998</v>
      </c>
      <c r="M2103" s="2">
        <v>2849.88</v>
      </c>
      <c r="N2103">
        <v>2</v>
      </c>
    </row>
    <row r="2104" spans="1:14" x14ac:dyDescent="0.3">
      <c r="A2104" s="1">
        <v>38295</v>
      </c>
      <c r="B2104">
        <v>10321</v>
      </c>
      <c r="C2104">
        <v>462</v>
      </c>
      <c r="D2104" t="s">
        <v>227</v>
      </c>
      <c r="E2104" t="s">
        <v>14</v>
      </c>
      <c r="F2104" t="s">
        <v>29</v>
      </c>
      <c r="G2104" t="s">
        <v>131</v>
      </c>
      <c r="H2104">
        <v>28</v>
      </c>
      <c r="I2104" s="2">
        <v>138.44999999999999</v>
      </c>
      <c r="J2104" s="2">
        <v>62.16</v>
      </c>
      <c r="K2104" s="2">
        <v>3876.6</v>
      </c>
      <c r="L2104" s="2">
        <v>1740.48</v>
      </c>
      <c r="M2104" s="2">
        <v>2136.12</v>
      </c>
      <c r="N2104">
        <v>2</v>
      </c>
    </row>
    <row r="2105" spans="1:14" x14ac:dyDescent="0.3">
      <c r="A2105" s="1">
        <v>38295</v>
      </c>
      <c r="B2105">
        <v>10321</v>
      </c>
      <c r="C2105">
        <v>462</v>
      </c>
      <c r="D2105" t="s">
        <v>227</v>
      </c>
      <c r="E2105" t="s">
        <v>14</v>
      </c>
      <c r="F2105" t="s">
        <v>29</v>
      </c>
      <c r="G2105" t="s">
        <v>136</v>
      </c>
      <c r="H2105">
        <v>30</v>
      </c>
      <c r="I2105" s="2">
        <v>68.349999999999994</v>
      </c>
      <c r="J2105" s="2">
        <v>49.24</v>
      </c>
      <c r="K2105" s="2">
        <v>2050.5</v>
      </c>
      <c r="L2105" s="2">
        <v>1477.2</v>
      </c>
      <c r="M2105" s="2">
        <v>573.29999999999995</v>
      </c>
      <c r="N2105">
        <v>2</v>
      </c>
    </row>
    <row r="2106" spans="1:14" x14ac:dyDescent="0.3">
      <c r="A2106" s="1">
        <v>38295</v>
      </c>
      <c r="B2106">
        <v>10321</v>
      </c>
      <c r="C2106">
        <v>462</v>
      </c>
      <c r="D2106" t="s">
        <v>227</v>
      </c>
      <c r="E2106" t="s">
        <v>14</v>
      </c>
      <c r="F2106" t="s">
        <v>29</v>
      </c>
      <c r="G2106" t="s">
        <v>137</v>
      </c>
      <c r="H2106">
        <v>48</v>
      </c>
      <c r="I2106" s="2">
        <v>42.76</v>
      </c>
      <c r="J2106" s="2">
        <v>29.18</v>
      </c>
      <c r="K2106" s="2">
        <v>2052.48</v>
      </c>
      <c r="L2106" s="2">
        <v>1400.64</v>
      </c>
      <c r="M2106" s="2">
        <v>651.84</v>
      </c>
      <c r="N2106">
        <v>2</v>
      </c>
    </row>
    <row r="2107" spans="1:14" x14ac:dyDescent="0.3">
      <c r="A2107" s="1">
        <v>38295</v>
      </c>
      <c r="B2107">
        <v>10321</v>
      </c>
      <c r="C2107">
        <v>462</v>
      </c>
      <c r="D2107" t="s">
        <v>227</v>
      </c>
      <c r="E2107" t="s">
        <v>14</v>
      </c>
      <c r="F2107" t="s">
        <v>29</v>
      </c>
      <c r="G2107" t="s">
        <v>138</v>
      </c>
      <c r="H2107">
        <v>30</v>
      </c>
      <c r="I2107" s="2">
        <v>74.510000000000005</v>
      </c>
      <c r="J2107" s="2">
        <v>47.25</v>
      </c>
      <c r="K2107" s="2">
        <v>2235.3000000000002</v>
      </c>
      <c r="L2107" s="2">
        <v>1417.5</v>
      </c>
      <c r="M2107" s="2">
        <v>817.8</v>
      </c>
      <c r="N2107">
        <v>2</v>
      </c>
    </row>
    <row r="2108" spans="1:14" x14ac:dyDescent="0.3">
      <c r="A2108" s="1">
        <v>38295</v>
      </c>
      <c r="B2108">
        <v>10321</v>
      </c>
      <c r="C2108">
        <v>462</v>
      </c>
      <c r="D2108" t="s">
        <v>227</v>
      </c>
      <c r="E2108" t="s">
        <v>14</v>
      </c>
      <c r="F2108" t="s">
        <v>29</v>
      </c>
      <c r="G2108" t="s">
        <v>132</v>
      </c>
      <c r="H2108">
        <v>37</v>
      </c>
      <c r="I2108" s="2">
        <v>31.72</v>
      </c>
      <c r="J2108" s="2">
        <v>16.239999999999998</v>
      </c>
      <c r="K2108" s="2">
        <v>1173.6400000000001</v>
      </c>
      <c r="L2108" s="2">
        <v>600.88</v>
      </c>
      <c r="M2108" s="2">
        <v>572.76</v>
      </c>
      <c r="N2108">
        <v>2</v>
      </c>
    </row>
    <row r="2109" spans="1:14" x14ac:dyDescent="0.3">
      <c r="A2109" s="1">
        <v>38295</v>
      </c>
      <c r="B2109">
        <v>10321</v>
      </c>
      <c r="C2109">
        <v>462</v>
      </c>
      <c r="D2109" t="s">
        <v>227</v>
      </c>
      <c r="E2109" t="s">
        <v>14</v>
      </c>
      <c r="F2109" t="s">
        <v>29</v>
      </c>
      <c r="G2109" t="s">
        <v>140</v>
      </c>
      <c r="H2109">
        <v>39</v>
      </c>
      <c r="I2109" s="2">
        <v>81.33</v>
      </c>
      <c r="J2109" s="2">
        <v>50.51</v>
      </c>
      <c r="K2109" s="2">
        <v>3171.87</v>
      </c>
      <c r="L2109" s="2">
        <v>1969.89</v>
      </c>
      <c r="M2109" s="2">
        <v>1201.98</v>
      </c>
      <c r="N2109">
        <v>2</v>
      </c>
    </row>
    <row r="2110" spans="1:14" x14ac:dyDescent="0.3">
      <c r="A2110" s="1">
        <v>38295</v>
      </c>
      <c r="B2110">
        <v>10321</v>
      </c>
      <c r="C2110">
        <v>462</v>
      </c>
      <c r="D2110" t="s">
        <v>227</v>
      </c>
      <c r="E2110" t="s">
        <v>14</v>
      </c>
      <c r="F2110" t="s">
        <v>29</v>
      </c>
      <c r="G2110" t="s">
        <v>141</v>
      </c>
      <c r="H2110">
        <v>21</v>
      </c>
      <c r="I2110" s="2">
        <v>103.87</v>
      </c>
      <c r="J2110" s="2">
        <v>62.11</v>
      </c>
      <c r="K2110" s="2">
        <v>2181.27</v>
      </c>
      <c r="L2110" s="2">
        <v>1304.31</v>
      </c>
      <c r="M2110" s="2">
        <v>876.96</v>
      </c>
      <c r="N2110">
        <v>2</v>
      </c>
    </row>
    <row r="2111" spans="1:14" x14ac:dyDescent="0.3">
      <c r="A2111" s="1">
        <v>38295</v>
      </c>
      <c r="B2111">
        <v>10321</v>
      </c>
      <c r="C2111">
        <v>462</v>
      </c>
      <c r="D2111" t="s">
        <v>227</v>
      </c>
      <c r="E2111" t="s">
        <v>14</v>
      </c>
      <c r="F2111" t="s">
        <v>29</v>
      </c>
      <c r="G2111" t="s">
        <v>123</v>
      </c>
      <c r="H2111">
        <v>26</v>
      </c>
      <c r="I2111" s="2">
        <v>137.62</v>
      </c>
      <c r="J2111" s="2">
        <v>98.3</v>
      </c>
      <c r="K2111" s="2">
        <v>3578.12</v>
      </c>
      <c r="L2111" s="2">
        <v>2555.8000000000002</v>
      </c>
      <c r="M2111" s="2">
        <v>1022.32</v>
      </c>
      <c r="N2111">
        <v>2</v>
      </c>
    </row>
    <row r="2112" spans="1:14" x14ac:dyDescent="0.3">
      <c r="A2112" s="1">
        <v>38296</v>
      </c>
      <c r="B2112">
        <v>10325</v>
      </c>
      <c r="C2112">
        <v>121</v>
      </c>
      <c r="D2112" t="s">
        <v>27</v>
      </c>
      <c r="E2112" t="s">
        <v>28</v>
      </c>
      <c r="F2112" t="s">
        <v>29</v>
      </c>
      <c r="G2112" t="s">
        <v>65</v>
      </c>
      <c r="H2112">
        <v>47</v>
      </c>
      <c r="I2112" s="2">
        <v>111.52</v>
      </c>
      <c r="J2112" s="2">
        <v>85.68</v>
      </c>
      <c r="K2112" s="2">
        <v>5241.4399999999996</v>
      </c>
      <c r="L2112" s="2">
        <v>4026.96</v>
      </c>
      <c r="M2112" s="2">
        <v>1214.48</v>
      </c>
      <c r="N2112">
        <v>4</v>
      </c>
    </row>
    <row r="2113" spans="1:16" x14ac:dyDescent="0.3">
      <c r="A2113" s="1">
        <v>38296</v>
      </c>
      <c r="B2113">
        <v>10325</v>
      </c>
      <c r="C2113">
        <v>121</v>
      </c>
      <c r="D2113" t="s">
        <v>27</v>
      </c>
      <c r="E2113" t="s">
        <v>28</v>
      </c>
      <c r="F2113" t="s">
        <v>29</v>
      </c>
      <c r="G2113" t="s">
        <v>66</v>
      </c>
      <c r="H2113">
        <v>42</v>
      </c>
      <c r="I2113" s="2">
        <v>193.25</v>
      </c>
      <c r="J2113" s="2">
        <v>95.59</v>
      </c>
      <c r="K2113" s="2">
        <v>8116.5</v>
      </c>
      <c r="L2113" s="2">
        <v>4014.78</v>
      </c>
      <c r="M2113" s="2">
        <v>4101.72</v>
      </c>
      <c r="N2113">
        <v>4</v>
      </c>
    </row>
    <row r="2114" spans="1:16" x14ac:dyDescent="0.3">
      <c r="A2114" s="1">
        <v>38296</v>
      </c>
      <c r="B2114">
        <v>10325</v>
      </c>
      <c r="C2114">
        <v>121</v>
      </c>
      <c r="D2114" t="s">
        <v>27</v>
      </c>
      <c r="E2114" t="s">
        <v>28</v>
      </c>
      <c r="F2114" t="s">
        <v>29</v>
      </c>
      <c r="G2114" t="s">
        <v>67</v>
      </c>
      <c r="H2114">
        <v>24</v>
      </c>
      <c r="I2114" s="2">
        <v>166.1</v>
      </c>
      <c r="J2114" s="2">
        <v>83.05</v>
      </c>
      <c r="K2114" s="2">
        <v>3986.4</v>
      </c>
      <c r="L2114" s="2">
        <v>1993.2</v>
      </c>
      <c r="M2114" s="2">
        <v>1993.2</v>
      </c>
      <c r="N2114">
        <v>4</v>
      </c>
    </row>
    <row r="2115" spans="1:16" x14ac:dyDescent="0.3">
      <c r="A2115" s="1">
        <v>38296</v>
      </c>
      <c r="B2115">
        <v>10325</v>
      </c>
      <c r="C2115">
        <v>121</v>
      </c>
      <c r="D2115" t="s">
        <v>27</v>
      </c>
      <c r="E2115" t="s">
        <v>28</v>
      </c>
      <c r="F2115" t="s">
        <v>15</v>
      </c>
      <c r="G2115" t="s">
        <v>68</v>
      </c>
      <c r="H2115">
        <v>24</v>
      </c>
      <c r="I2115" s="2">
        <v>114.74</v>
      </c>
      <c r="J2115" s="2">
        <v>68.3</v>
      </c>
      <c r="K2115" s="2">
        <v>2753.76</v>
      </c>
      <c r="L2115" s="2">
        <v>1639.2</v>
      </c>
      <c r="M2115" s="2">
        <v>1114.56</v>
      </c>
      <c r="N2115">
        <v>4</v>
      </c>
    </row>
    <row r="2116" spans="1:16" x14ac:dyDescent="0.3">
      <c r="A2116" s="1">
        <v>38296</v>
      </c>
      <c r="B2116">
        <v>10325</v>
      </c>
      <c r="C2116">
        <v>121</v>
      </c>
      <c r="D2116" t="s">
        <v>27</v>
      </c>
      <c r="E2116" t="s">
        <v>28</v>
      </c>
      <c r="F2116" t="s">
        <v>29</v>
      </c>
      <c r="G2116" t="s">
        <v>57</v>
      </c>
      <c r="H2116">
        <v>44</v>
      </c>
      <c r="I2116" s="2">
        <v>114.73</v>
      </c>
      <c r="J2116" s="2">
        <v>69.78</v>
      </c>
      <c r="K2116" s="2">
        <v>5048.12</v>
      </c>
      <c r="L2116" s="2">
        <v>3070.32</v>
      </c>
      <c r="M2116" s="2">
        <v>1977.8</v>
      </c>
      <c r="N2116">
        <v>4</v>
      </c>
    </row>
    <row r="2117" spans="1:16" x14ac:dyDescent="0.3">
      <c r="A2117" s="1">
        <v>38296</v>
      </c>
      <c r="B2117">
        <v>10325</v>
      </c>
      <c r="C2117">
        <v>121</v>
      </c>
      <c r="D2117" t="s">
        <v>27</v>
      </c>
      <c r="E2117" t="s">
        <v>28</v>
      </c>
      <c r="F2117" t="s">
        <v>32</v>
      </c>
      <c r="G2117" t="s">
        <v>58</v>
      </c>
      <c r="H2117">
        <v>38</v>
      </c>
      <c r="I2117" s="2">
        <v>44.37</v>
      </c>
      <c r="J2117" s="2">
        <v>25.98</v>
      </c>
      <c r="K2117" s="2">
        <v>1686.06</v>
      </c>
      <c r="L2117" s="2">
        <v>987.24</v>
      </c>
      <c r="M2117" s="2">
        <v>698.82</v>
      </c>
      <c r="N2117">
        <v>4</v>
      </c>
    </row>
    <row r="2118" spans="1:16" x14ac:dyDescent="0.3">
      <c r="A2118" s="1">
        <v>38296</v>
      </c>
      <c r="B2118">
        <v>10325</v>
      </c>
      <c r="C2118">
        <v>121</v>
      </c>
      <c r="D2118" t="s">
        <v>27</v>
      </c>
      <c r="E2118" t="s">
        <v>28</v>
      </c>
      <c r="F2118" t="s">
        <v>59</v>
      </c>
      <c r="G2118" t="s">
        <v>60</v>
      </c>
      <c r="H2118">
        <v>28</v>
      </c>
      <c r="I2118" s="2">
        <v>55.3</v>
      </c>
      <c r="J2118" s="2">
        <v>26.72</v>
      </c>
      <c r="K2118" s="2">
        <v>1548.4</v>
      </c>
      <c r="L2118" s="2">
        <v>748.16</v>
      </c>
      <c r="M2118" s="2">
        <v>800.24</v>
      </c>
      <c r="N2118">
        <v>4</v>
      </c>
    </row>
    <row r="2119" spans="1:16" x14ac:dyDescent="0.3">
      <c r="A2119" s="1">
        <v>38296</v>
      </c>
      <c r="B2119">
        <v>10325</v>
      </c>
      <c r="C2119">
        <v>121</v>
      </c>
      <c r="D2119" t="s">
        <v>27</v>
      </c>
      <c r="E2119" t="s">
        <v>28</v>
      </c>
      <c r="F2119" t="s">
        <v>32</v>
      </c>
      <c r="G2119" t="s">
        <v>61</v>
      </c>
      <c r="H2119">
        <v>38</v>
      </c>
      <c r="I2119" s="2">
        <v>99.55</v>
      </c>
      <c r="J2119" s="2">
        <v>68.290000000000006</v>
      </c>
      <c r="K2119" s="2">
        <v>3782.9</v>
      </c>
      <c r="L2119" s="2">
        <v>2595.02</v>
      </c>
      <c r="M2119" s="2">
        <v>1187.8800000000001</v>
      </c>
      <c r="N2119">
        <v>4</v>
      </c>
    </row>
    <row r="2120" spans="1:16" x14ac:dyDescent="0.3">
      <c r="A2120" s="1">
        <v>38296</v>
      </c>
      <c r="B2120">
        <v>10325</v>
      </c>
      <c r="C2120">
        <v>121</v>
      </c>
      <c r="D2120" t="s">
        <v>27</v>
      </c>
      <c r="E2120" t="s">
        <v>28</v>
      </c>
      <c r="F2120" t="s">
        <v>59</v>
      </c>
      <c r="G2120" t="s">
        <v>62</v>
      </c>
      <c r="H2120">
        <v>44</v>
      </c>
      <c r="I2120" s="2">
        <v>56.24</v>
      </c>
      <c r="J2120" s="2">
        <v>37.49</v>
      </c>
      <c r="K2120" s="2">
        <v>2474.56</v>
      </c>
      <c r="L2120" s="2">
        <v>1649.56</v>
      </c>
      <c r="M2120" s="2">
        <v>825</v>
      </c>
      <c r="N2120">
        <v>4</v>
      </c>
    </row>
    <row r="2121" spans="1:16" x14ac:dyDescent="0.3">
      <c r="A2121" s="1">
        <v>38296</v>
      </c>
      <c r="B2121">
        <v>10323</v>
      </c>
      <c r="C2121">
        <v>128</v>
      </c>
      <c r="D2121" t="s">
        <v>199</v>
      </c>
      <c r="E2121" t="s">
        <v>20</v>
      </c>
      <c r="F2121" t="s">
        <v>15</v>
      </c>
      <c r="G2121" t="s">
        <v>39</v>
      </c>
      <c r="H2121">
        <v>33</v>
      </c>
      <c r="I2121" s="2">
        <v>88.3</v>
      </c>
      <c r="J2121" s="2">
        <v>57.54</v>
      </c>
      <c r="K2121" s="2">
        <v>2913.9</v>
      </c>
      <c r="L2121" s="2">
        <v>1898.82</v>
      </c>
      <c r="M2121" s="2">
        <v>1015.08</v>
      </c>
      <c r="N2121">
        <v>4</v>
      </c>
      <c r="P2121" t="str">
        <f>TRIM(Table1[[#This Row],[country]])</f>
        <v>Germany</v>
      </c>
    </row>
    <row r="2122" spans="1:16" x14ac:dyDescent="0.3">
      <c r="A2122" s="1">
        <v>38296</v>
      </c>
      <c r="B2122">
        <v>10323</v>
      </c>
      <c r="C2122">
        <v>128</v>
      </c>
      <c r="D2122" t="s">
        <v>199</v>
      </c>
      <c r="E2122" t="s">
        <v>20</v>
      </c>
      <c r="F2122" t="s">
        <v>32</v>
      </c>
      <c r="G2122" t="s">
        <v>40</v>
      </c>
      <c r="H2122">
        <v>47</v>
      </c>
      <c r="I2122" s="2">
        <v>96.86</v>
      </c>
      <c r="J2122" s="2">
        <v>84.76</v>
      </c>
      <c r="K2122" s="2">
        <v>4552.42</v>
      </c>
      <c r="L2122" s="2">
        <v>3983.72</v>
      </c>
      <c r="M2122" s="2">
        <v>568.70000000000005</v>
      </c>
      <c r="N2122">
        <v>4</v>
      </c>
      <c r="P2122" t="str">
        <f>TRIM(Table1[[#This Row],[country]])</f>
        <v>Germany</v>
      </c>
    </row>
    <row r="2123" spans="1:16" x14ac:dyDescent="0.3">
      <c r="A2123" s="1">
        <v>38296</v>
      </c>
      <c r="B2123">
        <v>10324</v>
      </c>
      <c r="C2123">
        <v>181</v>
      </c>
      <c r="D2123" t="s">
        <v>200</v>
      </c>
      <c r="E2123" t="s">
        <v>14</v>
      </c>
      <c r="F2123" t="s">
        <v>29</v>
      </c>
      <c r="G2123" t="s">
        <v>49</v>
      </c>
      <c r="H2123">
        <v>27</v>
      </c>
      <c r="I2123" s="2">
        <v>148.06</v>
      </c>
      <c r="J2123" s="2">
        <v>89.14</v>
      </c>
      <c r="K2123" s="2">
        <v>3997.62</v>
      </c>
      <c r="L2123" s="2">
        <v>2406.7800000000002</v>
      </c>
      <c r="M2123" s="2">
        <v>1590.84</v>
      </c>
      <c r="N2123">
        <v>3</v>
      </c>
      <c r="P2123" t="str">
        <f>TRIM(Table1[[#This Row],[country]])</f>
        <v>USA</v>
      </c>
    </row>
    <row r="2124" spans="1:16" x14ac:dyDescent="0.3">
      <c r="A2124" s="1">
        <v>38296</v>
      </c>
      <c r="B2124">
        <v>10324</v>
      </c>
      <c r="C2124">
        <v>181</v>
      </c>
      <c r="D2124" t="s">
        <v>200</v>
      </c>
      <c r="E2124" t="s">
        <v>14</v>
      </c>
      <c r="F2124" t="s">
        <v>32</v>
      </c>
      <c r="G2124" t="s">
        <v>50</v>
      </c>
      <c r="H2124">
        <v>26</v>
      </c>
      <c r="I2124" s="2">
        <v>100.73</v>
      </c>
      <c r="J2124" s="2">
        <v>55.7</v>
      </c>
      <c r="K2124" s="2">
        <v>2618.98</v>
      </c>
      <c r="L2124" s="2">
        <v>1448.2</v>
      </c>
      <c r="M2124" s="2">
        <v>1170.78</v>
      </c>
      <c r="N2124">
        <v>3</v>
      </c>
      <c r="P2124" t="str">
        <f>TRIM(Table1[[#This Row],[country]])</f>
        <v>USA</v>
      </c>
    </row>
    <row r="2125" spans="1:16" x14ac:dyDescent="0.3">
      <c r="A2125" s="1">
        <v>38296</v>
      </c>
      <c r="B2125">
        <v>10324</v>
      </c>
      <c r="C2125">
        <v>181</v>
      </c>
      <c r="D2125" t="s">
        <v>200</v>
      </c>
      <c r="E2125" t="s">
        <v>14</v>
      </c>
      <c r="F2125" t="s">
        <v>29</v>
      </c>
      <c r="G2125" t="s">
        <v>51</v>
      </c>
      <c r="H2125">
        <v>47</v>
      </c>
      <c r="I2125" s="2">
        <v>142.44999999999999</v>
      </c>
      <c r="J2125" s="2">
        <v>101.51</v>
      </c>
      <c r="K2125" s="2">
        <v>6695.15</v>
      </c>
      <c r="L2125" s="2">
        <v>4770.97</v>
      </c>
      <c r="M2125" s="2">
        <v>1924.18</v>
      </c>
      <c r="N2125">
        <v>3</v>
      </c>
      <c r="P2125" t="str">
        <f>TRIM(Table1[[#This Row],[country]])</f>
        <v>USA</v>
      </c>
    </row>
    <row r="2126" spans="1:16" x14ac:dyDescent="0.3">
      <c r="A2126" s="1">
        <v>38296</v>
      </c>
      <c r="B2126">
        <v>10324</v>
      </c>
      <c r="C2126">
        <v>181</v>
      </c>
      <c r="D2126" t="s">
        <v>200</v>
      </c>
      <c r="E2126" t="s">
        <v>14</v>
      </c>
      <c r="F2126" t="s">
        <v>32</v>
      </c>
      <c r="G2126" t="s">
        <v>52</v>
      </c>
      <c r="H2126">
        <v>33</v>
      </c>
      <c r="I2126" s="2">
        <v>105.55</v>
      </c>
      <c r="J2126" s="2">
        <v>74.86</v>
      </c>
      <c r="K2126" s="2">
        <v>3483.15</v>
      </c>
      <c r="L2126" s="2">
        <v>2470.38</v>
      </c>
      <c r="M2126" s="2">
        <v>1012.77</v>
      </c>
      <c r="N2126">
        <v>3</v>
      </c>
      <c r="P2126" t="str">
        <f>TRIM(Table1[[#This Row],[country]])</f>
        <v>USA</v>
      </c>
    </row>
    <row r="2127" spans="1:16" x14ac:dyDescent="0.3">
      <c r="A2127" s="1">
        <v>38296</v>
      </c>
      <c r="B2127">
        <v>10324</v>
      </c>
      <c r="C2127">
        <v>181</v>
      </c>
      <c r="D2127" t="s">
        <v>200</v>
      </c>
      <c r="E2127" t="s">
        <v>14</v>
      </c>
      <c r="F2127" t="s">
        <v>29</v>
      </c>
      <c r="G2127" t="s">
        <v>53</v>
      </c>
      <c r="H2127">
        <v>27</v>
      </c>
      <c r="I2127" s="2">
        <v>137.16999999999999</v>
      </c>
      <c r="J2127" s="2">
        <v>77.900000000000006</v>
      </c>
      <c r="K2127" s="2">
        <v>3703.59</v>
      </c>
      <c r="L2127" s="2">
        <v>2103.3000000000002</v>
      </c>
      <c r="M2127" s="2">
        <v>1600.29</v>
      </c>
      <c r="N2127">
        <v>3</v>
      </c>
      <c r="P2127" t="str">
        <f>TRIM(Table1[[#This Row],[country]])</f>
        <v>USA</v>
      </c>
    </row>
    <row r="2128" spans="1:16" x14ac:dyDescent="0.3">
      <c r="A2128" s="1">
        <v>38296</v>
      </c>
      <c r="B2128">
        <v>10324</v>
      </c>
      <c r="C2128">
        <v>181</v>
      </c>
      <c r="D2128" t="s">
        <v>200</v>
      </c>
      <c r="E2128" t="s">
        <v>14</v>
      </c>
      <c r="F2128" t="s">
        <v>29</v>
      </c>
      <c r="G2128" t="s">
        <v>54</v>
      </c>
      <c r="H2128">
        <v>49</v>
      </c>
      <c r="I2128" s="2">
        <v>120.64</v>
      </c>
      <c r="J2128" s="2">
        <v>91.92</v>
      </c>
      <c r="K2128" s="2">
        <v>5911.36</v>
      </c>
      <c r="L2128" s="2">
        <v>4504.08</v>
      </c>
      <c r="M2128" s="2">
        <v>1407.28</v>
      </c>
      <c r="N2128">
        <v>3</v>
      </c>
      <c r="P2128" t="str">
        <f>TRIM(Table1[[#This Row],[country]])</f>
        <v>USA</v>
      </c>
    </row>
    <row r="2129" spans="1:16" x14ac:dyDescent="0.3">
      <c r="A2129" s="1">
        <v>38296</v>
      </c>
      <c r="B2129">
        <v>10324</v>
      </c>
      <c r="C2129">
        <v>181</v>
      </c>
      <c r="D2129" t="s">
        <v>200</v>
      </c>
      <c r="E2129" t="s">
        <v>14</v>
      </c>
      <c r="F2129" t="s">
        <v>15</v>
      </c>
      <c r="G2129" t="s">
        <v>41</v>
      </c>
      <c r="H2129">
        <v>38</v>
      </c>
      <c r="I2129" s="2">
        <v>49.81</v>
      </c>
      <c r="J2129" s="2">
        <v>23.14</v>
      </c>
      <c r="K2129" s="2">
        <v>1892.78</v>
      </c>
      <c r="L2129" s="2">
        <v>879.32</v>
      </c>
      <c r="M2129" s="2">
        <v>1013.46</v>
      </c>
      <c r="N2129">
        <v>3</v>
      </c>
      <c r="P2129" t="str">
        <f>TRIM(Table1[[#This Row],[country]])</f>
        <v>USA</v>
      </c>
    </row>
    <row r="2130" spans="1:16" x14ac:dyDescent="0.3">
      <c r="A2130" s="1">
        <v>38296</v>
      </c>
      <c r="B2130">
        <v>10324</v>
      </c>
      <c r="C2130">
        <v>181</v>
      </c>
      <c r="D2130" t="s">
        <v>200</v>
      </c>
      <c r="E2130" t="s">
        <v>14</v>
      </c>
      <c r="F2130" t="s">
        <v>29</v>
      </c>
      <c r="G2130" t="s">
        <v>55</v>
      </c>
      <c r="H2130">
        <v>25</v>
      </c>
      <c r="I2130" s="2">
        <v>49.71</v>
      </c>
      <c r="J2130" s="2">
        <v>32.369999999999997</v>
      </c>
      <c r="K2130" s="2">
        <v>1242.75</v>
      </c>
      <c r="L2130" s="2">
        <v>809.25</v>
      </c>
      <c r="M2130" s="2">
        <v>433.5</v>
      </c>
      <c r="N2130">
        <v>3</v>
      </c>
      <c r="P2130" t="str">
        <f>TRIM(Table1[[#This Row],[country]])</f>
        <v>USA</v>
      </c>
    </row>
    <row r="2131" spans="1:16" x14ac:dyDescent="0.3">
      <c r="A2131" s="1">
        <v>38296</v>
      </c>
      <c r="B2131">
        <v>10324</v>
      </c>
      <c r="C2131">
        <v>181</v>
      </c>
      <c r="D2131" t="s">
        <v>200</v>
      </c>
      <c r="E2131" t="s">
        <v>14</v>
      </c>
      <c r="F2131" t="s">
        <v>32</v>
      </c>
      <c r="G2131" t="s">
        <v>42</v>
      </c>
      <c r="H2131">
        <v>31</v>
      </c>
      <c r="I2131" s="2">
        <v>107.34</v>
      </c>
      <c r="J2131" s="2">
        <v>61.34</v>
      </c>
      <c r="K2131" s="2">
        <v>3327.54</v>
      </c>
      <c r="L2131" s="2">
        <v>1901.54</v>
      </c>
      <c r="M2131" s="2">
        <v>1426</v>
      </c>
      <c r="N2131">
        <v>3</v>
      </c>
      <c r="P2131" t="str">
        <f>TRIM(Table1[[#This Row],[country]])</f>
        <v>USA</v>
      </c>
    </row>
    <row r="2132" spans="1:16" x14ac:dyDescent="0.3">
      <c r="A2132" s="1">
        <v>38296</v>
      </c>
      <c r="B2132">
        <v>10324</v>
      </c>
      <c r="C2132">
        <v>181</v>
      </c>
      <c r="D2132" t="s">
        <v>200</v>
      </c>
      <c r="E2132" t="s">
        <v>14</v>
      </c>
      <c r="F2132" t="s">
        <v>29</v>
      </c>
      <c r="G2132" t="s">
        <v>56</v>
      </c>
      <c r="H2132">
        <v>30</v>
      </c>
      <c r="I2132" s="2">
        <v>29.35</v>
      </c>
      <c r="J2132" s="2">
        <v>15.91</v>
      </c>
      <c r="K2132" s="2">
        <v>880.5</v>
      </c>
      <c r="L2132" s="2">
        <v>477.3</v>
      </c>
      <c r="M2132" s="2">
        <v>403.2</v>
      </c>
      <c r="N2132">
        <v>3</v>
      </c>
      <c r="P2132" t="str">
        <f>TRIM(Table1[[#This Row],[country]])</f>
        <v>USA</v>
      </c>
    </row>
    <row r="2133" spans="1:16" x14ac:dyDescent="0.3">
      <c r="A2133" s="1">
        <v>38296</v>
      </c>
      <c r="B2133">
        <v>10324</v>
      </c>
      <c r="C2133">
        <v>181</v>
      </c>
      <c r="D2133" t="s">
        <v>200</v>
      </c>
      <c r="E2133" t="s">
        <v>14</v>
      </c>
      <c r="F2133" t="s">
        <v>15</v>
      </c>
      <c r="G2133" t="s">
        <v>43</v>
      </c>
      <c r="H2133">
        <v>33</v>
      </c>
      <c r="I2133" s="2">
        <v>95.44</v>
      </c>
      <c r="J2133" s="2">
        <v>57.46</v>
      </c>
      <c r="K2133" s="2">
        <v>3149.52</v>
      </c>
      <c r="L2133" s="2">
        <v>1896.18</v>
      </c>
      <c r="M2133" s="2">
        <v>1253.3399999999999</v>
      </c>
      <c r="N2133">
        <v>3</v>
      </c>
      <c r="P2133" t="str">
        <f>TRIM(Table1[[#This Row],[country]])</f>
        <v>USA</v>
      </c>
    </row>
    <row r="2134" spans="1:16" x14ac:dyDescent="0.3">
      <c r="A2134" s="1">
        <v>38296</v>
      </c>
      <c r="B2134">
        <v>10324</v>
      </c>
      <c r="C2134">
        <v>181</v>
      </c>
      <c r="D2134" t="s">
        <v>200</v>
      </c>
      <c r="E2134" t="s">
        <v>14</v>
      </c>
      <c r="F2134" t="s">
        <v>32</v>
      </c>
      <c r="G2134" t="s">
        <v>44</v>
      </c>
      <c r="H2134">
        <v>20</v>
      </c>
      <c r="I2134" s="2">
        <v>91.49</v>
      </c>
      <c r="J2134" s="2">
        <v>53.93</v>
      </c>
      <c r="K2134" s="2">
        <v>1829.8</v>
      </c>
      <c r="L2134" s="2">
        <v>1078.5999999999999</v>
      </c>
      <c r="M2134" s="2">
        <v>751.2</v>
      </c>
      <c r="N2134">
        <v>3</v>
      </c>
      <c r="P2134" t="str">
        <f>TRIM(Table1[[#This Row],[country]])</f>
        <v>USA</v>
      </c>
    </row>
    <row r="2135" spans="1:16" x14ac:dyDescent="0.3">
      <c r="A2135" s="1">
        <v>38296</v>
      </c>
      <c r="B2135">
        <v>10324</v>
      </c>
      <c r="C2135">
        <v>181</v>
      </c>
      <c r="D2135" t="s">
        <v>200</v>
      </c>
      <c r="E2135" t="s">
        <v>14</v>
      </c>
      <c r="F2135" t="s">
        <v>32</v>
      </c>
      <c r="G2135" t="s">
        <v>45</v>
      </c>
      <c r="H2135">
        <v>48</v>
      </c>
      <c r="I2135" s="2">
        <v>60.76</v>
      </c>
      <c r="J2135" s="2">
        <v>33.61</v>
      </c>
      <c r="K2135" s="2">
        <v>2916.48</v>
      </c>
      <c r="L2135" s="2">
        <v>1613.28</v>
      </c>
      <c r="M2135" s="2">
        <v>1303.2</v>
      </c>
      <c r="N2135">
        <v>3</v>
      </c>
      <c r="P2135" t="str">
        <f>TRIM(Table1[[#This Row],[country]])</f>
        <v>USA</v>
      </c>
    </row>
    <row r="2136" spans="1:16" x14ac:dyDescent="0.3">
      <c r="A2136" s="1">
        <v>38296</v>
      </c>
      <c r="B2136">
        <v>10324</v>
      </c>
      <c r="C2136">
        <v>181</v>
      </c>
      <c r="D2136" t="s">
        <v>200</v>
      </c>
      <c r="E2136" t="s">
        <v>14</v>
      </c>
      <c r="F2136" t="s">
        <v>29</v>
      </c>
      <c r="G2136" t="s">
        <v>46</v>
      </c>
      <c r="H2136">
        <v>34</v>
      </c>
      <c r="I2136" s="2">
        <v>80.92</v>
      </c>
      <c r="J2136" s="2">
        <v>46.53</v>
      </c>
      <c r="K2136" s="2">
        <v>2751.28</v>
      </c>
      <c r="L2136" s="2">
        <v>1582.02</v>
      </c>
      <c r="M2136" s="2">
        <v>1169.26</v>
      </c>
      <c r="N2136">
        <v>3</v>
      </c>
      <c r="P2136" t="str">
        <f>TRIM(Table1[[#This Row],[country]])</f>
        <v>USA</v>
      </c>
    </row>
    <row r="2137" spans="1:16" x14ac:dyDescent="0.3">
      <c r="A2137" s="1">
        <v>38300</v>
      </c>
      <c r="B2137">
        <v>10326</v>
      </c>
      <c r="C2137">
        <v>144</v>
      </c>
      <c r="D2137" t="s">
        <v>142</v>
      </c>
      <c r="E2137" t="s">
        <v>143</v>
      </c>
      <c r="F2137" t="s">
        <v>59</v>
      </c>
      <c r="G2137" t="s">
        <v>69</v>
      </c>
      <c r="H2137">
        <v>32</v>
      </c>
      <c r="I2137" s="2">
        <v>94.79</v>
      </c>
      <c r="J2137" s="2">
        <v>67.56</v>
      </c>
      <c r="K2137" s="2">
        <v>3033.28</v>
      </c>
      <c r="L2137" s="2">
        <v>2161.92</v>
      </c>
      <c r="M2137" s="2">
        <v>871.36</v>
      </c>
      <c r="N2137">
        <v>3</v>
      </c>
      <c r="P2137" t="str">
        <f>TRIM(Table1[[#This Row],[country]])</f>
        <v>Sweden</v>
      </c>
    </row>
    <row r="2138" spans="1:16" x14ac:dyDescent="0.3">
      <c r="A2138" s="1">
        <v>38300</v>
      </c>
      <c r="B2138">
        <v>10326</v>
      </c>
      <c r="C2138">
        <v>144</v>
      </c>
      <c r="D2138" t="s">
        <v>142</v>
      </c>
      <c r="E2138" t="s">
        <v>143</v>
      </c>
      <c r="F2138" t="s">
        <v>15</v>
      </c>
      <c r="G2138" t="s">
        <v>70</v>
      </c>
      <c r="H2138">
        <v>50</v>
      </c>
      <c r="I2138" s="2">
        <v>73.73</v>
      </c>
      <c r="J2138" s="2">
        <v>52.66</v>
      </c>
      <c r="K2138" s="2">
        <v>3686.5</v>
      </c>
      <c r="L2138" s="2">
        <v>2633</v>
      </c>
      <c r="M2138" s="2">
        <v>1053.5</v>
      </c>
      <c r="N2138">
        <v>3</v>
      </c>
      <c r="P2138" t="str">
        <f>TRIM(Table1[[#This Row],[country]])</f>
        <v>Sweden</v>
      </c>
    </row>
    <row r="2139" spans="1:16" x14ac:dyDescent="0.3">
      <c r="A2139" s="1">
        <v>38300</v>
      </c>
      <c r="B2139">
        <v>10326</v>
      </c>
      <c r="C2139">
        <v>144</v>
      </c>
      <c r="D2139" t="s">
        <v>142</v>
      </c>
      <c r="E2139" t="s">
        <v>143</v>
      </c>
      <c r="F2139" t="s">
        <v>71</v>
      </c>
      <c r="G2139" t="s">
        <v>72</v>
      </c>
      <c r="H2139">
        <v>41</v>
      </c>
      <c r="I2139" s="2">
        <v>120.43</v>
      </c>
      <c r="J2139" s="2">
        <v>82.34</v>
      </c>
      <c r="K2139" s="2">
        <v>4937.63</v>
      </c>
      <c r="L2139" s="2">
        <v>3375.94</v>
      </c>
      <c r="M2139" s="2">
        <v>1561.69</v>
      </c>
      <c r="N2139">
        <v>3</v>
      </c>
      <c r="P2139" t="str">
        <f>TRIM(Table1[[#This Row],[country]])</f>
        <v>Sweden</v>
      </c>
    </row>
    <row r="2140" spans="1:16" x14ac:dyDescent="0.3">
      <c r="A2140" s="1">
        <v>38300</v>
      </c>
      <c r="B2140">
        <v>10326</v>
      </c>
      <c r="C2140">
        <v>144</v>
      </c>
      <c r="D2140" t="s">
        <v>142</v>
      </c>
      <c r="E2140" t="s">
        <v>143</v>
      </c>
      <c r="F2140" t="s">
        <v>15</v>
      </c>
      <c r="G2140" t="s">
        <v>73</v>
      </c>
      <c r="H2140">
        <v>41</v>
      </c>
      <c r="I2140" s="2">
        <v>86.74</v>
      </c>
      <c r="J2140" s="2">
        <v>46.91</v>
      </c>
      <c r="K2140" s="2">
        <v>3556.34</v>
      </c>
      <c r="L2140" s="2">
        <v>1923.31</v>
      </c>
      <c r="M2140" s="2">
        <v>1633.03</v>
      </c>
      <c r="N2140">
        <v>3</v>
      </c>
      <c r="P2140" t="str">
        <f>TRIM(Table1[[#This Row],[country]])</f>
        <v>Sweden</v>
      </c>
    </row>
    <row r="2141" spans="1:16" x14ac:dyDescent="0.3">
      <c r="A2141" s="1">
        <v>38300</v>
      </c>
      <c r="B2141">
        <v>10326</v>
      </c>
      <c r="C2141">
        <v>144</v>
      </c>
      <c r="D2141" t="s">
        <v>142</v>
      </c>
      <c r="E2141" t="s">
        <v>143</v>
      </c>
      <c r="F2141" t="s">
        <v>15</v>
      </c>
      <c r="G2141" t="s">
        <v>74</v>
      </c>
      <c r="H2141">
        <v>20</v>
      </c>
      <c r="I2141" s="2">
        <v>81.34</v>
      </c>
      <c r="J2141" s="2">
        <v>48.64</v>
      </c>
      <c r="K2141" s="2">
        <v>1626.8</v>
      </c>
      <c r="L2141" s="2">
        <v>972.8</v>
      </c>
      <c r="M2141" s="2">
        <v>654</v>
      </c>
      <c r="N2141">
        <v>3</v>
      </c>
      <c r="P2141" t="str">
        <f>TRIM(Table1[[#This Row],[country]])</f>
        <v>Sweden</v>
      </c>
    </row>
    <row r="2142" spans="1:16" x14ac:dyDescent="0.3">
      <c r="A2142" s="1">
        <v>38300</v>
      </c>
      <c r="B2142">
        <v>10326</v>
      </c>
      <c r="C2142">
        <v>144</v>
      </c>
      <c r="D2142" t="s">
        <v>142</v>
      </c>
      <c r="E2142" t="s">
        <v>143</v>
      </c>
      <c r="F2142" t="s">
        <v>71</v>
      </c>
      <c r="G2142" t="s">
        <v>75</v>
      </c>
      <c r="H2142">
        <v>39</v>
      </c>
      <c r="I2142" s="2">
        <v>60.67</v>
      </c>
      <c r="J2142" s="2">
        <v>34</v>
      </c>
      <c r="K2142" s="2">
        <v>2366.13</v>
      </c>
      <c r="L2142" s="2">
        <v>1326</v>
      </c>
      <c r="M2142" s="2">
        <v>1040.1300000000001</v>
      </c>
      <c r="N2142">
        <v>3</v>
      </c>
      <c r="P2142" t="str">
        <f>TRIM(Table1[[#This Row],[country]])</f>
        <v>Sweden</v>
      </c>
    </row>
    <row r="2143" spans="1:16" x14ac:dyDescent="0.3">
      <c r="A2143" s="1">
        <v>38301</v>
      </c>
      <c r="B2143">
        <v>10327</v>
      </c>
      <c r="C2143">
        <v>145</v>
      </c>
      <c r="D2143" t="s">
        <v>63</v>
      </c>
      <c r="E2143" t="s">
        <v>64</v>
      </c>
      <c r="F2143" t="s">
        <v>83</v>
      </c>
      <c r="G2143" t="s">
        <v>84</v>
      </c>
      <c r="H2143">
        <v>25</v>
      </c>
      <c r="I2143" s="2">
        <v>154.54</v>
      </c>
      <c r="J2143" s="2">
        <v>77.27</v>
      </c>
      <c r="K2143" s="2">
        <v>3863.5</v>
      </c>
      <c r="L2143" s="2">
        <v>1931.75</v>
      </c>
      <c r="M2143" s="2">
        <v>1931.75</v>
      </c>
      <c r="N2143">
        <v>4</v>
      </c>
      <c r="P2143" t="str">
        <f>TRIM(Table1[[#This Row],[country]])</f>
        <v>Denmark</v>
      </c>
    </row>
    <row r="2144" spans="1:16" x14ac:dyDescent="0.3">
      <c r="A2144" s="1">
        <v>38301</v>
      </c>
      <c r="B2144">
        <v>10327</v>
      </c>
      <c r="C2144">
        <v>145</v>
      </c>
      <c r="D2144" t="s">
        <v>63</v>
      </c>
      <c r="E2144" t="s">
        <v>64</v>
      </c>
      <c r="F2144" t="s">
        <v>83</v>
      </c>
      <c r="G2144" t="s">
        <v>85</v>
      </c>
      <c r="H2144">
        <v>45</v>
      </c>
      <c r="I2144" s="2">
        <v>74.34</v>
      </c>
      <c r="J2144" s="2">
        <v>49</v>
      </c>
      <c r="K2144" s="2">
        <v>3345.3</v>
      </c>
      <c r="L2144" s="2">
        <v>2205</v>
      </c>
      <c r="M2144" s="2">
        <v>1140.3</v>
      </c>
      <c r="N2144">
        <v>4</v>
      </c>
      <c r="P2144" t="str">
        <f>TRIM(Table1[[#This Row],[country]])</f>
        <v>Denmark</v>
      </c>
    </row>
    <row r="2145" spans="1:16" x14ac:dyDescent="0.3">
      <c r="A2145" s="1">
        <v>38301</v>
      </c>
      <c r="B2145">
        <v>10327</v>
      </c>
      <c r="C2145">
        <v>145</v>
      </c>
      <c r="D2145" t="s">
        <v>63</v>
      </c>
      <c r="E2145" t="s">
        <v>64</v>
      </c>
      <c r="F2145" t="s">
        <v>71</v>
      </c>
      <c r="G2145" t="s">
        <v>86</v>
      </c>
      <c r="H2145">
        <v>25</v>
      </c>
      <c r="I2145" s="2">
        <v>74.84</v>
      </c>
      <c r="J2145" s="2">
        <v>51.61</v>
      </c>
      <c r="K2145" s="2">
        <v>1871</v>
      </c>
      <c r="L2145" s="2">
        <v>1290.25</v>
      </c>
      <c r="M2145" s="2">
        <v>580.75</v>
      </c>
      <c r="N2145">
        <v>4</v>
      </c>
      <c r="P2145" t="str">
        <f>TRIM(Table1[[#This Row],[country]])</f>
        <v>Denmark</v>
      </c>
    </row>
    <row r="2146" spans="1:16" x14ac:dyDescent="0.3">
      <c r="A2146" s="1">
        <v>38301</v>
      </c>
      <c r="B2146">
        <v>10327</v>
      </c>
      <c r="C2146">
        <v>145</v>
      </c>
      <c r="D2146" t="s">
        <v>63</v>
      </c>
      <c r="E2146" t="s">
        <v>64</v>
      </c>
      <c r="F2146" t="s">
        <v>71</v>
      </c>
      <c r="G2146" t="s">
        <v>76</v>
      </c>
      <c r="H2146">
        <v>20</v>
      </c>
      <c r="I2146" s="2">
        <v>79.680000000000007</v>
      </c>
      <c r="J2146" s="2">
        <v>43.3</v>
      </c>
      <c r="K2146" s="2">
        <v>1593.6</v>
      </c>
      <c r="L2146" s="2">
        <v>866</v>
      </c>
      <c r="M2146" s="2">
        <v>727.6</v>
      </c>
      <c r="N2146">
        <v>4</v>
      </c>
      <c r="P2146" t="str">
        <f>TRIM(Table1[[#This Row],[country]])</f>
        <v>Denmark</v>
      </c>
    </row>
    <row r="2147" spans="1:16" x14ac:dyDescent="0.3">
      <c r="A2147" s="1">
        <v>38301</v>
      </c>
      <c r="B2147">
        <v>10327</v>
      </c>
      <c r="C2147">
        <v>145</v>
      </c>
      <c r="D2147" t="s">
        <v>63</v>
      </c>
      <c r="E2147" t="s">
        <v>64</v>
      </c>
      <c r="F2147" t="s">
        <v>71</v>
      </c>
      <c r="G2147" t="s">
        <v>77</v>
      </c>
      <c r="H2147">
        <v>21</v>
      </c>
      <c r="I2147" s="2">
        <v>65.05</v>
      </c>
      <c r="J2147" s="2">
        <v>33.97</v>
      </c>
      <c r="K2147" s="2">
        <v>1366.05</v>
      </c>
      <c r="L2147" s="2">
        <v>713.37</v>
      </c>
      <c r="M2147" s="2">
        <v>652.67999999999995</v>
      </c>
      <c r="N2147">
        <v>4</v>
      </c>
      <c r="P2147" t="str">
        <f>TRIM(Table1[[#This Row],[country]])</f>
        <v>Denmark</v>
      </c>
    </row>
    <row r="2148" spans="1:16" x14ac:dyDescent="0.3">
      <c r="A2148" s="1">
        <v>38301</v>
      </c>
      <c r="B2148">
        <v>10327</v>
      </c>
      <c r="C2148">
        <v>145</v>
      </c>
      <c r="D2148" t="s">
        <v>63</v>
      </c>
      <c r="E2148" t="s">
        <v>64</v>
      </c>
      <c r="F2148" t="s">
        <v>71</v>
      </c>
      <c r="G2148" t="s">
        <v>78</v>
      </c>
      <c r="H2148">
        <v>43</v>
      </c>
      <c r="I2148" s="2">
        <v>85.14</v>
      </c>
      <c r="J2148" s="2">
        <v>51.09</v>
      </c>
      <c r="K2148" s="2">
        <v>3661.02</v>
      </c>
      <c r="L2148" s="2">
        <v>2196.87</v>
      </c>
      <c r="M2148" s="2">
        <v>1464.15</v>
      </c>
      <c r="N2148">
        <v>4</v>
      </c>
      <c r="P2148" t="str">
        <f>TRIM(Table1[[#This Row],[country]])</f>
        <v>Denmark</v>
      </c>
    </row>
    <row r="2149" spans="1:16" x14ac:dyDescent="0.3">
      <c r="A2149" s="1">
        <v>38301</v>
      </c>
      <c r="B2149">
        <v>10327</v>
      </c>
      <c r="C2149">
        <v>145</v>
      </c>
      <c r="D2149" t="s">
        <v>63</v>
      </c>
      <c r="E2149" t="s">
        <v>64</v>
      </c>
      <c r="F2149" t="s">
        <v>71</v>
      </c>
      <c r="G2149" t="s">
        <v>79</v>
      </c>
      <c r="H2149">
        <v>37</v>
      </c>
      <c r="I2149" s="2">
        <v>83.42</v>
      </c>
      <c r="J2149" s="2">
        <v>53.63</v>
      </c>
      <c r="K2149" s="2">
        <v>3086.54</v>
      </c>
      <c r="L2149" s="2">
        <v>1984.31</v>
      </c>
      <c r="M2149" s="2">
        <v>1102.23</v>
      </c>
      <c r="N2149">
        <v>4</v>
      </c>
      <c r="P2149" t="str">
        <f>TRIM(Table1[[#This Row],[country]])</f>
        <v>Denmark</v>
      </c>
    </row>
    <row r="2150" spans="1:16" x14ac:dyDescent="0.3">
      <c r="A2150" s="1">
        <v>38301</v>
      </c>
      <c r="B2150">
        <v>10327</v>
      </c>
      <c r="C2150">
        <v>145</v>
      </c>
      <c r="D2150" t="s">
        <v>63</v>
      </c>
      <c r="E2150" t="s">
        <v>64</v>
      </c>
      <c r="F2150" t="s">
        <v>71</v>
      </c>
      <c r="G2150" t="s">
        <v>80</v>
      </c>
      <c r="H2150">
        <v>37</v>
      </c>
      <c r="I2150" s="2">
        <v>48.05</v>
      </c>
      <c r="J2150" s="2">
        <v>33.299999999999997</v>
      </c>
      <c r="K2150" s="2">
        <v>1777.85</v>
      </c>
      <c r="L2150" s="2">
        <v>1232.0999999999999</v>
      </c>
      <c r="M2150" s="2">
        <v>545.75</v>
      </c>
      <c r="N2150">
        <v>4</v>
      </c>
      <c r="P2150" t="str">
        <f>TRIM(Table1[[#This Row],[country]])</f>
        <v>Denmark</v>
      </c>
    </row>
    <row r="2151" spans="1:16" x14ac:dyDescent="0.3">
      <c r="A2151" s="1">
        <v>38303</v>
      </c>
      <c r="B2151">
        <v>10328</v>
      </c>
      <c r="C2151">
        <v>278</v>
      </c>
      <c r="D2151" t="s">
        <v>81</v>
      </c>
      <c r="E2151" t="s">
        <v>82</v>
      </c>
      <c r="F2151" t="s">
        <v>15</v>
      </c>
      <c r="G2151" t="s">
        <v>87</v>
      </c>
      <c r="H2151">
        <v>34</v>
      </c>
      <c r="I2151" s="2">
        <v>104.81</v>
      </c>
      <c r="J2151" s="2">
        <v>64.58</v>
      </c>
      <c r="K2151" s="2">
        <v>3563.54</v>
      </c>
      <c r="L2151" s="2">
        <v>2195.7199999999998</v>
      </c>
      <c r="M2151" s="2">
        <v>1367.82</v>
      </c>
      <c r="N2151">
        <v>3</v>
      </c>
      <c r="P2151" t="str">
        <f>TRIM(Table1[[#This Row],[country]])</f>
        <v>Italy</v>
      </c>
    </row>
    <row r="2152" spans="1:16" x14ac:dyDescent="0.3">
      <c r="A2152" s="1">
        <v>38303</v>
      </c>
      <c r="B2152">
        <v>10328</v>
      </c>
      <c r="C2152">
        <v>278</v>
      </c>
      <c r="D2152" t="s">
        <v>81</v>
      </c>
      <c r="E2152" t="s">
        <v>82</v>
      </c>
      <c r="F2152" t="s">
        <v>83</v>
      </c>
      <c r="G2152" t="s">
        <v>88</v>
      </c>
      <c r="H2152">
        <v>47</v>
      </c>
      <c r="I2152" s="2">
        <v>87.54</v>
      </c>
      <c r="J2152" s="2">
        <v>66.739999999999995</v>
      </c>
      <c r="K2152" s="2">
        <v>4114.38</v>
      </c>
      <c r="L2152" s="2">
        <v>3136.78</v>
      </c>
      <c r="M2152" s="2">
        <v>977.6</v>
      </c>
      <c r="N2152">
        <v>3</v>
      </c>
      <c r="P2152" t="str">
        <f>TRIM(Table1[[#This Row],[country]])</f>
        <v>Italy</v>
      </c>
    </row>
    <row r="2153" spans="1:16" x14ac:dyDescent="0.3">
      <c r="A2153" s="1">
        <v>38303</v>
      </c>
      <c r="B2153">
        <v>10328</v>
      </c>
      <c r="C2153">
        <v>278</v>
      </c>
      <c r="D2153" t="s">
        <v>81</v>
      </c>
      <c r="E2153" t="s">
        <v>82</v>
      </c>
      <c r="F2153" t="s">
        <v>83</v>
      </c>
      <c r="G2153" t="s">
        <v>89</v>
      </c>
      <c r="H2153">
        <v>48</v>
      </c>
      <c r="I2153" s="2">
        <v>67.819999999999993</v>
      </c>
      <c r="J2153" s="2">
        <v>34.25</v>
      </c>
      <c r="K2153" s="2">
        <v>3255.36</v>
      </c>
      <c r="L2153" s="2">
        <v>1644</v>
      </c>
      <c r="M2153" s="2">
        <v>1611.36</v>
      </c>
      <c r="N2153">
        <v>3</v>
      </c>
      <c r="P2153" t="str">
        <f>TRIM(Table1[[#This Row],[country]])</f>
        <v>Italy</v>
      </c>
    </row>
    <row r="2154" spans="1:16" x14ac:dyDescent="0.3">
      <c r="A2154" s="1">
        <v>38303</v>
      </c>
      <c r="B2154">
        <v>10328</v>
      </c>
      <c r="C2154">
        <v>278</v>
      </c>
      <c r="D2154" t="s">
        <v>81</v>
      </c>
      <c r="E2154" t="s">
        <v>82</v>
      </c>
      <c r="F2154" t="s">
        <v>15</v>
      </c>
      <c r="G2154" t="s">
        <v>90</v>
      </c>
      <c r="H2154">
        <v>20</v>
      </c>
      <c r="I2154" s="2">
        <v>56.55</v>
      </c>
      <c r="J2154" s="2">
        <v>26.3</v>
      </c>
      <c r="K2154" s="2">
        <v>1131</v>
      </c>
      <c r="L2154" s="2">
        <v>526</v>
      </c>
      <c r="M2154" s="2">
        <v>605</v>
      </c>
      <c r="N2154">
        <v>3</v>
      </c>
      <c r="P2154" t="str">
        <f>TRIM(Table1[[#This Row],[country]])</f>
        <v>Italy</v>
      </c>
    </row>
    <row r="2155" spans="1:16" x14ac:dyDescent="0.3">
      <c r="A2155" s="1">
        <v>38303</v>
      </c>
      <c r="B2155">
        <v>10328</v>
      </c>
      <c r="C2155">
        <v>278</v>
      </c>
      <c r="D2155" t="s">
        <v>81</v>
      </c>
      <c r="E2155" t="s">
        <v>82</v>
      </c>
      <c r="F2155" t="s">
        <v>83</v>
      </c>
      <c r="G2155" t="s">
        <v>91</v>
      </c>
      <c r="H2155">
        <v>35</v>
      </c>
      <c r="I2155" s="2">
        <v>55.96</v>
      </c>
      <c r="J2155" s="2">
        <v>29.34</v>
      </c>
      <c r="K2155" s="2">
        <v>1958.6</v>
      </c>
      <c r="L2155" s="2">
        <v>1026.9000000000001</v>
      </c>
      <c r="M2155" s="2">
        <v>931.7</v>
      </c>
      <c r="N2155">
        <v>3</v>
      </c>
      <c r="P2155" t="str">
        <f>TRIM(Table1[[#This Row],[country]])</f>
        <v>Italy</v>
      </c>
    </row>
    <row r="2156" spans="1:16" x14ac:dyDescent="0.3">
      <c r="A2156" s="1">
        <v>38303</v>
      </c>
      <c r="B2156">
        <v>10328</v>
      </c>
      <c r="C2156">
        <v>278</v>
      </c>
      <c r="D2156" t="s">
        <v>81</v>
      </c>
      <c r="E2156" t="s">
        <v>82</v>
      </c>
      <c r="F2156" t="s">
        <v>83</v>
      </c>
      <c r="G2156" t="s">
        <v>92</v>
      </c>
      <c r="H2156">
        <v>43</v>
      </c>
      <c r="I2156" s="2">
        <v>69.55</v>
      </c>
      <c r="J2156" s="2">
        <v>36.229999999999997</v>
      </c>
      <c r="K2156" s="2">
        <v>2990.65</v>
      </c>
      <c r="L2156" s="2">
        <v>1557.89</v>
      </c>
      <c r="M2156" s="2">
        <v>1432.76</v>
      </c>
      <c r="N2156">
        <v>3</v>
      </c>
      <c r="P2156" t="str">
        <f>TRIM(Table1[[#This Row],[country]])</f>
        <v>Italy</v>
      </c>
    </row>
    <row r="2157" spans="1:16" x14ac:dyDescent="0.3">
      <c r="A2157" s="1">
        <v>38303</v>
      </c>
      <c r="B2157">
        <v>10328</v>
      </c>
      <c r="C2157">
        <v>278</v>
      </c>
      <c r="D2157" t="s">
        <v>81</v>
      </c>
      <c r="E2157" t="s">
        <v>82</v>
      </c>
      <c r="F2157" t="s">
        <v>15</v>
      </c>
      <c r="G2157" t="s">
        <v>93</v>
      </c>
      <c r="H2157">
        <v>24</v>
      </c>
      <c r="I2157" s="2">
        <v>57.1</v>
      </c>
      <c r="J2157" s="2">
        <v>33.020000000000003</v>
      </c>
      <c r="K2157" s="2">
        <v>1370.4</v>
      </c>
      <c r="L2157" s="2">
        <v>792.48</v>
      </c>
      <c r="M2157" s="2">
        <v>577.91999999999996</v>
      </c>
      <c r="N2157">
        <v>3</v>
      </c>
      <c r="P2157" t="str">
        <f>TRIM(Table1[[#This Row],[country]])</f>
        <v>Italy</v>
      </c>
    </row>
    <row r="2158" spans="1:16" x14ac:dyDescent="0.3">
      <c r="A2158" s="1">
        <v>38303</v>
      </c>
      <c r="B2158">
        <v>10328</v>
      </c>
      <c r="C2158">
        <v>278</v>
      </c>
      <c r="D2158" t="s">
        <v>81</v>
      </c>
      <c r="E2158" t="s">
        <v>82</v>
      </c>
      <c r="F2158" t="s">
        <v>15</v>
      </c>
      <c r="G2158" t="s">
        <v>94</v>
      </c>
      <c r="H2158">
        <v>34</v>
      </c>
      <c r="I2158" s="2">
        <v>42.33</v>
      </c>
      <c r="J2158" s="2">
        <v>27.06</v>
      </c>
      <c r="K2158" s="2">
        <v>1439.22</v>
      </c>
      <c r="L2158" s="2">
        <v>920.04</v>
      </c>
      <c r="M2158" s="2">
        <v>519.17999999999995</v>
      </c>
      <c r="N2158">
        <v>3</v>
      </c>
      <c r="P2158" t="str">
        <f>TRIM(Table1[[#This Row],[country]])</f>
        <v>Italy</v>
      </c>
    </row>
    <row r="2159" spans="1:16" x14ac:dyDescent="0.3">
      <c r="A2159" s="1">
        <v>38303</v>
      </c>
      <c r="B2159">
        <v>10328</v>
      </c>
      <c r="C2159">
        <v>278</v>
      </c>
      <c r="D2159" t="s">
        <v>81</v>
      </c>
      <c r="E2159" t="s">
        <v>82</v>
      </c>
      <c r="F2159" t="s">
        <v>83</v>
      </c>
      <c r="G2159" t="s">
        <v>95</v>
      </c>
      <c r="H2159">
        <v>27</v>
      </c>
      <c r="I2159" s="2">
        <v>84.03</v>
      </c>
      <c r="J2159" s="2">
        <v>51.15</v>
      </c>
      <c r="K2159" s="2">
        <v>2268.81</v>
      </c>
      <c r="L2159" s="2">
        <v>1381.05</v>
      </c>
      <c r="M2159" s="2">
        <v>887.76</v>
      </c>
      <c r="N2159">
        <v>3</v>
      </c>
      <c r="P2159" t="str">
        <f>TRIM(Table1[[#This Row],[country]])</f>
        <v>Italy</v>
      </c>
    </row>
    <row r="2160" spans="1:16" x14ac:dyDescent="0.3">
      <c r="A2160" s="1">
        <v>38303</v>
      </c>
      <c r="B2160">
        <v>10328</v>
      </c>
      <c r="C2160">
        <v>278</v>
      </c>
      <c r="D2160" t="s">
        <v>81</v>
      </c>
      <c r="E2160" t="s">
        <v>82</v>
      </c>
      <c r="F2160" t="s">
        <v>71</v>
      </c>
      <c r="G2160" t="s">
        <v>96</v>
      </c>
      <c r="H2160">
        <v>41</v>
      </c>
      <c r="I2160" s="2">
        <v>75.13</v>
      </c>
      <c r="J2160" s="2">
        <v>39.83</v>
      </c>
      <c r="K2160" s="2">
        <v>3080.33</v>
      </c>
      <c r="L2160" s="2">
        <v>1633.03</v>
      </c>
      <c r="M2160" s="2">
        <v>1447.3</v>
      </c>
      <c r="N2160">
        <v>3</v>
      </c>
      <c r="P2160" t="str">
        <f>TRIM(Table1[[#This Row],[country]])</f>
        <v>Italy</v>
      </c>
    </row>
    <row r="2161" spans="1:16" x14ac:dyDescent="0.3">
      <c r="A2161" s="1">
        <v>38303</v>
      </c>
      <c r="B2161">
        <v>10328</v>
      </c>
      <c r="C2161">
        <v>278</v>
      </c>
      <c r="D2161" t="s">
        <v>81</v>
      </c>
      <c r="E2161" t="s">
        <v>82</v>
      </c>
      <c r="F2161" t="s">
        <v>83</v>
      </c>
      <c r="G2161" t="s">
        <v>97</v>
      </c>
      <c r="H2161">
        <v>37</v>
      </c>
      <c r="I2161" s="2">
        <v>95.73</v>
      </c>
      <c r="J2161" s="2">
        <v>68.8</v>
      </c>
      <c r="K2161" s="2">
        <v>3542.01</v>
      </c>
      <c r="L2161" s="2">
        <v>2545.6</v>
      </c>
      <c r="M2161" s="2">
        <v>996.41</v>
      </c>
      <c r="N2161">
        <v>3</v>
      </c>
      <c r="P2161" t="str">
        <f>TRIM(Table1[[#This Row],[country]])</f>
        <v>Italy</v>
      </c>
    </row>
    <row r="2162" spans="1:16" x14ac:dyDescent="0.3">
      <c r="A2162" s="1">
        <v>38303</v>
      </c>
      <c r="B2162">
        <v>10328</v>
      </c>
      <c r="C2162">
        <v>278</v>
      </c>
      <c r="D2162" t="s">
        <v>81</v>
      </c>
      <c r="E2162" t="s">
        <v>82</v>
      </c>
      <c r="F2162" t="s">
        <v>83</v>
      </c>
      <c r="G2162" t="s">
        <v>98</v>
      </c>
      <c r="H2162">
        <v>33</v>
      </c>
      <c r="I2162" s="2">
        <v>117.46</v>
      </c>
      <c r="J2162" s="2">
        <v>59.33</v>
      </c>
      <c r="K2162" s="2">
        <v>3876.18</v>
      </c>
      <c r="L2162" s="2">
        <v>1957.89</v>
      </c>
      <c r="M2162" s="2">
        <v>1918.29</v>
      </c>
      <c r="N2162">
        <v>3</v>
      </c>
      <c r="P2162" t="str">
        <f>TRIM(Table1[[#This Row],[country]])</f>
        <v>Italy</v>
      </c>
    </row>
    <row r="2163" spans="1:16" x14ac:dyDescent="0.3">
      <c r="A2163" s="1">
        <v>38303</v>
      </c>
      <c r="B2163">
        <v>10328</v>
      </c>
      <c r="C2163">
        <v>278</v>
      </c>
      <c r="D2163" t="s">
        <v>81</v>
      </c>
      <c r="E2163" t="s">
        <v>82</v>
      </c>
      <c r="F2163" t="s">
        <v>83</v>
      </c>
      <c r="G2163" t="s">
        <v>99</v>
      </c>
      <c r="H2163">
        <v>33</v>
      </c>
      <c r="I2163" s="2">
        <v>71.2</v>
      </c>
      <c r="J2163" s="2">
        <v>54.4</v>
      </c>
      <c r="K2163" s="2">
        <v>2349.6</v>
      </c>
      <c r="L2163" s="2">
        <v>1795.2</v>
      </c>
      <c r="M2163" s="2">
        <v>554.4</v>
      </c>
      <c r="N2163">
        <v>3</v>
      </c>
      <c r="P2163" t="str">
        <f>TRIM(Table1[[#This Row],[country]])</f>
        <v>Italy</v>
      </c>
    </row>
    <row r="2164" spans="1:16" x14ac:dyDescent="0.3">
      <c r="A2164" s="1">
        <v>38303</v>
      </c>
      <c r="B2164">
        <v>10328</v>
      </c>
      <c r="C2164">
        <v>278</v>
      </c>
      <c r="D2164" t="s">
        <v>81</v>
      </c>
      <c r="E2164" t="s">
        <v>82</v>
      </c>
      <c r="F2164" t="s">
        <v>83</v>
      </c>
      <c r="G2164" t="s">
        <v>100</v>
      </c>
      <c r="H2164">
        <v>39</v>
      </c>
      <c r="I2164" s="2">
        <v>69.59</v>
      </c>
      <c r="J2164" s="2">
        <v>36.270000000000003</v>
      </c>
      <c r="K2164" s="2">
        <v>2714.01</v>
      </c>
      <c r="L2164" s="2">
        <v>1414.53</v>
      </c>
      <c r="M2164" s="2">
        <v>1299.48</v>
      </c>
      <c r="N2164">
        <v>3</v>
      </c>
      <c r="P2164" t="str">
        <f>TRIM(Table1[[#This Row],[country]])</f>
        <v>Italy</v>
      </c>
    </row>
    <row r="2165" spans="1:16" x14ac:dyDescent="0.3">
      <c r="A2165" s="1">
        <v>38306</v>
      </c>
      <c r="B2165">
        <v>10329</v>
      </c>
      <c r="C2165">
        <v>131</v>
      </c>
      <c r="D2165" t="s">
        <v>201</v>
      </c>
      <c r="E2165" t="s">
        <v>14</v>
      </c>
      <c r="F2165" t="s">
        <v>102</v>
      </c>
      <c r="G2165" t="s">
        <v>103</v>
      </c>
      <c r="H2165">
        <v>42</v>
      </c>
      <c r="I2165" s="2">
        <v>80.39</v>
      </c>
      <c r="J2165" s="2">
        <v>48.81</v>
      </c>
      <c r="K2165" s="2">
        <v>3376.38</v>
      </c>
      <c r="L2165" s="2">
        <v>2050.02</v>
      </c>
      <c r="M2165" s="2">
        <v>1326.36</v>
      </c>
      <c r="N2165">
        <v>4</v>
      </c>
      <c r="P2165" t="str">
        <f>TRIM(Table1[[#This Row],[country]])</f>
        <v>USA</v>
      </c>
    </row>
    <row r="2166" spans="1:16" x14ac:dyDescent="0.3">
      <c r="A2166" s="1">
        <v>38306</v>
      </c>
      <c r="B2166">
        <v>10329</v>
      </c>
      <c r="C2166">
        <v>131</v>
      </c>
      <c r="D2166" t="s">
        <v>201</v>
      </c>
      <c r="E2166" t="s">
        <v>14</v>
      </c>
      <c r="F2166" t="s">
        <v>102</v>
      </c>
      <c r="G2166" t="s">
        <v>104</v>
      </c>
      <c r="H2166">
        <v>20</v>
      </c>
      <c r="I2166" s="2">
        <v>109.42</v>
      </c>
      <c r="J2166" s="2">
        <v>68.989999999999995</v>
      </c>
      <c r="K2166" s="2">
        <v>2188.4</v>
      </c>
      <c r="L2166" s="2">
        <v>1379.8</v>
      </c>
      <c r="M2166" s="2">
        <v>808.6</v>
      </c>
      <c r="N2166">
        <v>4</v>
      </c>
      <c r="P2166" t="str">
        <f>TRIM(Table1[[#This Row],[country]])</f>
        <v>USA</v>
      </c>
    </row>
    <row r="2167" spans="1:16" x14ac:dyDescent="0.3">
      <c r="A2167" s="1">
        <v>38306</v>
      </c>
      <c r="B2167">
        <v>10329</v>
      </c>
      <c r="C2167">
        <v>131</v>
      </c>
      <c r="D2167" t="s">
        <v>201</v>
      </c>
      <c r="E2167" t="s">
        <v>14</v>
      </c>
      <c r="F2167" t="s">
        <v>102</v>
      </c>
      <c r="G2167" t="s">
        <v>105</v>
      </c>
      <c r="H2167">
        <v>26</v>
      </c>
      <c r="I2167" s="2">
        <v>164.61</v>
      </c>
      <c r="J2167" s="2">
        <v>91.02</v>
      </c>
      <c r="K2167" s="2">
        <v>4279.8599999999997</v>
      </c>
      <c r="L2167" s="2">
        <v>2366.52</v>
      </c>
      <c r="M2167" s="2">
        <v>1913.34</v>
      </c>
      <c r="N2167">
        <v>4</v>
      </c>
      <c r="P2167" t="str">
        <f>TRIM(Table1[[#This Row],[country]])</f>
        <v>USA</v>
      </c>
    </row>
    <row r="2168" spans="1:16" x14ac:dyDescent="0.3">
      <c r="A2168" s="1">
        <v>38306</v>
      </c>
      <c r="B2168">
        <v>10329</v>
      </c>
      <c r="C2168">
        <v>131</v>
      </c>
      <c r="D2168" t="s">
        <v>201</v>
      </c>
      <c r="E2168" t="s">
        <v>14</v>
      </c>
      <c r="F2168" t="s">
        <v>29</v>
      </c>
      <c r="G2168" t="s">
        <v>112</v>
      </c>
      <c r="H2168">
        <v>41</v>
      </c>
      <c r="I2168" s="2">
        <v>182.9</v>
      </c>
      <c r="J2168" s="2">
        <v>95.34</v>
      </c>
      <c r="K2168" s="2">
        <v>7498.9</v>
      </c>
      <c r="L2168" s="2">
        <v>3908.94</v>
      </c>
      <c r="M2168" s="2">
        <v>3589.96</v>
      </c>
      <c r="N2168">
        <v>4</v>
      </c>
      <c r="P2168" t="str">
        <f>TRIM(Table1[[#This Row],[country]])</f>
        <v>USA</v>
      </c>
    </row>
    <row r="2169" spans="1:16" x14ac:dyDescent="0.3">
      <c r="A2169" s="1">
        <v>38306</v>
      </c>
      <c r="B2169">
        <v>10329</v>
      </c>
      <c r="C2169">
        <v>131</v>
      </c>
      <c r="D2169" t="s">
        <v>201</v>
      </c>
      <c r="E2169" t="s">
        <v>14</v>
      </c>
      <c r="F2169" t="s">
        <v>102</v>
      </c>
      <c r="G2169" t="s">
        <v>106</v>
      </c>
      <c r="H2169">
        <v>24</v>
      </c>
      <c r="I2169" s="2">
        <v>128.03</v>
      </c>
      <c r="J2169" s="2">
        <v>66.27</v>
      </c>
      <c r="K2169" s="2">
        <v>3072.72</v>
      </c>
      <c r="L2169" s="2">
        <v>1590.48</v>
      </c>
      <c r="M2169" s="2">
        <v>1482.24</v>
      </c>
      <c r="N2169">
        <v>4</v>
      </c>
      <c r="P2169" t="str">
        <f>TRIM(Table1[[#This Row],[country]])</f>
        <v>USA</v>
      </c>
    </row>
    <row r="2170" spans="1:16" x14ac:dyDescent="0.3">
      <c r="A2170" s="1">
        <v>38306</v>
      </c>
      <c r="B2170">
        <v>10329</v>
      </c>
      <c r="C2170">
        <v>131</v>
      </c>
      <c r="D2170" t="s">
        <v>201</v>
      </c>
      <c r="E2170" t="s">
        <v>14</v>
      </c>
      <c r="F2170" t="s">
        <v>29</v>
      </c>
      <c r="G2170" t="s">
        <v>113</v>
      </c>
      <c r="H2170">
        <v>46</v>
      </c>
      <c r="I2170" s="2">
        <v>117.44</v>
      </c>
      <c r="J2170" s="2">
        <v>75.16</v>
      </c>
      <c r="K2170" s="2">
        <v>5402.24</v>
      </c>
      <c r="L2170" s="2">
        <v>3457.36</v>
      </c>
      <c r="M2170" s="2">
        <v>1944.88</v>
      </c>
      <c r="N2170">
        <v>4</v>
      </c>
      <c r="P2170" t="str">
        <f>TRIM(Table1[[#This Row],[country]])</f>
        <v>USA</v>
      </c>
    </row>
    <row r="2171" spans="1:16" x14ac:dyDescent="0.3">
      <c r="A2171" s="1">
        <v>38306</v>
      </c>
      <c r="B2171">
        <v>10329</v>
      </c>
      <c r="C2171">
        <v>131</v>
      </c>
      <c r="D2171" t="s">
        <v>201</v>
      </c>
      <c r="E2171" t="s">
        <v>14</v>
      </c>
      <c r="F2171" t="s">
        <v>29</v>
      </c>
      <c r="G2171" t="s">
        <v>114</v>
      </c>
      <c r="H2171">
        <v>33</v>
      </c>
      <c r="I2171" s="2">
        <v>74.209999999999994</v>
      </c>
      <c r="J2171" s="2">
        <v>31.92</v>
      </c>
      <c r="K2171" s="2">
        <v>2448.9299999999998</v>
      </c>
      <c r="L2171" s="2">
        <v>1053.3599999999999</v>
      </c>
      <c r="M2171" s="2">
        <v>1395.57</v>
      </c>
      <c r="N2171">
        <v>4</v>
      </c>
      <c r="P2171" t="str">
        <f>TRIM(Table1[[#This Row],[country]])</f>
        <v>USA</v>
      </c>
    </row>
    <row r="2172" spans="1:16" x14ac:dyDescent="0.3">
      <c r="A2172" s="1">
        <v>38306</v>
      </c>
      <c r="B2172">
        <v>10329</v>
      </c>
      <c r="C2172">
        <v>131</v>
      </c>
      <c r="D2172" t="s">
        <v>201</v>
      </c>
      <c r="E2172" t="s">
        <v>14</v>
      </c>
      <c r="F2172" t="s">
        <v>29</v>
      </c>
      <c r="G2172" t="s">
        <v>115</v>
      </c>
      <c r="H2172">
        <v>39</v>
      </c>
      <c r="I2172" s="2">
        <v>102.49</v>
      </c>
      <c r="J2172" s="2">
        <v>58.73</v>
      </c>
      <c r="K2172" s="2">
        <v>3997.11</v>
      </c>
      <c r="L2172" s="2">
        <v>2290.4699999999998</v>
      </c>
      <c r="M2172" s="2">
        <v>1706.64</v>
      </c>
      <c r="N2172">
        <v>4</v>
      </c>
      <c r="P2172" t="str">
        <f>TRIM(Table1[[#This Row],[country]])</f>
        <v>USA</v>
      </c>
    </row>
    <row r="2173" spans="1:16" x14ac:dyDescent="0.3">
      <c r="A2173" s="1">
        <v>38306</v>
      </c>
      <c r="B2173">
        <v>10329</v>
      </c>
      <c r="C2173">
        <v>131</v>
      </c>
      <c r="D2173" t="s">
        <v>201</v>
      </c>
      <c r="E2173" t="s">
        <v>14</v>
      </c>
      <c r="F2173" t="s">
        <v>29</v>
      </c>
      <c r="G2173" t="s">
        <v>116</v>
      </c>
      <c r="H2173">
        <v>29</v>
      </c>
      <c r="I2173" s="2">
        <v>66.22</v>
      </c>
      <c r="J2173" s="2">
        <v>53.9</v>
      </c>
      <c r="K2173" s="2">
        <v>1920.38</v>
      </c>
      <c r="L2173" s="2">
        <v>1563.1</v>
      </c>
      <c r="M2173" s="2">
        <v>357.28</v>
      </c>
      <c r="N2173">
        <v>4</v>
      </c>
      <c r="P2173" t="str">
        <f>TRIM(Table1[[#This Row],[country]])</f>
        <v>USA</v>
      </c>
    </row>
    <row r="2174" spans="1:16" x14ac:dyDescent="0.3">
      <c r="A2174" s="1">
        <v>38306</v>
      </c>
      <c r="B2174">
        <v>10329</v>
      </c>
      <c r="C2174">
        <v>131</v>
      </c>
      <c r="D2174" t="s">
        <v>201</v>
      </c>
      <c r="E2174" t="s">
        <v>14</v>
      </c>
      <c r="F2174" t="s">
        <v>102</v>
      </c>
      <c r="G2174" t="s">
        <v>107</v>
      </c>
      <c r="H2174">
        <v>38</v>
      </c>
      <c r="I2174" s="2">
        <v>55.72</v>
      </c>
      <c r="J2174" s="2">
        <v>24.23</v>
      </c>
      <c r="K2174" s="2">
        <v>2117.36</v>
      </c>
      <c r="L2174" s="2">
        <v>920.74</v>
      </c>
      <c r="M2174" s="2">
        <v>1196.6199999999999</v>
      </c>
      <c r="N2174">
        <v>4</v>
      </c>
      <c r="P2174" t="str">
        <f>TRIM(Table1[[#This Row],[country]])</f>
        <v>USA</v>
      </c>
    </row>
    <row r="2175" spans="1:16" x14ac:dyDescent="0.3">
      <c r="A2175" s="1">
        <v>38306</v>
      </c>
      <c r="B2175">
        <v>10329</v>
      </c>
      <c r="C2175">
        <v>131</v>
      </c>
      <c r="D2175" t="s">
        <v>201</v>
      </c>
      <c r="E2175" t="s">
        <v>14</v>
      </c>
      <c r="F2175" t="s">
        <v>29</v>
      </c>
      <c r="G2175" t="s">
        <v>117</v>
      </c>
      <c r="H2175">
        <v>38</v>
      </c>
      <c r="I2175" s="2">
        <v>65.13</v>
      </c>
      <c r="J2175" s="2">
        <v>49.05</v>
      </c>
      <c r="K2175" s="2">
        <v>2474.94</v>
      </c>
      <c r="L2175" s="2">
        <v>1863.9</v>
      </c>
      <c r="M2175" s="2">
        <v>611.04</v>
      </c>
      <c r="N2175">
        <v>4</v>
      </c>
      <c r="P2175" t="str">
        <f>TRIM(Table1[[#This Row],[country]])</f>
        <v>USA</v>
      </c>
    </row>
    <row r="2176" spans="1:16" x14ac:dyDescent="0.3">
      <c r="A2176" s="1">
        <v>38306</v>
      </c>
      <c r="B2176">
        <v>10329</v>
      </c>
      <c r="C2176">
        <v>131</v>
      </c>
      <c r="D2176" t="s">
        <v>201</v>
      </c>
      <c r="E2176" t="s">
        <v>14</v>
      </c>
      <c r="F2176" t="s">
        <v>102</v>
      </c>
      <c r="G2176" t="s">
        <v>108</v>
      </c>
      <c r="H2176">
        <v>30</v>
      </c>
      <c r="I2176" s="2">
        <v>104.81</v>
      </c>
      <c r="J2176" s="2">
        <v>60.86</v>
      </c>
      <c r="K2176" s="2">
        <v>3144.3</v>
      </c>
      <c r="L2176" s="2">
        <v>1825.8</v>
      </c>
      <c r="M2176" s="2">
        <v>1318.5</v>
      </c>
      <c r="N2176">
        <v>4</v>
      </c>
      <c r="P2176" t="str">
        <f>TRIM(Table1[[#This Row],[country]])</f>
        <v>USA</v>
      </c>
    </row>
    <row r="2177" spans="1:16" x14ac:dyDescent="0.3">
      <c r="A2177" s="1">
        <v>38306</v>
      </c>
      <c r="B2177">
        <v>10329</v>
      </c>
      <c r="C2177">
        <v>131</v>
      </c>
      <c r="D2177" t="s">
        <v>201</v>
      </c>
      <c r="E2177" t="s">
        <v>14</v>
      </c>
      <c r="F2177" t="s">
        <v>102</v>
      </c>
      <c r="G2177" t="s">
        <v>109</v>
      </c>
      <c r="H2177">
        <v>37</v>
      </c>
      <c r="I2177" s="2">
        <v>71.599999999999994</v>
      </c>
      <c r="J2177" s="2">
        <v>37.32</v>
      </c>
      <c r="K2177" s="2">
        <v>2649.2</v>
      </c>
      <c r="L2177" s="2">
        <v>1380.84</v>
      </c>
      <c r="M2177" s="2">
        <v>1268.3599999999999</v>
      </c>
      <c r="N2177">
        <v>4</v>
      </c>
      <c r="P2177" t="str">
        <f>TRIM(Table1[[#This Row],[country]])</f>
        <v>USA</v>
      </c>
    </row>
    <row r="2178" spans="1:16" x14ac:dyDescent="0.3">
      <c r="A2178" s="1">
        <v>38306</v>
      </c>
      <c r="B2178">
        <v>10329</v>
      </c>
      <c r="C2178">
        <v>131</v>
      </c>
      <c r="D2178" t="s">
        <v>201</v>
      </c>
      <c r="E2178" t="s">
        <v>14</v>
      </c>
      <c r="F2178" t="s">
        <v>102</v>
      </c>
      <c r="G2178" t="s">
        <v>110</v>
      </c>
      <c r="H2178">
        <v>45</v>
      </c>
      <c r="I2178" s="2">
        <v>80.91</v>
      </c>
      <c r="J2178" s="2">
        <v>66.92</v>
      </c>
      <c r="K2178" s="2">
        <v>3640.95</v>
      </c>
      <c r="L2178" s="2">
        <v>3011.4</v>
      </c>
      <c r="M2178" s="2">
        <v>629.54999999999995</v>
      </c>
      <c r="N2178">
        <v>4</v>
      </c>
      <c r="P2178" t="str">
        <f>TRIM(Table1[[#This Row],[country]])</f>
        <v>USA</v>
      </c>
    </row>
    <row r="2179" spans="1:16" x14ac:dyDescent="0.3">
      <c r="A2179" s="1">
        <v>38306</v>
      </c>
      <c r="B2179">
        <v>10329</v>
      </c>
      <c r="C2179">
        <v>131</v>
      </c>
      <c r="D2179" t="s">
        <v>201</v>
      </c>
      <c r="E2179" t="s">
        <v>14</v>
      </c>
      <c r="F2179" t="s">
        <v>83</v>
      </c>
      <c r="G2179" t="s">
        <v>101</v>
      </c>
      <c r="H2179">
        <v>44</v>
      </c>
      <c r="I2179" s="2">
        <v>41.22</v>
      </c>
      <c r="J2179" s="2">
        <v>32.770000000000003</v>
      </c>
      <c r="K2179" s="2">
        <v>1813.68</v>
      </c>
      <c r="L2179" s="2">
        <v>1441.88</v>
      </c>
      <c r="M2179" s="2">
        <v>371.8</v>
      </c>
      <c r="N2179">
        <v>4</v>
      </c>
      <c r="P2179" t="str">
        <f>TRIM(Table1[[#This Row],[country]])</f>
        <v>USA</v>
      </c>
    </row>
    <row r="2180" spans="1:16" x14ac:dyDescent="0.3">
      <c r="A2180" s="1">
        <v>38307</v>
      </c>
      <c r="B2180">
        <v>10330</v>
      </c>
      <c r="C2180">
        <v>385</v>
      </c>
      <c r="D2180" t="s">
        <v>202</v>
      </c>
      <c r="E2180" t="s">
        <v>111</v>
      </c>
      <c r="F2180" t="s">
        <v>29</v>
      </c>
      <c r="G2180" t="s">
        <v>118</v>
      </c>
      <c r="H2180">
        <v>37</v>
      </c>
      <c r="I2180" s="2">
        <v>136.69999999999999</v>
      </c>
      <c r="J2180" s="2">
        <v>73.489999999999995</v>
      </c>
      <c r="K2180" s="2">
        <v>5057.8999999999996</v>
      </c>
      <c r="L2180" s="2">
        <v>2719.13</v>
      </c>
      <c r="M2180" s="2">
        <v>2338.77</v>
      </c>
      <c r="N2180">
        <v>3</v>
      </c>
      <c r="P2180" t="str">
        <f>TRIM(Table1[[#This Row],[country]])</f>
        <v>Philippines</v>
      </c>
    </row>
    <row r="2181" spans="1:16" x14ac:dyDescent="0.3">
      <c r="A2181" s="1">
        <v>38307</v>
      </c>
      <c r="B2181">
        <v>10330</v>
      </c>
      <c r="C2181">
        <v>385</v>
      </c>
      <c r="D2181" t="s">
        <v>202</v>
      </c>
      <c r="E2181" t="s">
        <v>111</v>
      </c>
      <c r="F2181" t="s">
        <v>102</v>
      </c>
      <c r="G2181" t="s">
        <v>119</v>
      </c>
      <c r="H2181">
        <v>29</v>
      </c>
      <c r="I2181" s="2">
        <v>59.06</v>
      </c>
      <c r="J2181" s="2">
        <v>32.950000000000003</v>
      </c>
      <c r="K2181" s="2">
        <v>1712.74</v>
      </c>
      <c r="L2181" s="2">
        <v>955.55</v>
      </c>
      <c r="M2181" s="2">
        <v>757.19</v>
      </c>
      <c r="N2181">
        <v>3</v>
      </c>
      <c r="P2181" t="str">
        <f>TRIM(Table1[[#This Row],[country]])</f>
        <v>Philippines</v>
      </c>
    </row>
    <row r="2182" spans="1:16" x14ac:dyDescent="0.3">
      <c r="A2182" s="1">
        <v>38307</v>
      </c>
      <c r="B2182">
        <v>10330</v>
      </c>
      <c r="C2182">
        <v>385</v>
      </c>
      <c r="D2182" t="s">
        <v>202</v>
      </c>
      <c r="E2182" t="s">
        <v>111</v>
      </c>
      <c r="F2182" t="s">
        <v>29</v>
      </c>
      <c r="G2182" t="s">
        <v>120</v>
      </c>
      <c r="H2182">
        <v>50</v>
      </c>
      <c r="I2182" s="2">
        <v>133.91999999999999</v>
      </c>
      <c r="J2182" s="2">
        <v>69.930000000000007</v>
      </c>
      <c r="K2182" s="2">
        <v>6696</v>
      </c>
      <c r="L2182" s="2">
        <v>3496.5</v>
      </c>
      <c r="M2182" s="2">
        <v>3199.5</v>
      </c>
      <c r="N2182">
        <v>3</v>
      </c>
      <c r="P2182" t="str">
        <f>TRIM(Table1[[#This Row],[country]])</f>
        <v>Philippines</v>
      </c>
    </row>
    <row r="2183" spans="1:16" x14ac:dyDescent="0.3">
      <c r="A2183" s="1">
        <v>38307</v>
      </c>
      <c r="B2183">
        <v>10330</v>
      </c>
      <c r="C2183">
        <v>385</v>
      </c>
      <c r="D2183" t="s">
        <v>202</v>
      </c>
      <c r="E2183" t="s">
        <v>111</v>
      </c>
      <c r="F2183" t="s">
        <v>102</v>
      </c>
      <c r="G2183" t="s">
        <v>121</v>
      </c>
      <c r="H2183">
        <v>42</v>
      </c>
      <c r="I2183" s="2">
        <v>56.1</v>
      </c>
      <c r="J2183" s="2">
        <v>47.1</v>
      </c>
      <c r="K2183" s="2">
        <v>2356.1999999999998</v>
      </c>
      <c r="L2183" s="2">
        <v>1978.2</v>
      </c>
      <c r="M2183" s="2">
        <v>378</v>
      </c>
      <c r="N2183">
        <v>3</v>
      </c>
      <c r="P2183" t="str">
        <f>TRIM(Table1[[#This Row],[country]])</f>
        <v>Philippines</v>
      </c>
    </row>
    <row r="2184" spans="1:16" x14ac:dyDescent="0.3">
      <c r="A2184" s="1">
        <v>38308</v>
      </c>
      <c r="B2184">
        <v>10331</v>
      </c>
      <c r="C2184">
        <v>486</v>
      </c>
      <c r="D2184" t="s">
        <v>203</v>
      </c>
      <c r="E2184" t="s">
        <v>14</v>
      </c>
      <c r="F2184" t="s">
        <v>29</v>
      </c>
      <c r="G2184" t="s">
        <v>128</v>
      </c>
      <c r="H2184">
        <v>46</v>
      </c>
      <c r="I2184" s="2">
        <v>120.31</v>
      </c>
      <c r="J2184" s="2">
        <v>83.51</v>
      </c>
      <c r="K2184" s="2">
        <v>5534.26</v>
      </c>
      <c r="L2184" s="2">
        <v>3841.46</v>
      </c>
      <c r="M2184" s="2">
        <v>1692.8</v>
      </c>
      <c r="N2184">
        <v>3</v>
      </c>
      <c r="P2184" t="str">
        <f>TRIM(Table1[[#This Row],[country]])</f>
        <v>USA</v>
      </c>
    </row>
    <row r="2185" spans="1:16" x14ac:dyDescent="0.3">
      <c r="A2185" s="1">
        <v>38308</v>
      </c>
      <c r="B2185">
        <v>10331</v>
      </c>
      <c r="C2185">
        <v>486</v>
      </c>
      <c r="D2185" t="s">
        <v>203</v>
      </c>
      <c r="E2185" t="s">
        <v>14</v>
      </c>
      <c r="F2185" t="s">
        <v>29</v>
      </c>
      <c r="G2185" t="s">
        <v>134</v>
      </c>
      <c r="H2185">
        <v>44</v>
      </c>
      <c r="I2185" s="2">
        <v>99.55</v>
      </c>
      <c r="J2185" s="2">
        <v>65.959999999999994</v>
      </c>
      <c r="K2185" s="2">
        <v>4380.2</v>
      </c>
      <c r="L2185" s="2">
        <v>2902.24</v>
      </c>
      <c r="M2185" s="2">
        <v>1477.96</v>
      </c>
      <c r="N2185">
        <v>3</v>
      </c>
      <c r="P2185" t="str">
        <f>TRIM(Table1[[#This Row],[country]])</f>
        <v>USA</v>
      </c>
    </row>
    <row r="2186" spans="1:16" x14ac:dyDescent="0.3">
      <c r="A2186" s="1">
        <v>38308</v>
      </c>
      <c r="B2186">
        <v>10331</v>
      </c>
      <c r="C2186">
        <v>486</v>
      </c>
      <c r="D2186" t="s">
        <v>203</v>
      </c>
      <c r="E2186" t="s">
        <v>14</v>
      </c>
      <c r="F2186" t="s">
        <v>15</v>
      </c>
      <c r="G2186" t="s">
        <v>16</v>
      </c>
      <c r="H2186">
        <v>44</v>
      </c>
      <c r="I2186" s="2">
        <v>154.69999999999999</v>
      </c>
      <c r="J2186" s="2">
        <v>86.7</v>
      </c>
      <c r="K2186" s="2">
        <v>6806.8</v>
      </c>
      <c r="L2186" s="2">
        <v>3814.8</v>
      </c>
      <c r="M2186" s="2">
        <v>2992</v>
      </c>
      <c r="N2186">
        <v>3</v>
      </c>
      <c r="P2186" t="str">
        <f>TRIM(Table1[[#This Row],[country]])</f>
        <v>USA</v>
      </c>
    </row>
    <row r="2187" spans="1:16" x14ac:dyDescent="0.3">
      <c r="A2187" s="1">
        <v>38308</v>
      </c>
      <c r="B2187">
        <v>10331</v>
      </c>
      <c r="C2187">
        <v>486</v>
      </c>
      <c r="D2187" t="s">
        <v>203</v>
      </c>
      <c r="E2187" t="s">
        <v>14</v>
      </c>
      <c r="F2187" t="s">
        <v>29</v>
      </c>
      <c r="G2187" t="s">
        <v>129</v>
      </c>
      <c r="H2187">
        <v>30</v>
      </c>
      <c r="I2187" s="2">
        <v>135.13999999999999</v>
      </c>
      <c r="J2187" s="2">
        <v>93.89</v>
      </c>
      <c r="K2187" s="2">
        <v>4054.2</v>
      </c>
      <c r="L2187" s="2">
        <v>2816.7</v>
      </c>
      <c r="M2187" s="2">
        <v>1237.5</v>
      </c>
      <c r="N2187">
        <v>3</v>
      </c>
      <c r="P2187" t="str">
        <f>TRIM(Table1[[#This Row],[country]])</f>
        <v>USA</v>
      </c>
    </row>
    <row r="2188" spans="1:16" x14ac:dyDescent="0.3">
      <c r="A2188" s="1">
        <v>38308</v>
      </c>
      <c r="B2188">
        <v>10331</v>
      </c>
      <c r="C2188">
        <v>486</v>
      </c>
      <c r="D2188" t="s">
        <v>203</v>
      </c>
      <c r="E2188" t="s">
        <v>14</v>
      </c>
      <c r="F2188" t="s">
        <v>29</v>
      </c>
      <c r="G2188" t="s">
        <v>130</v>
      </c>
      <c r="H2188">
        <v>26</v>
      </c>
      <c r="I2188" s="2">
        <v>130.68</v>
      </c>
      <c r="J2188" s="2">
        <v>56.76</v>
      </c>
      <c r="K2188" s="2">
        <v>3397.68</v>
      </c>
      <c r="L2188" s="2">
        <v>1475.76</v>
      </c>
      <c r="M2188" s="2">
        <v>1921.92</v>
      </c>
      <c r="N2188">
        <v>3</v>
      </c>
      <c r="P2188" t="str">
        <f>TRIM(Table1[[#This Row],[country]])</f>
        <v>USA</v>
      </c>
    </row>
    <row r="2189" spans="1:16" x14ac:dyDescent="0.3">
      <c r="A2189" s="1">
        <v>38308</v>
      </c>
      <c r="B2189">
        <v>10331</v>
      </c>
      <c r="C2189">
        <v>486</v>
      </c>
      <c r="D2189" t="s">
        <v>203</v>
      </c>
      <c r="E2189" t="s">
        <v>14</v>
      </c>
      <c r="F2189" t="s">
        <v>29</v>
      </c>
      <c r="G2189" t="s">
        <v>53</v>
      </c>
      <c r="H2189">
        <v>27</v>
      </c>
      <c r="I2189" s="2">
        <v>169.34</v>
      </c>
      <c r="J2189" s="2">
        <v>77.900000000000006</v>
      </c>
      <c r="K2189" s="2">
        <v>4572.18</v>
      </c>
      <c r="L2189" s="2">
        <v>2103.3000000000002</v>
      </c>
      <c r="M2189" s="2">
        <v>2468.88</v>
      </c>
      <c r="N2189">
        <v>3</v>
      </c>
      <c r="P2189" t="str">
        <f>TRIM(Table1[[#This Row],[country]])</f>
        <v>USA</v>
      </c>
    </row>
    <row r="2190" spans="1:16" x14ac:dyDescent="0.3">
      <c r="A2190" s="1">
        <v>38308</v>
      </c>
      <c r="B2190">
        <v>10331</v>
      </c>
      <c r="C2190">
        <v>486</v>
      </c>
      <c r="D2190" t="s">
        <v>203</v>
      </c>
      <c r="E2190" t="s">
        <v>14</v>
      </c>
      <c r="F2190" t="s">
        <v>29</v>
      </c>
      <c r="G2190" t="s">
        <v>131</v>
      </c>
      <c r="H2190">
        <v>26</v>
      </c>
      <c r="I2190" s="2">
        <v>132.80000000000001</v>
      </c>
      <c r="J2190" s="2">
        <v>62.16</v>
      </c>
      <c r="K2190" s="2">
        <v>3452.8</v>
      </c>
      <c r="L2190" s="2">
        <v>1616.16</v>
      </c>
      <c r="M2190" s="2">
        <v>1836.64</v>
      </c>
      <c r="N2190">
        <v>3</v>
      </c>
      <c r="P2190" t="str">
        <f>TRIM(Table1[[#This Row],[country]])</f>
        <v>USA</v>
      </c>
    </row>
    <row r="2191" spans="1:16" x14ac:dyDescent="0.3">
      <c r="A2191" s="1">
        <v>38308</v>
      </c>
      <c r="B2191">
        <v>10331</v>
      </c>
      <c r="C2191">
        <v>486</v>
      </c>
      <c r="D2191" t="s">
        <v>203</v>
      </c>
      <c r="E2191" t="s">
        <v>14</v>
      </c>
      <c r="F2191" t="s">
        <v>29</v>
      </c>
      <c r="G2191" t="s">
        <v>132</v>
      </c>
      <c r="H2191">
        <v>27</v>
      </c>
      <c r="I2191" s="2">
        <v>37</v>
      </c>
      <c r="J2191" s="2">
        <v>16.239999999999998</v>
      </c>
      <c r="K2191" s="2">
        <v>999</v>
      </c>
      <c r="L2191" s="2">
        <v>438.48</v>
      </c>
      <c r="M2191" s="2">
        <v>560.52</v>
      </c>
      <c r="N2191">
        <v>3</v>
      </c>
      <c r="P2191" t="str">
        <f>TRIM(Table1[[#This Row],[country]])</f>
        <v>USA</v>
      </c>
    </row>
    <row r="2192" spans="1:16" x14ac:dyDescent="0.3">
      <c r="A2192" s="1">
        <v>38308</v>
      </c>
      <c r="B2192">
        <v>10331</v>
      </c>
      <c r="C2192">
        <v>486</v>
      </c>
      <c r="D2192" t="s">
        <v>203</v>
      </c>
      <c r="E2192" t="s">
        <v>14</v>
      </c>
      <c r="F2192" t="s">
        <v>29</v>
      </c>
      <c r="G2192" t="s">
        <v>122</v>
      </c>
      <c r="H2192">
        <v>25</v>
      </c>
      <c r="I2192" s="2">
        <v>55.11</v>
      </c>
      <c r="J2192" s="2">
        <v>38.58</v>
      </c>
      <c r="K2192" s="2">
        <v>1377.75</v>
      </c>
      <c r="L2192" s="2">
        <v>964.5</v>
      </c>
      <c r="M2192" s="2">
        <v>413.25</v>
      </c>
      <c r="N2192">
        <v>3</v>
      </c>
      <c r="P2192" t="str">
        <f>TRIM(Table1[[#This Row],[country]])</f>
        <v>USA</v>
      </c>
    </row>
    <row r="2193" spans="1:16" x14ac:dyDescent="0.3">
      <c r="A2193" s="1">
        <v>38308</v>
      </c>
      <c r="B2193">
        <v>10331</v>
      </c>
      <c r="C2193">
        <v>486</v>
      </c>
      <c r="D2193" t="s">
        <v>203</v>
      </c>
      <c r="E2193" t="s">
        <v>14</v>
      </c>
      <c r="F2193" t="s">
        <v>29</v>
      </c>
      <c r="G2193" t="s">
        <v>123</v>
      </c>
      <c r="H2193">
        <v>21</v>
      </c>
      <c r="I2193" s="2">
        <v>139.03</v>
      </c>
      <c r="J2193" s="2">
        <v>98.3</v>
      </c>
      <c r="K2193" s="2">
        <v>2919.63</v>
      </c>
      <c r="L2193" s="2">
        <v>2064.3000000000002</v>
      </c>
      <c r="M2193" s="2">
        <v>855.33</v>
      </c>
      <c r="N2193">
        <v>3</v>
      </c>
      <c r="P2193" t="str">
        <f>TRIM(Table1[[#This Row],[country]])</f>
        <v>USA</v>
      </c>
    </row>
    <row r="2194" spans="1:16" x14ac:dyDescent="0.3">
      <c r="A2194" s="1">
        <v>38308</v>
      </c>
      <c r="B2194">
        <v>10331</v>
      </c>
      <c r="C2194">
        <v>486</v>
      </c>
      <c r="D2194" t="s">
        <v>203</v>
      </c>
      <c r="E2194" t="s">
        <v>14</v>
      </c>
      <c r="F2194" t="s">
        <v>29</v>
      </c>
      <c r="G2194" t="s">
        <v>124</v>
      </c>
      <c r="H2194">
        <v>41</v>
      </c>
      <c r="I2194" s="2">
        <v>70.33</v>
      </c>
      <c r="J2194" s="2">
        <v>32.33</v>
      </c>
      <c r="K2194" s="2">
        <v>2883.53</v>
      </c>
      <c r="L2194" s="2">
        <v>1325.53</v>
      </c>
      <c r="M2194" s="2">
        <v>1558</v>
      </c>
      <c r="N2194">
        <v>3</v>
      </c>
      <c r="P2194" t="str">
        <f>TRIM(Table1[[#This Row],[country]])</f>
        <v>USA</v>
      </c>
    </row>
    <row r="2195" spans="1:16" x14ac:dyDescent="0.3">
      <c r="A2195" s="1">
        <v>38308</v>
      </c>
      <c r="B2195">
        <v>10331</v>
      </c>
      <c r="C2195">
        <v>486</v>
      </c>
      <c r="D2195" t="s">
        <v>203</v>
      </c>
      <c r="E2195" t="s">
        <v>14</v>
      </c>
      <c r="F2195" t="s">
        <v>102</v>
      </c>
      <c r="G2195" t="s">
        <v>125</v>
      </c>
      <c r="H2195">
        <v>28</v>
      </c>
      <c r="I2195" s="2">
        <v>33.39</v>
      </c>
      <c r="J2195" s="2">
        <v>24.14</v>
      </c>
      <c r="K2195" s="2">
        <v>934.92</v>
      </c>
      <c r="L2195" s="2">
        <v>675.92</v>
      </c>
      <c r="M2195" s="2">
        <v>259</v>
      </c>
      <c r="N2195">
        <v>3</v>
      </c>
      <c r="P2195" t="str">
        <f>TRIM(Table1[[#This Row],[country]])</f>
        <v>USA</v>
      </c>
    </row>
    <row r="2196" spans="1:16" x14ac:dyDescent="0.3">
      <c r="A2196" s="1">
        <v>38308</v>
      </c>
      <c r="B2196">
        <v>10331</v>
      </c>
      <c r="C2196">
        <v>486</v>
      </c>
      <c r="D2196" t="s">
        <v>203</v>
      </c>
      <c r="E2196" t="s">
        <v>14</v>
      </c>
      <c r="F2196" t="s">
        <v>102</v>
      </c>
      <c r="G2196" t="s">
        <v>126</v>
      </c>
      <c r="H2196">
        <v>32</v>
      </c>
      <c r="I2196" s="2">
        <v>100.01</v>
      </c>
      <c r="J2196" s="2">
        <v>56.13</v>
      </c>
      <c r="K2196" s="2">
        <v>3200.32</v>
      </c>
      <c r="L2196" s="2">
        <v>1796.16</v>
      </c>
      <c r="M2196" s="2">
        <v>1404.16</v>
      </c>
      <c r="N2196">
        <v>3</v>
      </c>
      <c r="P2196" t="str">
        <f>TRIM(Table1[[#This Row],[country]])</f>
        <v>USA</v>
      </c>
    </row>
    <row r="2197" spans="1:16" x14ac:dyDescent="0.3">
      <c r="A2197" s="1">
        <v>38308</v>
      </c>
      <c r="B2197">
        <v>10331</v>
      </c>
      <c r="C2197">
        <v>486</v>
      </c>
      <c r="D2197" t="s">
        <v>203</v>
      </c>
      <c r="E2197" t="s">
        <v>14</v>
      </c>
      <c r="F2197" t="s">
        <v>102</v>
      </c>
      <c r="G2197" t="s">
        <v>127</v>
      </c>
      <c r="H2197">
        <v>20</v>
      </c>
      <c r="I2197" s="2">
        <v>74.040000000000006</v>
      </c>
      <c r="J2197" s="2">
        <v>34.17</v>
      </c>
      <c r="K2197" s="2">
        <v>1480.8</v>
      </c>
      <c r="L2197" s="2">
        <v>683.4</v>
      </c>
      <c r="M2197" s="2">
        <v>797.4</v>
      </c>
      <c r="N2197">
        <v>3</v>
      </c>
      <c r="P2197" t="str">
        <f>TRIM(Table1[[#This Row],[country]])</f>
        <v>USA</v>
      </c>
    </row>
    <row r="2198" spans="1:16" x14ac:dyDescent="0.3">
      <c r="A2198" s="1">
        <v>38308</v>
      </c>
      <c r="B2198">
        <v>10332</v>
      </c>
      <c r="C2198">
        <v>187</v>
      </c>
      <c r="D2198" t="s">
        <v>204</v>
      </c>
      <c r="E2198" t="s">
        <v>133</v>
      </c>
      <c r="F2198" t="s">
        <v>15</v>
      </c>
      <c r="G2198" t="s">
        <v>25</v>
      </c>
      <c r="H2198">
        <v>46</v>
      </c>
      <c r="I2198" s="2">
        <v>89.38</v>
      </c>
      <c r="J2198" s="2">
        <v>60.62</v>
      </c>
      <c r="K2198" s="2">
        <v>4111.4799999999996</v>
      </c>
      <c r="L2198" s="2">
        <v>2788.52</v>
      </c>
      <c r="M2198" s="2">
        <v>1322.96</v>
      </c>
      <c r="N2198">
        <v>3</v>
      </c>
      <c r="P2198" t="str">
        <f>TRIM(Table1[[#This Row],[country]])</f>
        <v>UK</v>
      </c>
    </row>
    <row r="2199" spans="1:16" x14ac:dyDescent="0.3">
      <c r="A2199" s="1">
        <v>38308</v>
      </c>
      <c r="B2199">
        <v>10332</v>
      </c>
      <c r="C2199">
        <v>187</v>
      </c>
      <c r="D2199" t="s">
        <v>204</v>
      </c>
      <c r="E2199" t="s">
        <v>133</v>
      </c>
      <c r="F2199" t="s">
        <v>15</v>
      </c>
      <c r="G2199" t="s">
        <v>26</v>
      </c>
      <c r="H2199">
        <v>27</v>
      </c>
      <c r="I2199" s="2">
        <v>51.21</v>
      </c>
      <c r="J2199" s="2">
        <v>24.26</v>
      </c>
      <c r="K2199" s="2">
        <v>1382.67</v>
      </c>
      <c r="L2199" s="2">
        <v>655.02</v>
      </c>
      <c r="M2199" s="2">
        <v>727.65</v>
      </c>
      <c r="N2199">
        <v>3</v>
      </c>
      <c r="P2199" t="str">
        <f>TRIM(Table1[[#This Row],[country]])</f>
        <v>UK</v>
      </c>
    </row>
    <row r="2200" spans="1:16" x14ac:dyDescent="0.3">
      <c r="A2200" s="1">
        <v>38308</v>
      </c>
      <c r="B2200">
        <v>10332</v>
      </c>
      <c r="C2200">
        <v>187</v>
      </c>
      <c r="D2200" t="s">
        <v>204</v>
      </c>
      <c r="E2200" t="s">
        <v>133</v>
      </c>
      <c r="F2200" t="s">
        <v>15</v>
      </c>
      <c r="G2200" t="s">
        <v>17</v>
      </c>
      <c r="H2200">
        <v>38</v>
      </c>
      <c r="I2200" s="2">
        <v>53.88</v>
      </c>
      <c r="J2200" s="2">
        <v>33.299999999999997</v>
      </c>
      <c r="K2200" s="2">
        <v>2047.44</v>
      </c>
      <c r="L2200" s="2">
        <v>1265.4000000000001</v>
      </c>
      <c r="M2200" s="2">
        <v>782.04</v>
      </c>
      <c r="N2200">
        <v>3</v>
      </c>
      <c r="P2200" t="str">
        <f>TRIM(Table1[[#This Row],[country]])</f>
        <v>UK</v>
      </c>
    </row>
    <row r="2201" spans="1:16" x14ac:dyDescent="0.3">
      <c r="A2201" s="1">
        <v>38308</v>
      </c>
      <c r="B2201">
        <v>10332</v>
      </c>
      <c r="C2201">
        <v>187</v>
      </c>
      <c r="D2201" t="s">
        <v>204</v>
      </c>
      <c r="E2201" t="s">
        <v>133</v>
      </c>
      <c r="F2201" t="s">
        <v>15</v>
      </c>
      <c r="G2201" t="s">
        <v>21</v>
      </c>
      <c r="H2201">
        <v>35</v>
      </c>
      <c r="I2201" s="2">
        <v>116.96</v>
      </c>
      <c r="J2201" s="2">
        <v>58.48</v>
      </c>
      <c r="K2201" s="2">
        <v>4093.6</v>
      </c>
      <c r="L2201" s="2">
        <v>2046.8</v>
      </c>
      <c r="M2201" s="2">
        <v>2046.8</v>
      </c>
      <c r="N2201">
        <v>3</v>
      </c>
      <c r="P2201" t="str">
        <f>TRIM(Table1[[#This Row],[country]])</f>
        <v>UK</v>
      </c>
    </row>
    <row r="2202" spans="1:16" x14ac:dyDescent="0.3">
      <c r="A2202" s="1">
        <v>38308</v>
      </c>
      <c r="B2202">
        <v>10332</v>
      </c>
      <c r="C2202">
        <v>187</v>
      </c>
      <c r="D2202" t="s">
        <v>204</v>
      </c>
      <c r="E2202" t="s">
        <v>133</v>
      </c>
      <c r="F2202" t="s">
        <v>15</v>
      </c>
      <c r="G2202" t="s">
        <v>22</v>
      </c>
      <c r="H2202">
        <v>24</v>
      </c>
      <c r="I2202" s="2">
        <v>138.38</v>
      </c>
      <c r="J2202" s="2">
        <v>72.56</v>
      </c>
      <c r="K2202" s="2">
        <v>3321.12</v>
      </c>
      <c r="L2202" s="2">
        <v>1741.44</v>
      </c>
      <c r="M2202" s="2">
        <v>1579.68</v>
      </c>
      <c r="N2202">
        <v>3</v>
      </c>
      <c r="P2202" t="str">
        <f>TRIM(Table1[[#This Row],[country]])</f>
        <v>UK</v>
      </c>
    </row>
    <row r="2203" spans="1:16" x14ac:dyDescent="0.3">
      <c r="A2203" s="1">
        <v>38308</v>
      </c>
      <c r="B2203">
        <v>10332</v>
      </c>
      <c r="C2203">
        <v>187</v>
      </c>
      <c r="D2203" t="s">
        <v>204</v>
      </c>
      <c r="E2203" t="s">
        <v>133</v>
      </c>
      <c r="F2203" t="s">
        <v>15</v>
      </c>
      <c r="G2203" t="s">
        <v>37</v>
      </c>
      <c r="H2203">
        <v>26</v>
      </c>
      <c r="I2203" s="2">
        <v>53.09</v>
      </c>
      <c r="J2203" s="2">
        <v>34.35</v>
      </c>
      <c r="K2203" s="2">
        <v>1380.34</v>
      </c>
      <c r="L2203" s="2">
        <v>893.1</v>
      </c>
      <c r="M2203" s="2">
        <v>487.24</v>
      </c>
      <c r="N2203">
        <v>3</v>
      </c>
      <c r="P2203" t="str">
        <f>TRIM(Table1[[#This Row],[country]])</f>
        <v>UK</v>
      </c>
    </row>
    <row r="2204" spans="1:16" x14ac:dyDescent="0.3">
      <c r="A2204" s="1">
        <v>38308</v>
      </c>
      <c r="B2204">
        <v>10332</v>
      </c>
      <c r="C2204">
        <v>187</v>
      </c>
      <c r="D2204" t="s">
        <v>204</v>
      </c>
      <c r="E2204" t="s">
        <v>133</v>
      </c>
      <c r="F2204" t="s">
        <v>15</v>
      </c>
      <c r="G2204" t="s">
        <v>38</v>
      </c>
      <c r="H2204">
        <v>40</v>
      </c>
      <c r="I2204" s="2">
        <v>100.53</v>
      </c>
      <c r="J2204" s="2">
        <v>60.74</v>
      </c>
      <c r="K2204" s="2">
        <v>4021.2</v>
      </c>
      <c r="L2204" s="2">
        <v>2429.6</v>
      </c>
      <c r="M2204" s="2">
        <v>1591.6</v>
      </c>
      <c r="N2204">
        <v>3</v>
      </c>
      <c r="P2204" t="str">
        <f>TRIM(Table1[[#This Row],[country]])</f>
        <v>UK</v>
      </c>
    </row>
    <row r="2205" spans="1:16" x14ac:dyDescent="0.3">
      <c r="A2205" s="1">
        <v>38308</v>
      </c>
      <c r="B2205">
        <v>10332</v>
      </c>
      <c r="C2205">
        <v>187</v>
      </c>
      <c r="D2205" t="s">
        <v>204</v>
      </c>
      <c r="E2205" t="s">
        <v>133</v>
      </c>
      <c r="F2205" t="s">
        <v>15</v>
      </c>
      <c r="G2205" t="s">
        <v>18</v>
      </c>
      <c r="H2205">
        <v>50</v>
      </c>
      <c r="I2205" s="2">
        <v>92.03</v>
      </c>
      <c r="J2205" s="2">
        <v>43.26</v>
      </c>
      <c r="K2205" s="2">
        <v>4601.5</v>
      </c>
      <c r="L2205" s="2">
        <v>2163</v>
      </c>
      <c r="M2205" s="2">
        <v>2438.5</v>
      </c>
      <c r="N2205">
        <v>3</v>
      </c>
      <c r="P2205" t="str">
        <f>TRIM(Table1[[#This Row],[country]])</f>
        <v>UK</v>
      </c>
    </row>
    <row r="2206" spans="1:16" x14ac:dyDescent="0.3">
      <c r="A2206" s="1">
        <v>38308</v>
      </c>
      <c r="B2206">
        <v>10332</v>
      </c>
      <c r="C2206">
        <v>187</v>
      </c>
      <c r="D2206" t="s">
        <v>204</v>
      </c>
      <c r="E2206" t="s">
        <v>133</v>
      </c>
      <c r="F2206" t="s">
        <v>29</v>
      </c>
      <c r="G2206" t="s">
        <v>135</v>
      </c>
      <c r="H2206">
        <v>21</v>
      </c>
      <c r="I2206" s="2">
        <v>70.56</v>
      </c>
      <c r="J2206" s="2">
        <v>34.21</v>
      </c>
      <c r="K2206" s="2">
        <v>1481.76</v>
      </c>
      <c r="L2206" s="2">
        <v>718.41</v>
      </c>
      <c r="M2206" s="2">
        <v>763.35</v>
      </c>
      <c r="N2206">
        <v>3</v>
      </c>
      <c r="P2206" t="str">
        <f>TRIM(Table1[[#This Row],[country]])</f>
        <v>UK</v>
      </c>
    </row>
    <row r="2207" spans="1:16" x14ac:dyDescent="0.3">
      <c r="A2207" s="1">
        <v>38308</v>
      </c>
      <c r="B2207">
        <v>10332</v>
      </c>
      <c r="C2207">
        <v>187</v>
      </c>
      <c r="D2207" t="s">
        <v>204</v>
      </c>
      <c r="E2207" t="s">
        <v>133</v>
      </c>
      <c r="F2207" t="s">
        <v>29</v>
      </c>
      <c r="G2207" t="s">
        <v>136</v>
      </c>
      <c r="H2207">
        <v>23</v>
      </c>
      <c r="I2207" s="2">
        <v>61.73</v>
      </c>
      <c r="J2207" s="2">
        <v>49.24</v>
      </c>
      <c r="K2207" s="2">
        <v>1419.79</v>
      </c>
      <c r="L2207" s="2">
        <v>1132.52</v>
      </c>
      <c r="M2207" s="2">
        <v>287.27</v>
      </c>
      <c r="N2207">
        <v>3</v>
      </c>
      <c r="P2207" t="str">
        <f>TRIM(Table1[[#This Row],[country]])</f>
        <v>UK</v>
      </c>
    </row>
    <row r="2208" spans="1:16" x14ac:dyDescent="0.3">
      <c r="A2208" s="1">
        <v>38308</v>
      </c>
      <c r="B2208">
        <v>10332</v>
      </c>
      <c r="C2208">
        <v>187</v>
      </c>
      <c r="D2208" t="s">
        <v>204</v>
      </c>
      <c r="E2208" t="s">
        <v>133</v>
      </c>
      <c r="F2208" t="s">
        <v>29</v>
      </c>
      <c r="G2208" t="s">
        <v>137</v>
      </c>
      <c r="H2208">
        <v>20</v>
      </c>
      <c r="I2208" s="2">
        <v>47.29</v>
      </c>
      <c r="J2208" s="2">
        <v>29.18</v>
      </c>
      <c r="K2208" s="2">
        <v>945.8</v>
      </c>
      <c r="L2208" s="2">
        <v>583.6</v>
      </c>
      <c r="M2208" s="2">
        <v>362.2</v>
      </c>
      <c r="N2208">
        <v>3</v>
      </c>
      <c r="P2208" t="str">
        <f>TRIM(Table1[[#This Row],[country]])</f>
        <v>UK</v>
      </c>
    </row>
    <row r="2209" spans="1:16" x14ac:dyDescent="0.3">
      <c r="A2209" s="1">
        <v>38308</v>
      </c>
      <c r="B2209">
        <v>10332</v>
      </c>
      <c r="C2209">
        <v>187</v>
      </c>
      <c r="D2209" t="s">
        <v>204</v>
      </c>
      <c r="E2209" t="s">
        <v>133</v>
      </c>
      <c r="F2209" t="s">
        <v>15</v>
      </c>
      <c r="G2209" t="s">
        <v>23</v>
      </c>
      <c r="H2209">
        <v>45</v>
      </c>
      <c r="I2209" s="2">
        <v>29.87</v>
      </c>
      <c r="J2209" s="2">
        <v>22.57</v>
      </c>
      <c r="K2209" s="2">
        <v>1344.15</v>
      </c>
      <c r="L2209" s="2">
        <v>1015.65</v>
      </c>
      <c r="M2209" s="2">
        <v>328.5</v>
      </c>
      <c r="N2209">
        <v>3</v>
      </c>
      <c r="P2209" t="str">
        <f>TRIM(Table1[[#This Row],[country]])</f>
        <v>UK</v>
      </c>
    </row>
    <row r="2210" spans="1:16" x14ac:dyDescent="0.3">
      <c r="A2210" s="1">
        <v>38308</v>
      </c>
      <c r="B2210">
        <v>10332</v>
      </c>
      <c r="C2210">
        <v>187</v>
      </c>
      <c r="D2210" t="s">
        <v>204</v>
      </c>
      <c r="E2210" t="s">
        <v>133</v>
      </c>
      <c r="F2210" t="s">
        <v>15</v>
      </c>
      <c r="G2210" t="s">
        <v>24</v>
      </c>
      <c r="H2210">
        <v>26</v>
      </c>
      <c r="I2210" s="2">
        <v>43.01</v>
      </c>
      <c r="J2210" s="2">
        <v>20.61</v>
      </c>
      <c r="K2210" s="2">
        <v>1118.26</v>
      </c>
      <c r="L2210" s="2">
        <v>535.86</v>
      </c>
      <c r="M2210" s="2">
        <v>582.4</v>
      </c>
      <c r="N2210">
        <v>3</v>
      </c>
      <c r="P2210" t="str">
        <f>TRIM(Table1[[#This Row],[country]])</f>
        <v>UK</v>
      </c>
    </row>
    <row r="2211" spans="1:16" x14ac:dyDescent="0.3">
      <c r="A2211" s="1">
        <v>38308</v>
      </c>
      <c r="B2211">
        <v>10332</v>
      </c>
      <c r="C2211">
        <v>187</v>
      </c>
      <c r="D2211" t="s">
        <v>204</v>
      </c>
      <c r="E2211" t="s">
        <v>133</v>
      </c>
      <c r="F2211" t="s">
        <v>29</v>
      </c>
      <c r="G2211" t="s">
        <v>138</v>
      </c>
      <c r="H2211">
        <v>39</v>
      </c>
      <c r="I2211" s="2">
        <v>84.51</v>
      </c>
      <c r="J2211" s="2">
        <v>47.25</v>
      </c>
      <c r="K2211" s="2">
        <v>3295.89</v>
      </c>
      <c r="L2211" s="2">
        <v>1842.75</v>
      </c>
      <c r="M2211" s="2">
        <v>1453.14</v>
      </c>
      <c r="N2211">
        <v>3</v>
      </c>
      <c r="P2211" t="str">
        <f>TRIM(Table1[[#This Row],[country]])</f>
        <v>UK</v>
      </c>
    </row>
    <row r="2212" spans="1:16" x14ac:dyDescent="0.3">
      <c r="A2212" s="1">
        <v>38308</v>
      </c>
      <c r="B2212">
        <v>10332</v>
      </c>
      <c r="C2212">
        <v>187</v>
      </c>
      <c r="D2212" t="s">
        <v>204</v>
      </c>
      <c r="E2212" t="s">
        <v>133</v>
      </c>
      <c r="F2212" t="s">
        <v>29</v>
      </c>
      <c r="G2212" t="s">
        <v>139</v>
      </c>
      <c r="H2212">
        <v>44</v>
      </c>
      <c r="I2212" s="2">
        <v>108.04</v>
      </c>
      <c r="J2212" s="2">
        <v>72.819999999999993</v>
      </c>
      <c r="K2212" s="2">
        <v>4753.76</v>
      </c>
      <c r="L2212" s="2">
        <v>3204.08</v>
      </c>
      <c r="M2212" s="2">
        <v>1549.68</v>
      </c>
      <c r="N2212">
        <v>3</v>
      </c>
      <c r="P2212" t="str">
        <f>TRIM(Table1[[#This Row],[country]])</f>
        <v>UK</v>
      </c>
    </row>
    <row r="2213" spans="1:16" x14ac:dyDescent="0.3">
      <c r="A2213" s="1">
        <v>38308</v>
      </c>
      <c r="B2213">
        <v>10332</v>
      </c>
      <c r="C2213">
        <v>187</v>
      </c>
      <c r="D2213" t="s">
        <v>204</v>
      </c>
      <c r="E2213" t="s">
        <v>133</v>
      </c>
      <c r="F2213" t="s">
        <v>29</v>
      </c>
      <c r="G2213" t="s">
        <v>140</v>
      </c>
      <c r="H2213">
        <v>45</v>
      </c>
      <c r="I2213" s="2">
        <v>77.91</v>
      </c>
      <c r="J2213" s="2">
        <v>50.51</v>
      </c>
      <c r="K2213" s="2">
        <v>3505.95</v>
      </c>
      <c r="L2213" s="2">
        <v>2272.9499999999998</v>
      </c>
      <c r="M2213" s="2">
        <v>1233</v>
      </c>
      <c r="N2213">
        <v>3</v>
      </c>
      <c r="P2213" t="str">
        <f>TRIM(Table1[[#This Row],[country]])</f>
        <v>UK</v>
      </c>
    </row>
    <row r="2214" spans="1:16" x14ac:dyDescent="0.3">
      <c r="A2214" s="1">
        <v>38308</v>
      </c>
      <c r="B2214">
        <v>10332</v>
      </c>
      <c r="C2214">
        <v>187</v>
      </c>
      <c r="D2214" t="s">
        <v>204</v>
      </c>
      <c r="E2214" t="s">
        <v>133</v>
      </c>
      <c r="F2214" t="s">
        <v>29</v>
      </c>
      <c r="G2214" t="s">
        <v>141</v>
      </c>
      <c r="H2214">
        <v>31</v>
      </c>
      <c r="I2214" s="2">
        <v>94.23</v>
      </c>
      <c r="J2214" s="2">
        <v>62.11</v>
      </c>
      <c r="K2214" s="2">
        <v>2921.13</v>
      </c>
      <c r="L2214" s="2">
        <v>1925.41</v>
      </c>
      <c r="M2214" s="2">
        <v>995.72</v>
      </c>
      <c r="N2214">
        <v>3</v>
      </c>
      <c r="P2214" t="str">
        <f>TRIM(Table1[[#This Row],[country]])</f>
        <v>UK</v>
      </c>
    </row>
    <row r="2215" spans="1:16" x14ac:dyDescent="0.3">
      <c r="A2215" s="1">
        <v>38308</v>
      </c>
      <c r="B2215">
        <v>10332</v>
      </c>
      <c r="C2215">
        <v>187</v>
      </c>
      <c r="D2215" t="s">
        <v>204</v>
      </c>
      <c r="E2215" t="s">
        <v>133</v>
      </c>
      <c r="F2215" t="s">
        <v>15</v>
      </c>
      <c r="G2215" t="s">
        <v>19</v>
      </c>
      <c r="H2215">
        <v>41</v>
      </c>
      <c r="I2215" s="2">
        <v>34.47</v>
      </c>
      <c r="J2215" s="2">
        <v>21.75</v>
      </c>
      <c r="K2215" s="2">
        <v>1413.27</v>
      </c>
      <c r="L2215" s="2">
        <v>891.75</v>
      </c>
      <c r="M2215" s="2">
        <v>521.52</v>
      </c>
      <c r="N2215">
        <v>3</v>
      </c>
      <c r="P2215" t="str">
        <f>TRIM(Table1[[#This Row],[country]])</f>
        <v>UK</v>
      </c>
    </row>
    <row r="2216" spans="1:16" x14ac:dyDescent="0.3">
      <c r="A2216" s="1">
        <v>38309</v>
      </c>
      <c r="B2216">
        <v>10333</v>
      </c>
      <c r="C2216">
        <v>129</v>
      </c>
      <c r="D2216" t="s">
        <v>205</v>
      </c>
      <c r="E2216" t="s">
        <v>14</v>
      </c>
      <c r="F2216" t="s">
        <v>29</v>
      </c>
      <c r="G2216" t="s">
        <v>30</v>
      </c>
      <c r="H2216">
        <v>26</v>
      </c>
      <c r="I2216" s="2">
        <v>188.58</v>
      </c>
      <c r="J2216" s="2">
        <v>98.58</v>
      </c>
      <c r="K2216" s="2">
        <v>4903.08</v>
      </c>
      <c r="L2216" s="2">
        <v>2563.08</v>
      </c>
      <c r="M2216" s="2">
        <v>2340</v>
      </c>
      <c r="N2216">
        <v>3</v>
      </c>
      <c r="P2216" t="str">
        <f>TRIM(Table1[[#This Row],[country]])</f>
        <v>USA</v>
      </c>
    </row>
    <row r="2217" spans="1:16" x14ac:dyDescent="0.3">
      <c r="A2217" s="1">
        <v>38309</v>
      </c>
      <c r="B2217">
        <v>10333</v>
      </c>
      <c r="C2217">
        <v>129</v>
      </c>
      <c r="D2217" t="s">
        <v>205</v>
      </c>
      <c r="E2217" t="s">
        <v>14</v>
      </c>
      <c r="F2217" t="s">
        <v>32</v>
      </c>
      <c r="G2217" t="s">
        <v>33</v>
      </c>
      <c r="H2217">
        <v>33</v>
      </c>
      <c r="I2217" s="2">
        <v>121.64</v>
      </c>
      <c r="J2217" s="2">
        <v>77.900000000000006</v>
      </c>
      <c r="K2217" s="2">
        <v>4014.12</v>
      </c>
      <c r="L2217" s="2">
        <v>2570.6999999999998</v>
      </c>
      <c r="M2217" s="2">
        <v>1443.42</v>
      </c>
      <c r="N2217">
        <v>3</v>
      </c>
      <c r="P2217" t="str">
        <f>TRIM(Table1[[#This Row],[country]])</f>
        <v>USA</v>
      </c>
    </row>
    <row r="2218" spans="1:16" x14ac:dyDescent="0.3">
      <c r="A2218" s="1">
        <v>38309</v>
      </c>
      <c r="B2218">
        <v>10333</v>
      </c>
      <c r="C2218">
        <v>129</v>
      </c>
      <c r="D2218" t="s">
        <v>205</v>
      </c>
      <c r="E2218" t="s">
        <v>14</v>
      </c>
      <c r="F2218" t="s">
        <v>32</v>
      </c>
      <c r="G2218" t="s">
        <v>34</v>
      </c>
      <c r="H2218">
        <v>29</v>
      </c>
      <c r="I2218" s="2">
        <v>110.84</v>
      </c>
      <c r="J2218" s="2">
        <v>58.33</v>
      </c>
      <c r="K2218" s="2">
        <v>3214.36</v>
      </c>
      <c r="L2218" s="2">
        <v>1691.57</v>
      </c>
      <c r="M2218" s="2">
        <v>1522.79</v>
      </c>
      <c r="N2218">
        <v>3</v>
      </c>
      <c r="P2218" t="str">
        <f>TRIM(Table1[[#This Row],[country]])</f>
        <v>USA</v>
      </c>
    </row>
    <row r="2219" spans="1:16" x14ac:dyDescent="0.3">
      <c r="A2219" s="1">
        <v>38309</v>
      </c>
      <c r="B2219">
        <v>10333</v>
      </c>
      <c r="C2219">
        <v>129</v>
      </c>
      <c r="D2219" t="s">
        <v>205</v>
      </c>
      <c r="E2219" t="s">
        <v>14</v>
      </c>
      <c r="F2219" t="s">
        <v>15</v>
      </c>
      <c r="G2219" t="s">
        <v>36</v>
      </c>
      <c r="H2219">
        <v>31</v>
      </c>
      <c r="I2219" s="2">
        <v>95.23</v>
      </c>
      <c r="J2219" s="2">
        <v>60.78</v>
      </c>
      <c r="K2219" s="2">
        <v>2952.13</v>
      </c>
      <c r="L2219" s="2">
        <v>1884.18</v>
      </c>
      <c r="M2219" s="2">
        <v>1067.95</v>
      </c>
      <c r="N2219">
        <v>3</v>
      </c>
      <c r="P2219" t="str">
        <f>TRIM(Table1[[#This Row],[country]])</f>
        <v>USA</v>
      </c>
    </row>
    <row r="2220" spans="1:16" x14ac:dyDescent="0.3">
      <c r="A2220" s="1">
        <v>38309</v>
      </c>
      <c r="B2220">
        <v>10333</v>
      </c>
      <c r="C2220">
        <v>129</v>
      </c>
      <c r="D2220" t="s">
        <v>205</v>
      </c>
      <c r="E2220" t="s">
        <v>14</v>
      </c>
      <c r="F2220" t="s">
        <v>15</v>
      </c>
      <c r="G2220" t="s">
        <v>39</v>
      </c>
      <c r="H2220">
        <v>46</v>
      </c>
      <c r="I2220" s="2">
        <v>95.24</v>
      </c>
      <c r="J2220" s="2">
        <v>57.54</v>
      </c>
      <c r="K2220" s="2">
        <v>4381.04</v>
      </c>
      <c r="L2220" s="2">
        <v>2646.84</v>
      </c>
      <c r="M2220" s="2">
        <v>1734.2</v>
      </c>
      <c r="N2220">
        <v>3</v>
      </c>
      <c r="P2220" t="str">
        <f>TRIM(Table1[[#This Row],[country]])</f>
        <v>USA</v>
      </c>
    </row>
    <row r="2221" spans="1:16" x14ac:dyDescent="0.3">
      <c r="A2221" s="1">
        <v>38309</v>
      </c>
      <c r="B2221">
        <v>10333</v>
      </c>
      <c r="C2221">
        <v>129</v>
      </c>
      <c r="D2221" t="s">
        <v>205</v>
      </c>
      <c r="E2221" t="s">
        <v>14</v>
      </c>
      <c r="F2221" t="s">
        <v>15</v>
      </c>
      <c r="G2221" t="s">
        <v>41</v>
      </c>
      <c r="H2221">
        <v>24</v>
      </c>
      <c r="I2221" s="2">
        <v>42.26</v>
      </c>
      <c r="J2221" s="2">
        <v>23.14</v>
      </c>
      <c r="K2221" s="2">
        <v>1014.24</v>
      </c>
      <c r="L2221" s="2">
        <v>555.36</v>
      </c>
      <c r="M2221" s="2">
        <v>458.88</v>
      </c>
      <c r="N2221">
        <v>3</v>
      </c>
      <c r="P2221" t="str">
        <f>TRIM(Table1[[#This Row],[country]])</f>
        <v>USA</v>
      </c>
    </row>
    <row r="2222" spans="1:16" x14ac:dyDescent="0.3">
      <c r="A2222" s="1">
        <v>38309</v>
      </c>
      <c r="B2222">
        <v>10333</v>
      </c>
      <c r="C2222">
        <v>129</v>
      </c>
      <c r="D2222" t="s">
        <v>205</v>
      </c>
      <c r="E2222" t="s">
        <v>14</v>
      </c>
      <c r="F2222" t="s">
        <v>15</v>
      </c>
      <c r="G2222" t="s">
        <v>43</v>
      </c>
      <c r="H2222">
        <v>39</v>
      </c>
      <c r="I2222" s="2">
        <v>95.44</v>
      </c>
      <c r="J2222" s="2">
        <v>57.46</v>
      </c>
      <c r="K2222" s="2">
        <v>3722.16</v>
      </c>
      <c r="L2222" s="2">
        <v>2240.94</v>
      </c>
      <c r="M2222" s="2">
        <v>1481.22</v>
      </c>
      <c r="N2222">
        <v>3</v>
      </c>
      <c r="P2222" t="str">
        <f>TRIM(Table1[[#This Row],[country]])</f>
        <v>USA</v>
      </c>
    </row>
    <row r="2223" spans="1:16" x14ac:dyDescent="0.3">
      <c r="A2223" s="1">
        <v>38309</v>
      </c>
      <c r="B2223">
        <v>10333</v>
      </c>
      <c r="C2223">
        <v>129</v>
      </c>
      <c r="D2223" t="s">
        <v>205</v>
      </c>
      <c r="E2223" t="s">
        <v>14</v>
      </c>
      <c r="F2223" t="s">
        <v>32</v>
      </c>
      <c r="G2223" t="s">
        <v>45</v>
      </c>
      <c r="H2223">
        <v>33</v>
      </c>
      <c r="I2223" s="2">
        <v>62.05</v>
      </c>
      <c r="J2223" s="2">
        <v>33.61</v>
      </c>
      <c r="K2223" s="2">
        <v>2047.65</v>
      </c>
      <c r="L2223" s="2">
        <v>1109.1300000000001</v>
      </c>
      <c r="M2223" s="2">
        <v>938.52</v>
      </c>
      <c r="N2223">
        <v>3</v>
      </c>
      <c r="P2223" t="str">
        <f>TRIM(Table1[[#This Row],[country]])</f>
        <v>USA</v>
      </c>
    </row>
    <row r="2224" spans="1:16" x14ac:dyDescent="0.3">
      <c r="A2224" s="1">
        <v>38310</v>
      </c>
      <c r="B2224">
        <v>10335</v>
      </c>
      <c r="C2224">
        <v>124</v>
      </c>
      <c r="D2224" t="s">
        <v>206</v>
      </c>
      <c r="E2224" t="s">
        <v>14</v>
      </c>
      <c r="F2224" t="s">
        <v>29</v>
      </c>
      <c r="G2224" t="s">
        <v>56</v>
      </c>
      <c r="H2224">
        <v>33</v>
      </c>
      <c r="I2224" s="2">
        <v>32.880000000000003</v>
      </c>
      <c r="J2224" s="2">
        <v>15.91</v>
      </c>
      <c r="K2224" s="2">
        <v>1085.04</v>
      </c>
      <c r="L2224" s="2">
        <v>525.03</v>
      </c>
      <c r="M2224" s="2">
        <v>560.01</v>
      </c>
      <c r="N2224">
        <v>9</v>
      </c>
      <c r="P2224" t="str">
        <f>TRIM(Table1[[#This Row],[country]])</f>
        <v>USA</v>
      </c>
    </row>
    <row r="2225" spans="1:16" x14ac:dyDescent="0.3">
      <c r="A2225" s="1">
        <v>38310</v>
      </c>
      <c r="B2225">
        <v>10335</v>
      </c>
      <c r="C2225">
        <v>124</v>
      </c>
      <c r="D2225" t="s">
        <v>206</v>
      </c>
      <c r="E2225" t="s">
        <v>14</v>
      </c>
      <c r="F2225" t="s">
        <v>32</v>
      </c>
      <c r="G2225" t="s">
        <v>44</v>
      </c>
      <c r="H2225">
        <v>44</v>
      </c>
      <c r="I2225" s="2">
        <v>77.05</v>
      </c>
      <c r="J2225" s="2">
        <v>53.93</v>
      </c>
      <c r="K2225" s="2">
        <v>3390.2</v>
      </c>
      <c r="L2225" s="2">
        <v>2372.92</v>
      </c>
      <c r="M2225" s="2">
        <v>1017.28</v>
      </c>
      <c r="N2225">
        <v>9</v>
      </c>
      <c r="P2225" t="str">
        <f>TRIM(Table1[[#This Row],[country]])</f>
        <v>USA</v>
      </c>
    </row>
    <row r="2226" spans="1:16" x14ac:dyDescent="0.3">
      <c r="A2226" s="1">
        <v>38310</v>
      </c>
      <c r="B2226">
        <v>10335</v>
      </c>
      <c r="C2226">
        <v>124</v>
      </c>
      <c r="D2226" t="s">
        <v>206</v>
      </c>
      <c r="E2226" t="s">
        <v>14</v>
      </c>
      <c r="F2226" t="s">
        <v>32</v>
      </c>
      <c r="G2226" t="s">
        <v>58</v>
      </c>
      <c r="H2226">
        <v>40</v>
      </c>
      <c r="I2226" s="2">
        <v>49.78</v>
      </c>
      <c r="J2226" s="2">
        <v>25.98</v>
      </c>
      <c r="K2226" s="2">
        <v>1991.2</v>
      </c>
      <c r="L2226" s="2">
        <v>1039.2</v>
      </c>
      <c r="M2226" s="2">
        <v>952</v>
      </c>
      <c r="N2226">
        <v>9</v>
      </c>
      <c r="P2226" t="str">
        <f>TRIM(Table1[[#This Row],[country]])</f>
        <v>USA</v>
      </c>
    </row>
    <row r="2227" spans="1:16" x14ac:dyDescent="0.3">
      <c r="A2227" s="1">
        <v>38310</v>
      </c>
      <c r="B2227">
        <v>10334</v>
      </c>
      <c r="C2227">
        <v>144</v>
      </c>
      <c r="D2227" t="s">
        <v>142</v>
      </c>
      <c r="E2227" t="s">
        <v>143</v>
      </c>
      <c r="F2227" t="s">
        <v>29</v>
      </c>
      <c r="G2227" t="s">
        <v>31</v>
      </c>
      <c r="H2227">
        <v>26</v>
      </c>
      <c r="I2227" s="2">
        <v>130.01</v>
      </c>
      <c r="J2227" s="2">
        <v>103.42</v>
      </c>
      <c r="K2227" s="2">
        <v>3380.26</v>
      </c>
      <c r="L2227" s="2">
        <v>2688.92</v>
      </c>
      <c r="M2227" s="2">
        <v>691.34</v>
      </c>
      <c r="N2227">
        <v>4</v>
      </c>
      <c r="P2227" t="str">
        <f>TRIM(Table1[[#This Row],[country]])</f>
        <v>Sweden</v>
      </c>
    </row>
    <row r="2228" spans="1:16" x14ac:dyDescent="0.3">
      <c r="A2228" s="1">
        <v>38310</v>
      </c>
      <c r="B2228">
        <v>10334</v>
      </c>
      <c r="C2228">
        <v>144</v>
      </c>
      <c r="D2228" t="s">
        <v>142</v>
      </c>
      <c r="E2228" t="s">
        <v>143</v>
      </c>
      <c r="F2228" t="s">
        <v>32</v>
      </c>
      <c r="G2228" t="s">
        <v>52</v>
      </c>
      <c r="H2228">
        <v>46</v>
      </c>
      <c r="I2228" s="2">
        <v>108</v>
      </c>
      <c r="J2228" s="2">
        <v>74.86</v>
      </c>
      <c r="K2228" s="2">
        <v>4968</v>
      </c>
      <c r="L2228" s="2">
        <v>3443.56</v>
      </c>
      <c r="M2228" s="2">
        <v>1524.44</v>
      </c>
      <c r="N2228">
        <v>4</v>
      </c>
      <c r="P2228" t="str">
        <f>TRIM(Table1[[#This Row],[country]])</f>
        <v>Sweden</v>
      </c>
    </row>
    <row r="2229" spans="1:16" x14ac:dyDescent="0.3">
      <c r="A2229" s="1">
        <v>38310</v>
      </c>
      <c r="B2229">
        <v>10334</v>
      </c>
      <c r="C2229">
        <v>144</v>
      </c>
      <c r="D2229" t="s">
        <v>142</v>
      </c>
      <c r="E2229" t="s">
        <v>143</v>
      </c>
      <c r="F2229" t="s">
        <v>32</v>
      </c>
      <c r="G2229" t="s">
        <v>35</v>
      </c>
      <c r="H2229">
        <v>34</v>
      </c>
      <c r="I2229" s="2">
        <v>52.87</v>
      </c>
      <c r="J2229" s="2">
        <v>24.92</v>
      </c>
      <c r="K2229" s="2">
        <v>1797.58</v>
      </c>
      <c r="L2229" s="2">
        <v>847.28</v>
      </c>
      <c r="M2229" s="2">
        <v>950.3</v>
      </c>
      <c r="N2229">
        <v>4</v>
      </c>
      <c r="P2229" t="str">
        <f>TRIM(Table1[[#This Row],[country]])</f>
        <v>Sweden</v>
      </c>
    </row>
    <row r="2230" spans="1:16" x14ac:dyDescent="0.3">
      <c r="A2230" s="1">
        <v>38310</v>
      </c>
      <c r="B2230">
        <v>10334</v>
      </c>
      <c r="C2230">
        <v>144</v>
      </c>
      <c r="D2230" t="s">
        <v>142</v>
      </c>
      <c r="E2230" t="s">
        <v>143</v>
      </c>
      <c r="F2230" t="s">
        <v>29</v>
      </c>
      <c r="G2230" t="s">
        <v>53</v>
      </c>
      <c r="H2230">
        <v>20</v>
      </c>
      <c r="I2230" s="2">
        <v>147.33000000000001</v>
      </c>
      <c r="J2230" s="2">
        <v>77.900000000000006</v>
      </c>
      <c r="K2230" s="2">
        <v>2946.6</v>
      </c>
      <c r="L2230" s="2">
        <v>1558</v>
      </c>
      <c r="M2230" s="2">
        <v>1388.6</v>
      </c>
      <c r="N2230">
        <v>4</v>
      </c>
      <c r="P2230" t="str">
        <f>TRIM(Table1[[#This Row],[country]])</f>
        <v>Sweden</v>
      </c>
    </row>
    <row r="2231" spans="1:16" x14ac:dyDescent="0.3">
      <c r="A2231" s="1">
        <v>38310</v>
      </c>
      <c r="B2231">
        <v>10334</v>
      </c>
      <c r="C2231">
        <v>144</v>
      </c>
      <c r="D2231" t="s">
        <v>142</v>
      </c>
      <c r="E2231" t="s">
        <v>143</v>
      </c>
      <c r="F2231" t="s">
        <v>32</v>
      </c>
      <c r="G2231" t="s">
        <v>40</v>
      </c>
      <c r="H2231">
        <v>49</v>
      </c>
      <c r="I2231" s="2">
        <v>101.71</v>
      </c>
      <c r="J2231" s="2">
        <v>84.76</v>
      </c>
      <c r="K2231" s="2">
        <v>4983.79</v>
      </c>
      <c r="L2231" s="2">
        <v>4153.24</v>
      </c>
      <c r="M2231" s="2">
        <v>830.55</v>
      </c>
      <c r="N2231">
        <v>4</v>
      </c>
      <c r="P2231" t="str">
        <f>TRIM(Table1[[#This Row],[country]])</f>
        <v>Sweden</v>
      </c>
    </row>
    <row r="2232" spans="1:16" x14ac:dyDescent="0.3">
      <c r="A2232" s="1">
        <v>38310</v>
      </c>
      <c r="B2232">
        <v>10334</v>
      </c>
      <c r="C2232">
        <v>144</v>
      </c>
      <c r="D2232" t="s">
        <v>142</v>
      </c>
      <c r="E2232" t="s">
        <v>143</v>
      </c>
      <c r="F2232" t="s">
        <v>32</v>
      </c>
      <c r="G2232" t="s">
        <v>42</v>
      </c>
      <c r="H2232">
        <v>42</v>
      </c>
      <c r="I2232" s="2">
        <v>117.57</v>
      </c>
      <c r="J2232" s="2">
        <v>61.34</v>
      </c>
      <c r="K2232" s="2">
        <v>4937.9399999999996</v>
      </c>
      <c r="L2232" s="2">
        <v>2576.2800000000002</v>
      </c>
      <c r="M2232" s="2">
        <v>2361.66</v>
      </c>
      <c r="N2232">
        <v>4</v>
      </c>
      <c r="P2232" t="str">
        <f>TRIM(Table1[[#This Row],[country]])</f>
        <v>Sweden</v>
      </c>
    </row>
    <row r="2233" spans="1:16" x14ac:dyDescent="0.3">
      <c r="A2233" s="1">
        <v>38311</v>
      </c>
      <c r="B2233">
        <v>10336</v>
      </c>
      <c r="C2233">
        <v>172</v>
      </c>
      <c r="D2233" t="s">
        <v>207</v>
      </c>
      <c r="E2233" t="s">
        <v>144</v>
      </c>
      <c r="F2233" t="s">
        <v>29</v>
      </c>
      <c r="G2233" t="s">
        <v>66</v>
      </c>
      <c r="H2233">
        <v>33</v>
      </c>
      <c r="I2233" s="2">
        <v>176.63</v>
      </c>
      <c r="J2233" s="2">
        <v>95.59</v>
      </c>
      <c r="K2233" s="2">
        <v>5828.79</v>
      </c>
      <c r="L2233" s="2">
        <v>3154.47</v>
      </c>
      <c r="M2233" s="2">
        <v>2674.32</v>
      </c>
      <c r="N2233">
        <v>3</v>
      </c>
      <c r="P2233" t="str">
        <f>TRIM(Table1[[#This Row],[country]])</f>
        <v>France</v>
      </c>
    </row>
    <row r="2234" spans="1:16" x14ac:dyDescent="0.3">
      <c r="A2234" s="1">
        <v>38311</v>
      </c>
      <c r="B2234">
        <v>10336</v>
      </c>
      <c r="C2234">
        <v>172</v>
      </c>
      <c r="D2234" t="s">
        <v>207</v>
      </c>
      <c r="E2234" t="s">
        <v>144</v>
      </c>
      <c r="F2234" t="s">
        <v>29</v>
      </c>
      <c r="G2234" t="s">
        <v>49</v>
      </c>
      <c r="H2234">
        <v>33</v>
      </c>
      <c r="I2234" s="2">
        <v>126.91</v>
      </c>
      <c r="J2234" s="2">
        <v>89.14</v>
      </c>
      <c r="K2234" s="2">
        <v>4188.03</v>
      </c>
      <c r="L2234" s="2">
        <v>2941.62</v>
      </c>
      <c r="M2234" s="2">
        <v>1246.4100000000001</v>
      </c>
      <c r="N2234">
        <v>3</v>
      </c>
      <c r="P2234" t="str">
        <f>TRIM(Table1[[#This Row],[country]])</f>
        <v>France</v>
      </c>
    </row>
    <row r="2235" spans="1:16" x14ac:dyDescent="0.3">
      <c r="A2235" s="1">
        <v>38311</v>
      </c>
      <c r="B2235">
        <v>10336</v>
      </c>
      <c r="C2235">
        <v>172</v>
      </c>
      <c r="D2235" t="s">
        <v>207</v>
      </c>
      <c r="E2235" t="s">
        <v>144</v>
      </c>
      <c r="F2235" t="s">
        <v>29</v>
      </c>
      <c r="G2235" t="s">
        <v>67</v>
      </c>
      <c r="H2235">
        <v>49</v>
      </c>
      <c r="I2235" s="2">
        <v>141.88</v>
      </c>
      <c r="J2235" s="2">
        <v>83.05</v>
      </c>
      <c r="K2235" s="2">
        <v>6952.12</v>
      </c>
      <c r="L2235" s="2">
        <v>4069.45</v>
      </c>
      <c r="M2235" s="2">
        <v>2882.67</v>
      </c>
      <c r="N2235">
        <v>3</v>
      </c>
      <c r="P2235" t="str">
        <f>TRIM(Table1[[#This Row],[country]])</f>
        <v>France</v>
      </c>
    </row>
    <row r="2236" spans="1:16" x14ac:dyDescent="0.3">
      <c r="A2236" s="1">
        <v>38311</v>
      </c>
      <c r="B2236">
        <v>10336</v>
      </c>
      <c r="C2236">
        <v>172</v>
      </c>
      <c r="D2236" t="s">
        <v>207</v>
      </c>
      <c r="E2236" t="s">
        <v>144</v>
      </c>
      <c r="F2236" t="s">
        <v>32</v>
      </c>
      <c r="G2236" t="s">
        <v>50</v>
      </c>
      <c r="H2236">
        <v>38</v>
      </c>
      <c r="I2236" s="2">
        <v>95.99</v>
      </c>
      <c r="J2236" s="2">
        <v>55.7</v>
      </c>
      <c r="K2236" s="2">
        <v>3647.62</v>
      </c>
      <c r="L2236" s="2">
        <v>2116.6</v>
      </c>
      <c r="M2236" s="2">
        <v>1531.02</v>
      </c>
      <c r="N2236">
        <v>3</v>
      </c>
      <c r="P2236" t="str">
        <f>TRIM(Table1[[#This Row],[country]])</f>
        <v>France</v>
      </c>
    </row>
    <row r="2237" spans="1:16" x14ac:dyDescent="0.3">
      <c r="A2237" s="1">
        <v>38311</v>
      </c>
      <c r="B2237">
        <v>10336</v>
      </c>
      <c r="C2237">
        <v>172</v>
      </c>
      <c r="D2237" t="s">
        <v>207</v>
      </c>
      <c r="E2237" t="s">
        <v>144</v>
      </c>
      <c r="F2237" t="s">
        <v>29</v>
      </c>
      <c r="G2237" t="s">
        <v>51</v>
      </c>
      <c r="H2237">
        <v>49</v>
      </c>
      <c r="I2237" s="2">
        <v>153.91</v>
      </c>
      <c r="J2237" s="2">
        <v>101.51</v>
      </c>
      <c r="K2237" s="2">
        <v>7541.59</v>
      </c>
      <c r="L2237" s="2">
        <v>4973.99</v>
      </c>
      <c r="M2237" s="2">
        <v>2567.6</v>
      </c>
      <c r="N2237">
        <v>3</v>
      </c>
      <c r="P2237" t="str">
        <f>TRIM(Table1[[#This Row],[country]])</f>
        <v>France</v>
      </c>
    </row>
    <row r="2238" spans="1:16" x14ac:dyDescent="0.3">
      <c r="A2238" s="1">
        <v>38311</v>
      </c>
      <c r="B2238">
        <v>10336</v>
      </c>
      <c r="C2238">
        <v>172</v>
      </c>
      <c r="D2238" t="s">
        <v>207</v>
      </c>
      <c r="E2238" t="s">
        <v>144</v>
      </c>
      <c r="F2238" t="s">
        <v>15</v>
      </c>
      <c r="G2238" t="s">
        <v>68</v>
      </c>
      <c r="H2238">
        <v>48</v>
      </c>
      <c r="I2238" s="2">
        <v>135.22</v>
      </c>
      <c r="J2238" s="2">
        <v>68.3</v>
      </c>
      <c r="K2238" s="2">
        <v>6490.56</v>
      </c>
      <c r="L2238" s="2">
        <v>3278.4</v>
      </c>
      <c r="M2238" s="2">
        <v>3212.16</v>
      </c>
      <c r="N2238">
        <v>3</v>
      </c>
      <c r="P2238" t="str">
        <f>TRIM(Table1[[#This Row],[country]])</f>
        <v>France</v>
      </c>
    </row>
    <row r="2239" spans="1:16" x14ac:dyDescent="0.3">
      <c r="A2239" s="1">
        <v>38311</v>
      </c>
      <c r="B2239">
        <v>10336</v>
      </c>
      <c r="C2239">
        <v>172</v>
      </c>
      <c r="D2239" t="s">
        <v>207</v>
      </c>
      <c r="E2239" t="s">
        <v>144</v>
      </c>
      <c r="F2239" t="s">
        <v>59</v>
      </c>
      <c r="G2239" t="s">
        <v>69</v>
      </c>
      <c r="H2239">
        <v>21</v>
      </c>
      <c r="I2239" s="2">
        <v>100.84</v>
      </c>
      <c r="J2239" s="2">
        <v>67.56</v>
      </c>
      <c r="K2239" s="2">
        <v>2117.64</v>
      </c>
      <c r="L2239" s="2">
        <v>1418.76</v>
      </c>
      <c r="M2239" s="2">
        <v>698.88</v>
      </c>
      <c r="N2239">
        <v>3</v>
      </c>
      <c r="P2239" t="str">
        <f>TRIM(Table1[[#This Row],[country]])</f>
        <v>France</v>
      </c>
    </row>
    <row r="2240" spans="1:16" x14ac:dyDescent="0.3">
      <c r="A2240" s="1">
        <v>38311</v>
      </c>
      <c r="B2240">
        <v>10336</v>
      </c>
      <c r="C2240">
        <v>172</v>
      </c>
      <c r="D2240" t="s">
        <v>207</v>
      </c>
      <c r="E2240" t="s">
        <v>144</v>
      </c>
      <c r="F2240" t="s">
        <v>29</v>
      </c>
      <c r="G2240" t="s">
        <v>55</v>
      </c>
      <c r="H2240">
        <v>45</v>
      </c>
      <c r="I2240" s="2">
        <v>49.71</v>
      </c>
      <c r="J2240" s="2">
        <v>32.369999999999997</v>
      </c>
      <c r="K2240" s="2">
        <v>2236.9499999999998</v>
      </c>
      <c r="L2240" s="2">
        <v>1456.65</v>
      </c>
      <c r="M2240" s="2">
        <v>780.3</v>
      </c>
      <c r="N2240">
        <v>3</v>
      </c>
      <c r="P2240" t="str">
        <f>TRIM(Table1[[#This Row],[country]])</f>
        <v>France</v>
      </c>
    </row>
    <row r="2241" spans="1:16" x14ac:dyDescent="0.3">
      <c r="A2241" s="1">
        <v>38311</v>
      </c>
      <c r="B2241">
        <v>10336</v>
      </c>
      <c r="C2241">
        <v>172</v>
      </c>
      <c r="D2241" t="s">
        <v>207</v>
      </c>
      <c r="E2241" t="s">
        <v>144</v>
      </c>
      <c r="F2241" t="s">
        <v>29</v>
      </c>
      <c r="G2241" t="s">
        <v>57</v>
      </c>
      <c r="H2241">
        <v>31</v>
      </c>
      <c r="I2241" s="2">
        <v>113.55</v>
      </c>
      <c r="J2241" s="2">
        <v>69.78</v>
      </c>
      <c r="K2241" s="2">
        <v>3520.05</v>
      </c>
      <c r="L2241" s="2">
        <v>2163.1799999999998</v>
      </c>
      <c r="M2241" s="2">
        <v>1356.87</v>
      </c>
      <c r="N2241">
        <v>3</v>
      </c>
      <c r="P2241" t="str">
        <f>TRIM(Table1[[#This Row],[country]])</f>
        <v>France</v>
      </c>
    </row>
    <row r="2242" spans="1:16" x14ac:dyDescent="0.3">
      <c r="A2242" s="1">
        <v>38311</v>
      </c>
      <c r="B2242">
        <v>10336</v>
      </c>
      <c r="C2242">
        <v>172</v>
      </c>
      <c r="D2242" t="s">
        <v>207</v>
      </c>
      <c r="E2242" t="s">
        <v>144</v>
      </c>
      <c r="F2242" t="s">
        <v>59</v>
      </c>
      <c r="G2242" t="s">
        <v>60</v>
      </c>
      <c r="H2242">
        <v>31</v>
      </c>
      <c r="I2242" s="2">
        <v>59.03</v>
      </c>
      <c r="J2242" s="2">
        <v>26.72</v>
      </c>
      <c r="K2242" s="2">
        <v>1829.93</v>
      </c>
      <c r="L2242" s="2">
        <v>828.32</v>
      </c>
      <c r="M2242" s="2">
        <v>1001.61</v>
      </c>
      <c r="N2242">
        <v>3</v>
      </c>
      <c r="P2242" t="str">
        <f>TRIM(Table1[[#This Row],[country]])</f>
        <v>France</v>
      </c>
    </row>
    <row r="2243" spans="1:16" x14ac:dyDescent="0.3">
      <c r="A2243" s="1">
        <v>38311</v>
      </c>
      <c r="B2243">
        <v>10336</v>
      </c>
      <c r="C2243">
        <v>172</v>
      </c>
      <c r="D2243" t="s">
        <v>207</v>
      </c>
      <c r="E2243" t="s">
        <v>144</v>
      </c>
      <c r="F2243" t="s">
        <v>32</v>
      </c>
      <c r="G2243" t="s">
        <v>61</v>
      </c>
      <c r="H2243">
        <v>23</v>
      </c>
      <c r="I2243" s="2">
        <v>109.96</v>
      </c>
      <c r="J2243" s="2">
        <v>68.290000000000006</v>
      </c>
      <c r="K2243" s="2">
        <v>2529.08</v>
      </c>
      <c r="L2243" s="2">
        <v>1570.67</v>
      </c>
      <c r="M2243" s="2">
        <v>958.41</v>
      </c>
      <c r="N2243">
        <v>3</v>
      </c>
      <c r="P2243" t="str">
        <f>TRIM(Table1[[#This Row],[country]])</f>
        <v>France</v>
      </c>
    </row>
    <row r="2244" spans="1:16" x14ac:dyDescent="0.3">
      <c r="A2244" s="1">
        <v>38311</v>
      </c>
      <c r="B2244">
        <v>10336</v>
      </c>
      <c r="C2244">
        <v>172</v>
      </c>
      <c r="D2244" t="s">
        <v>207</v>
      </c>
      <c r="E2244" t="s">
        <v>144</v>
      </c>
      <c r="F2244" t="s">
        <v>29</v>
      </c>
      <c r="G2244" t="s">
        <v>46</v>
      </c>
      <c r="H2244">
        <v>46</v>
      </c>
      <c r="I2244" s="2">
        <v>94.07</v>
      </c>
      <c r="J2244" s="2">
        <v>46.53</v>
      </c>
      <c r="K2244" s="2">
        <v>4327.22</v>
      </c>
      <c r="L2244" s="2">
        <v>2140.38</v>
      </c>
      <c r="M2244" s="2">
        <v>2186.84</v>
      </c>
      <c r="N2244">
        <v>3</v>
      </c>
      <c r="P2244" t="str">
        <f>TRIM(Table1[[#This Row],[country]])</f>
        <v>France</v>
      </c>
    </row>
    <row r="2245" spans="1:16" x14ac:dyDescent="0.3">
      <c r="A2245" s="1">
        <v>38312</v>
      </c>
      <c r="B2245">
        <v>10337</v>
      </c>
      <c r="C2245">
        <v>424</v>
      </c>
      <c r="D2245" t="s">
        <v>208</v>
      </c>
      <c r="E2245" t="s">
        <v>14</v>
      </c>
      <c r="F2245" t="s">
        <v>29</v>
      </c>
      <c r="G2245" t="s">
        <v>65</v>
      </c>
      <c r="H2245">
        <v>25</v>
      </c>
      <c r="I2245" s="2">
        <v>131.91999999999999</v>
      </c>
      <c r="J2245" s="2">
        <v>85.68</v>
      </c>
      <c r="K2245" s="2">
        <v>3298</v>
      </c>
      <c r="L2245" s="2">
        <v>2142</v>
      </c>
      <c r="M2245" s="2">
        <v>1156</v>
      </c>
      <c r="N2245">
        <v>3</v>
      </c>
      <c r="P2245" t="str">
        <f>TRIM(Table1[[#This Row],[country]])</f>
        <v>USA</v>
      </c>
    </row>
    <row r="2246" spans="1:16" x14ac:dyDescent="0.3">
      <c r="A2246" s="1">
        <v>38312</v>
      </c>
      <c r="B2246">
        <v>10337</v>
      </c>
      <c r="C2246">
        <v>424</v>
      </c>
      <c r="D2246" t="s">
        <v>208</v>
      </c>
      <c r="E2246" t="s">
        <v>14</v>
      </c>
      <c r="F2246" t="s">
        <v>29</v>
      </c>
      <c r="G2246" t="s">
        <v>54</v>
      </c>
      <c r="H2246">
        <v>36</v>
      </c>
      <c r="I2246" s="2">
        <v>140.75</v>
      </c>
      <c r="J2246" s="2">
        <v>91.92</v>
      </c>
      <c r="K2246" s="2">
        <v>5067</v>
      </c>
      <c r="L2246" s="2">
        <v>3309.12</v>
      </c>
      <c r="M2246" s="2">
        <v>1757.88</v>
      </c>
      <c r="N2246">
        <v>3</v>
      </c>
      <c r="P2246" t="str">
        <f>TRIM(Table1[[#This Row],[country]])</f>
        <v>USA</v>
      </c>
    </row>
    <row r="2247" spans="1:16" x14ac:dyDescent="0.3">
      <c r="A2247" s="1">
        <v>38312</v>
      </c>
      <c r="B2247">
        <v>10337</v>
      </c>
      <c r="C2247">
        <v>424</v>
      </c>
      <c r="D2247" t="s">
        <v>208</v>
      </c>
      <c r="E2247" t="s">
        <v>14</v>
      </c>
      <c r="F2247" t="s">
        <v>15</v>
      </c>
      <c r="G2247" t="s">
        <v>70</v>
      </c>
      <c r="H2247">
        <v>29</v>
      </c>
      <c r="I2247" s="2">
        <v>76.36</v>
      </c>
      <c r="J2247" s="2">
        <v>52.66</v>
      </c>
      <c r="K2247" s="2">
        <v>2214.44</v>
      </c>
      <c r="L2247" s="2">
        <v>1527.14</v>
      </c>
      <c r="M2247" s="2">
        <v>687.3</v>
      </c>
      <c r="N2247">
        <v>3</v>
      </c>
      <c r="P2247" t="str">
        <f>TRIM(Table1[[#This Row],[country]])</f>
        <v>USA</v>
      </c>
    </row>
    <row r="2248" spans="1:16" x14ac:dyDescent="0.3">
      <c r="A2248" s="1">
        <v>38312</v>
      </c>
      <c r="B2248">
        <v>10337</v>
      </c>
      <c r="C2248">
        <v>424</v>
      </c>
      <c r="D2248" t="s">
        <v>208</v>
      </c>
      <c r="E2248" t="s">
        <v>14</v>
      </c>
      <c r="F2248" t="s">
        <v>71</v>
      </c>
      <c r="G2248" t="s">
        <v>72</v>
      </c>
      <c r="H2248">
        <v>29</v>
      </c>
      <c r="I2248" s="2">
        <v>119.2</v>
      </c>
      <c r="J2248" s="2">
        <v>82.34</v>
      </c>
      <c r="K2248" s="2">
        <v>3456.8</v>
      </c>
      <c r="L2248" s="2">
        <v>2387.86</v>
      </c>
      <c r="M2248" s="2">
        <v>1068.94</v>
      </c>
      <c r="N2248">
        <v>3</v>
      </c>
      <c r="P2248" t="str">
        <f>TRIM(Table1[[#This Row],[country]])</f>
        <v>USA</v>
      </c>
    </row>
    <row r="2249" spans="1:16" x14ac:dyDescent="0.3">
      <c r="A2249" s="1">
        <v>38312</v>
      </c>
      <c r="B2249">
        <v>10337</v>
      </c>
      <c r="C2249">
        <v>424</v>
      </c>
      <c r="D2249" t="s">
        <v>208</v>
      </c>
      <c r="E2249" t="s">
        <v>14</v>
      </c>
      <c r="F2249" t="s">
        <v>59</v>
      </c>
      <c r="G2249" t="s">
        <v>62</v>
      </c>
      <c r="H2249">
        <v>21</v>
      </c>
      <c r="I2249" s="2">
        <v>54.48</v>
      </c>
      <c r="J2249" s="2">
        <v>37.49</v>
      </c>
      <c r="K2249" s="2">
        <v>1144.08</v>
      </c>
      <c r="L2249" s="2">
        <v>787.29</v>
      </c>
      <c r="M2249" s="2">
        <v>356.79</v>
      </c>
      <c r="N2249">
        <v>3</v>
      </c>
      <c r="P2249" t="str">
        <f>TRIM(Table1[[#This Row],[country]])</f>
        <v>USA</v>
      </c>
    </row>
    <row r="2250" spans="1:16" x14ac:dyDescent="0.3">
      <c r="A2250" s="1">
        <v>38312</v>
      </c>
      <c r="B2250">
        <v>10337</v>
      </c>
      <c r="C2250">
        <v>424</v>
      </c>
      <c r="D2250" t="s">
        <v>208</v>
      </c>
      <c r="E2250" t="s">
        <v>14</v>
      </c>
      <c r="F2250" t="s">
        <v>71</v>
      </c>
      <c r="G2250" t="s">
        <v>76</v>
      </c>
      <c r="H2250">
        <v>36</v>
      </c>
      <c r="I2250" s="2">
        <v>73.62</v>
      </c>
      <c r="J2250" s="2">
        <v>43.3</v>
      </c>
      <c r="K2250" s="2">
        <v>2650.32</v>
      </c>
      <c r="L2250" s="2">
        <v>1558.8</v>
      </c>
      <c r="M2250" s="2">
        <v>1091.52</v>
      </c>
      <c r="N2250">
        <v>3</v>
      </c>
      <c r="P2250" t="str">
        <f>TRIM(Table1[[#This Row],[country]])</f>
        <v>USA</v>
      </c>
    </row>
    <row r="2251" spans="1:16" x14ac:dyDescent="0.3">
      <c r="A2251" s="1">
        <v>38312</v>
      </c>
      <c r="B2251">
        <v>10337</v>
      </c>
      <c r="C2251">
        <v>424</v>
      </c>
      <c r="D2251" t="s">
        <v>208</v>
      </c>
      <c r="E2251" t="s">
        <v>14</v>
      </c>
      <c r="F2251" t="s">
        <v>71</v>
      </c>
      <c r="G2251" t="s">
        <v>78</v>
      </c>
      <c r="H2251">
        <v>31</v>
      </c>
      <c r="I2251" s="2">
        <v>84.14</v>
      </c>
      <c r="J2251" s="2">
        <v>51.09</v>
      </c>
      <c r="K2251" s="2">
        <v>2608.34</v>
      </c>
      <c r="L2251" s="2">
        <v>1583.79</v>
      </c>
      <c r="M2251" s="2">
        <v>1024.55</v>
      </c>
      <c r="N2251">
        <v>3</v>
      </c>
      <c r="P2251" t="str">
        <f>TRIM(Table1[[#This Row],[country]])</f>
        <v>USA</v>
      </c>
    </row>
    <row r="2252" spans="1:16" x14ac:dyDescent="0.3">
      <c r="A2252" s="1">
        <v>38312</v>
      </c>
      <c r="B2252">
        <v>10337</v>
      </c>
      <c r="C2252">
        <v>424</v>
      </c>
      <c r="D2252" t="s">
        <v>208</v>
      </c>
      <c r="E2252" t="s">
        <v>14</v>
      </c>
      <c r="F2252" t="s">
        <v>71</v>
      </c>
      <c r="G2252" t="s">
        <v>79</v>
      </c>
      <c r="H2252">
        <v>36</v>
      </c>
      <c r="I2252" s="2">
        <v>83.42</v>
      </c>
      <c r="J2252" s="2">
        <v>53.63</v>
      </c>
      <c r="K2252" s="2">
        <v>3003.12</v>
      </c>
      <c r="L2252" s="2">
        <v>1930.68</v>
      </c>
      <c r="M2252" s="2">
        <v>1072.44</v>
      </c>
      <c r="N2252">
        <v>3</v>
      </c>
      <c r="P2252" t="str">
        <f>TRIM(Table1[[#This Row],[country]])</f>
        <v>USA</v>
      </c>
    </row>
    <row r="2253" spans="1:16" x14ac:dyDescent="0.3">
      <c r="A2253" s="1">
        <v>38312</v>
      </c>
      <c r="B2253">
        <v>10337</v>
      </c>
      <c r="C2253">
        <v>424</v>
      </c>
      <c r="D2253" t="s">
        <v>208</v>
      </c>
      <c r="E2253" t="s">
        <v>14</v>
      </c>
      <c r="F2253" t="s">
        <v>71</v>
      </c>
      <c r="G2253" t="s">
        <v>80</v>
      </c>
      <c r="H2253">
        <v>42</v>
      </c>
      <c r="I2253" s="2">
        <v>49.14</v>
      </c>
      <c r="J2253" s="2">
        <v>33.299999999999997</v>
      </c>
      <c r="K2253" s="2">
        <v>2063.88</v>
      </c>
      <c r="L2253" s="2">
        <v>1398.6</v>
      </c>
      <c r="M2253" s="2">
        <v>665.28</v>
      </c>
      <c r="N2253">
        <v>3</v>
      </c>
      <c r="P2253" t="str">
        <f>TRIM(Table1[[#This Row],[country]])</f>
        <v>USA</v>
      </c>
    </row>
    <row r="2254" spans="1:16" x14ac:dyDescent="0.3">
      <c r="A2254" s="1">
        <v>38313</v>
      </c>
      <c r="B2254">
        <v>10338</v>
      </c>
      <c r="C2254">
        <v>381</v>
      </c>
      <c r="D2254" t="s">
        <v>145</v>
      </c>
      <c r="E2254" t="s">
        <v>146</v>
      </c>
      <c r="F2254" t="s">
        <v>83</v>
      </c>
      <c r="G2254" t="s">
        <v>84</v>
      </c>
      <c r="H2254">
        <v>41</v>
      </c>
      <c r="I2254" s="2">
        <v>137.19</v>
      </c>
      <c r="J2254" s="2">
        <v>77.27</v>
      </c>
      <c r="K2254" s="2">
        <v>5624.79</v>
      </c>
      <c r="L2254" s="2">
        <v>3168.07</v>
      </c>
      <c r="M2254" s="2">
        <v>2456.7199999999998</v>
      </c>
      <c r="N2254">
        <v>3</v>
      </c>
      <c r="P2254" t="str">
        <f>TRIM(Table1[[#This Row],[country]])</f>
        <v>Belgium</v>
      </c>
    </row>
    <row r="2255" spans="1:16" x14ac:dyDescent="0.3">
      <c r="A2255" s="1">
        <v>38313</v>
      </c>
      <c r="B2255">
        <v>10338</v>
      </c>
      <c r="C2255">
        <v>381</v>
      </c>
      <c r="D2255" t="s">
        <v>145</v>
      </c>
      <c r="E2255" t="s">
        <v>146</v>
      </c>
      <c r="F2255" t="s">
        <v>71</v>
      </c>
      <c r="G2255" t="s">
        <v>86</v>
      </c>
      <c r="H2255">
        <v>28</v>
      </c>
      <c r="I2255" s="2">
        <v>80.86</v>
      </c>
      <c r="J2255" s="2">
        <v>51.61</v>
      </c>
      <c r="K2255" s="2">
        <v>2264.08</v>
      </c>
      <c r="L2255" s="2">
        <v>1445.08</v>
      </c>
      <c r="M2255" s="2">
        <v>819</v>
      </c>
      <c r="N2255">
        <v>3</v>
      </c>
      <c r="P2255" t="str">
        <f>TRIM(Table1[[#This Row],[country]])</f>
        <v>Belgium</v>
      </c>
    </row>
    <row r="2256" spans="1:16" x14ac:dyDescent="0.3">
      <c r="A2256" s="1">
        <v>38313</v>
      </c>
      <c r="B2256">
        <v>10338</v>
      </c>
      <c r="C2256">
        <v>381</v>
      </c>
      <c r="D2256" t="s">
        <v>145</v>
      </c>
      <c r="E2256" t="s">
        <v>146</v>
      </c>
      <c r="F2256" t="s">
        <v>15</v>
      </c>
      <c r="G2256" t="s">
        <v>87</v>
      </c>
      <c r="H2256">
        <v>45</v>
      </c>
      <c r="I2256" s="2">
        <v>93.17</v>
      </c>
      <c r="J2256" s="2">
        <v>64.58</v>
      </c>
      <c r="K2256" s="2">
        <v>4192.6499999999996</v>
      </c>
      <c r="L2256" s="2">
        <v>2906.1</v>
      </c>
      <c r="M2256" s="2">
        <v>1286.55</v>
      </c>
      <c r="N2256">
        <v>3</v>
      </c>
      <c r="P2256" t="str">
        <f>TRIM(Table1[[#This Row],[country]])</f>
        <v>Belgium</v>
      </c>
    </row>
    <row r="2257" spans="1:16" x14ac:dyDescent="0.3">
      <c r="A2257" s="1">
        <v>38314</v>
      </c>
      <c r="B2257">
        <v>10339</v>
      </c>
      <c r="C2257">
        <v>398</v>
      </c>
      <c r="D2257" t="s">
        <v>195</v>
      </c>
      <c r="E2257" t="s">
        <v>185</v>
      </c>
      <c r="F2257" t="s">
        <v>102</v>
      </c>
      <c r="G2257" t="s">
        <v>104</v>
      </c>
      <c r="H2257">
        <v>40</v>
      </c>
      <c r="I2257" s="2">
        <v>117.75</v>
      </c>
      <c r="J2257" s="2">
        <v>68.989999999999995</v>
      </c>
      <c r="K2257" s="2">
        <v>4710</v>
      </c>
      <c r="L2257" s="2">
        <v>2759.6</v>
      </c>
      <c r="M2257" s="2">
        <v>1950.4</v>
      </c>
      <c r="N2257">
        <v>2</v>
      </c>
      <c r="P2257" t="str">
        <f>TRIM(Table1[[#This Row],[country]])</f>
        <v>Japan</v>
      </c>
    </row>
    <row r="2258" spans="1:16" x14ac:dyDescent="0.3">
      <c r="A2258" s="1">
        <v>38314</v>
      </c>
      <c r="B2258">
        <v>10339</v>
      </c>
      <c r="C2258">
        <v>398</v>
      </c>
      <c r="D2258" t="s">
        <v>195</v>
      </c>
      <c r="E2258" t="s">
        <v>185</v>
      </c>
      <c r="F2258" t="s">
        <v>102</v>
      </c>
      <c r="G2258" t="s">
        <v>105</v>
      </c>
      <c r="H2258">
        <v>39</v>
      </c>
      <c r="I2258" s="2">
        <v>178.17</v>
      </c>
      <c r="J2258" s="2">
        <v>91.02</v>
      </c>
      <c r="K2258" s="2">
        <v>6948.63</v>
      </c>
      <c r="L2258" s="2">
        <v>3549.78</v>
      </c>
      <c r="M2258" s="2">
        <v>3398.85</v>
      </c>
      <c r="N2258">
        <v>2</v>
      </c>
      <c r="P2258" t="str">
        <f>TRIM(Table1[[#This Row],[country]])</f>
        <v>Japan</v>
      </c>
    </row>
    <row r="2259" spans="1:16" x14ac:dyDescent="0.3">
      <c r="A2259" s="1">
        <v>38314</v>
      </c>
      <c r="B2259">
        <v>10339</v>
      </c>
      <c r="C2259">
        <v>398</v>
      </c>
      <c r="D2259" t="s">
        <v>195</v>
      </c>
      <c r="E2259" t="s">
        <v>185</v>
      </c>
      <c r="F2259" t="s">
        <v>83</v>
      </c>
      <c r="G2259" t="s">
        <v>85</v>
      </c>
      <c r="H2259">
        <v>27</v>
      </c>
      <c r="I2259" s="2">
        <v>79.41</v>
      </c>
      <c r="J2259" s="2">
        <v>49</v>
      </c>
      <c r="K2259" s="2">
        <v>2144.0700000000002</v>
      </c>
      <c r="L2259" s="2">
        <v>1323</v>
      </c>
      <c r="M2259" s="2">
        <v>821.07</v>
      </c>
      <c r="N2259">
        <v>2</v>
      </c>
      <c r="P2259" t="str">
        <f>TRIM(Table1[[#This Row],[country]])</f>
        <v>Japan</v>
      </c>
    </row>
    <row r="2260" spans="1:16" x14ac:dyDescent="0.3">
      <c r="A2260" s="1">
        <v>38314</v>
      </c>
      <c r="B2260">
        <v>10339</v>
      </c>
      <c r="C2260">
        <v>398</v>
      </c>
      <c r="D2260" t="s">
        <v>195</v>
      </c>
      <c r="E2260" t="s">
        <v>185</v>
      </c>
      <c r="F2260" t="s">
        <v>102</v>
      </c>
      <c r="G2260" t="s">
        <v>107</v>
      </c>
      <c r="H2260">
        <v>30</v>
      </c>
      <c r="I2260" s="2">
        <v>48.46</v>
      </c>
      <c r="J2260" s="2">
        <v>24.23</v>
      </c>
      <c r="K2260" s="2">
        <v>1453.8</v>
      </c>
      <c r="L2260" s="2">
        <v>726.9</v>
      </c>
      <c r="M2260" s="2">
        <v>726.9</v>
      </c>
      <c r="N2260">
        <v>2</v>
      </c>
      <c r="P2260" t="str">
        <f>TRIM(Table1[[#This Row],[country]])</f>
        <v>Japan</v>
      </c>
    </row>
    <row r="2261" spans="1:16" x14ac:dyDescent="0.3">
      <c r="A2261" s="1">
        <v>38314</v>
      </c>
      <c r="B2261">
        <v>10339</v>
      </c>
      <c r="C2261">
        <v>398</v>
      </c>
      <c r="D2261" t="s">
        <v>195</v>
      </c>
      <c r="E2261" t="s">
        <v>185</v>
      </c>
      <c r="F2261" t="s">
        <v>102</v>
      </c>
      <c r="G2261" t="s">
        <v>108</v>
      </c>
      <c r="H2261">
        <v>27</v>
      </c>
      <c r="I2261" s="2">
        <v>96.92</v>
      </c>
      <c r="J2261" s="2">
        <v>60.86</v>
      </c>
      <c r="K2261" s="2">
        <v>2616.84</v>
      </c>
      <c r="L2261" s="2">
        <v>1643.22</v>
      </c>
      <c r="M2261" s="2">
        <v>973.62</v>
      </c>
      <c r="N2261">
        <v>2</v>
      </c>
      <c r="P2261" t="str">
        <f>TRIM(Table1[[#This Row],[country]])</f>
        <v>Japan</v>
      </c>
    </row>
    <row r="2262" spans="1:16" x14ac:dyDescent="0.3">
      <c r="A2262" s="1">
        <v>38314</v>
      </c>
      <c r="B2262">
        <v>10339</v>
      </c>
      <c r="C2262">
        <v>398</v>
      </c>
      <c r="D2262" t="s">
        <v>195</v>
      </c>
      <c r="E2262" t="s">
        <v>185</v>
      </c>
      <c r="F2262" t="s">
        <v>83</v>
      </c>
      <c r="G2262" t="s">
        <v>88</v>
      </c>
      <c r="H2262">
        <v>21</v>
      </c>
      <c r="I2262" s="2">
        <v>106.14</v>
      </c>
      <c r="J2262" s="2">
        <v>66.739999999999995</v>
      </c>
      <c r="K2262" s="2">
        <v>2228.94</v>
      </c>
      <c r="L2262" s="2">
        <v>1401.54</v>
      </c>
      <c r="M2262" s="2">
        <v>827.4</v>
      </c>
      <c r="N2262">
        <v>2</v>
      </c>
      <c r="P2262" t="str">
        <f>TRIM(Table1[[#This Row],[country]])</f>
        <v>Japan</v>
      </c>
    </row>
    <row r="2263" spans="1:16" x14ac:dyDescent="0.3">
      <c r="A2263" s="1">
        <v>38314</v>
      </c>
      <c r="B2263">
        <v>10339</v>
      </c>
      <c r="C2263">
        <v>398</v>
      </c>
      <c r="D2263" t="s">
        <v>195</v>
      </c>
      <c r="E2263" t="s">
        <v>185</v>
      </c>
      <c r="F2263" t="s">
        <v>83</v>
      </c>
      <c r="G2263" t="s">
        <v>89</v>
      </c>
      <c r="H2263">
        <v>55</v>
      </c>
      <c r="I2263" s="2">
        <v>67.819999999999993</v>
      </c>
      <c r="J2263" s="2">
        <v>34.25</v>
      </c>
      <c r="K2263" s="2">
        <v>3730.1</v>
      </c>
      <c r="L2263" s="2">
        <v>1883.75</v>
      </c>
      <c r="M2263" s="2">
        <v>1846.35</v>
      </c>
      <c r="N2263">
        <v>2</v>
      </c>
      <c r="P2263" t="str">
        <f>TRIM(Table1[[#This Row],[country]])</f>
        <v>Japan</v>
      </c>
    </row>
    <row r="2264" spans="1:16" x14ac:dyDescent="0.3">
      <c r="A2264" s="1">
        <v>38314</v>
      </c>
      <c r="B2264">
        <v>10339</v>
      </c>
      <c r="C2264">
        <v>398</v>
      </c>
      <c r="D2264" t="s">
        <v>195</v>
      </c>
      <c r="E2264" t="s">
        <v>185</v>
      </c>
      <c r="F2264" t="s">
        <v>15</v>
      </c>
      <c r="G2264" t="s">
        <v>73</v>
      </c>
      <c r="H2264">
        <v>55</v>
      </c>
      <c r="I2264" s="2">
        <v>73.459999999999994</v>
      </c>
      <c r="J2264" s="2">
        <v>46.91</v>
      </c>
      <c r="K2264" s="2">
        <v>4040.3</v>
      </c>
      <c r="L2264" s="2">
        <v>2580.0500000000002</v>
      </c>
      <c r="M2264" s="2">
        <v>1460.25</v>
      </c>
      <c r="N2264">
        <v>2</v>
      </c>
      <c r="P2264" t="str">
        <f>TRIM(Table1[[#This Row],[country]])</f>
        <v>Japan</v>
      </c>
    </row>
    <row r="2265" spans="1:16" x14ac:dyDescent="0.3">
      <c r="A2265" s="1">
        <v>38314</v>
      </c>
      <c r="B2265">
        <v>10339</v>
      </c>
      <c r="C2265">
        <v>398</v>
      </c>
      <c r="D2265" t="s">
        <v>195</v>
      </c>
      <c r="E2265" t="s">
        <v>185</v>
      </c>
      <c r="F2265" t="s">
        <v>15</v>
      </c>
      <c r="G2265" t="s">
        <v>90</v>
      </c>
      <c r="H2265">
        <v>29</v>
      </c>
      <c r="I2265" s="2">
        <v>57.86</v>
      </c>
      <c r="J2265" s="2">
        <v>26.3</v>
      </c>
      <c r="K2265" s="2">
        <v>1677.94</v>
      </c>
      <c r="L2265" s="2">
        <v>762.7</v>
      </c>
      <c r="M2265" s="2">
        <v>915.24</v>
      </c>
      <c r="N2265">
        <v>2</v>
      </c>
      <c r="P2265" t="str">
        <f>TRIM(Table1[[#This Row],[country]])</f>
        <v>Japan</v>
      </c>
    </row>
    <row r="2266" spans="1:16" x14ac:dyDescent="0.3">
      <c r="A2266" s="1">
        <v>38314</v>
      </c>
      <c r="B2266">
        <v>10339</v>
      </c>
      <c r="C2266">
        <v>398</v>
      </c>
      <c r="D2266" t="s">
        <v>195</v>
      </c>
      <c r="E2266" t="s">
        <v>185</v>
      </c>
      <c r="F2266" t="s">
        <v>15</v>
      </c>
      <c r="G2266" t="s">
        <v>74</v>
      </c>
      <c r="H2266">
        <v>42</v>
      </c>
      <c r="I2266" s="2">
        <v>72.959999999999994</v>
      </c>
      <c r="J2266" s="2">
        <v>48.64</v>
      </c>
      <c r="K2266" s="2">
        <v>3064.32</v>
      </c>
      <c r="L2266" s="2">
        <v>2042.88</v>
      </c>
      <c r="M2266" s="2">
        <v>1021.44</v>
      </c>
      <c r="N2266">
        <v>2</v>
      </c>
      <c r="P2266" t="str">
        <f>TRIM(Table1[[#This Row],[country]])</f>
        <v>Japan</v>
      </c>
    </row>
    <row r="2267" spans="1:16" x14ac:dyDescent="0.3">
      <c r="A2267" s="1">
        <v>38314</v>
      </c>
      <c r="B2267">
        <v>10339</v>
      </c>
      <c r="C2267">
        <v>398</v>
      </c>
      <c r="D2267" t="s">
        <v>195</v>
      </c>
      <c r="E2267" t="s">
        <v>185</v>
      </c>
      <c r="F2267" t="s">
        <v>83</v>
      </c>
      <c r="G2267" t="s">
        <v>91</v>
      </c>
      <c r="H2267">
        <v>45</v>
      </c>
      <c r="I2267" s="2">
        <v>57.32</v>
      </c>
      <c r="J2267" s="2">
        <v>29.34</v>
      </c>
      <c r="K2267" s="2">
        <v>2579.4</v>
      </c>
      <c r="L2267" s="2">
        <v>1320.3</v>
      </c>
      <c r="M2267" s="2">
        <v>1259.0999999999999</v>
      </c>
      <c r="N2267">
        <v>2</v>
      </c>
      <c r="P2267" t="str">
        <f>TRIM(Table1[[#This Row],[country]])</f>
        <v>Japan</v>
      </c>
    </row>
    <row r="2268" spans="1:16" x14ac:dyDescent="0.3">
      <c r="A2268" s="1">
        <v>38314</v>
      </c>
      <c r="B2268">
        <v>10339</v>
      </c>
      <c r="C2268">
        <v>398</v>
      </c>
      <c r="D2268" t="s">
        <v>195</v>
      </c>
      <c r="E2268" t="s">
        <v>185</v>
      </c>
      <c r="F2268" t="s">
        <v>71</v>
      </c>
      <c r="G2268" t="s">
        <v>75</v>
      </c>
      <c r="H2268">
        <v>22</v>
      </c>
      <c r="I2268" s="2">
        <v>53.34</v>
      </c>
      <c r="J2268" s="2">
        <v>34</v>
      </c>
      <c r="K2268" s="2">
        <v>1173.48</v>
      </c>
      <c r="L2268" s="2">
        <v>748</v>
      </c>
      <c r="M2268" s="2">
        <v>425.48</v>
      </c>
      <c r="N2268">
        <v>2</v>
      </c>
      <c r="P2268" t="str">
        <f>TRIM(Table1[[#This Row],[country]])</f>
        <v>Japan</v>
      </c>
    </row>
    <row r="2269" spans="1:16" x14ac:dyDescent="0.3">
      <c r="A2269" s="1">
        <v>38314</v>
      </c>
      <c r="B2269">
        <v>10339</v>
      </c>
      <c r="C2269">
        <v>398</v>
      </c>
      <c r="D2269" t="s">
        <v>195</v>
      </c>
      <c r="E2269" t="s">
        <v>185</v>
      </c>
      <c r="F2269" t="s">
        <v>71</v>
      </c>
      <c r="G2269" t="s">
        <v>96</v>
      </c>
      <c r="H2269">
        <v>55</v>
      </c>
      <c r="I2269" s="2">
        <v>86.9</v>
      </c>
      <c r="J2269" s="2">
        <v>39.83</v>
      </c>
      <c r="K2269" s="2">
        <v>4779.5</v>
      </c>
      <c r="L2269" s="2">
        <v>2190.65</v>
      </c>
      <c r="M2269" s="2">
        <v>2588.85</v>
      </c>
      <c r="N2269">
        <v>2</v>
      </c>
      <c r="P2269" t="str">
        <f>TRIM(Table1[[#This Row],[country]])</f>
        <v>Japan</v>
      </c>
    </row>
    <row r="2270" spans="1:16" x14ac:dyDescent="0.3">
      <c r="A2270" s="1">
        <v>38314</v>
      </c>
      <c r="B2270">
        <v>10339</v>
      </c>
      <c r="C2270">
        <v>398</v>
      </c>
      <c r="D2270" t="s">
        <v>195</v>
      </c>
      <c r="E2270" t="s">
        <v>185</v>
      </c>
      <c r="F2270" t="s">
        <v>71</v>
      </c>
      <c r="G2270" t="s">
        <v>77</v>
      </c>
      <c r="H2270">
        <v>50</v>
      </c>
      <c r="I2270" s="2">
        <v>62.16</v>
      </c>
      <c r="J2270" s="2">
        <v>33.97</v>
      </c>
      <c r="K2270" s="2">
        <v>3108</v>
      </c>
      <c r="L2270" s="2">
        <v>1698.5</v>
      </c>
      <c r="M2270" s="2">
        <v>1409.5</v>
      </c>
      <c r="N2270">
        <v>2</v>
      </c>
      <c r="P2270" t="str">
        <f>TRIM(Table1[[#This Row],[country]])</f>
        <v>Japan</v>
      </c>
    </row>
    <row r="2271" spans="1:16" x14ac:dyDescent="0.3">
      <c r="A2271" s="1">
        <v>38314</v>
      </c>
      <c r="B2271">
        <v>10339</v>
      </c>
      <c r="C2271">
        <v>398</v>
      </c>
      <c r="D2271" t="s">
        <v>195</v>
      </c>
      <c r="E2271" t="s">
        <v>185</v>
      </c>
      <c r="F2271" t="s">
        <v>83</v>
      </c>
      <c r="G2271" t="s">
        <v>100</v>
      </c>
      <c r="H2271">
        <v>50</v>
      </c>
      <c r="I2271" s="2">
        <v>66.63</v>
      </c>
      <c r="J2271" s="2">
        <v>36.270000000000003</v>
      </c>
      <c r="K2271" s="2">
        <v>3331.5</v>
      </c>
      <c r="L2271" s="2">
        <v>1813.5</v>
      </c>
      <c r="M2271" s="2">
        <v>1518</v>
      </c>
      <c r="N2271">
        <v>2</v>
      </c>
      <c r="P2271" t="str">
        <f>TRIM(Table1[[#This Row],[country]])</f>
        <v>Japan</v>
      </c>
    </row>
    <row r="2272" spans="1:16" x14ac:dyDescent="0.3">
      <c r="A2272" s="1">
        <v>38314</v>
      </c>
      <c r="B2272">
        <v>10339</v>
      </c>
      <c r="C2272">
        <v>398</v>
      </c>
      <c r="D2272" t="s">
        <v>195</v>
      </c>
      <c r="E2272" t="s">
        <v>185</v>
      </c>
      <c r="F2272" t="s">
        <v>83</v>
      </c>
      <c r="G2272" t="s">
        <v>101</v>
      </c>
      <c r="H2272">
        <v>27</v>
      </c>
      <c r="I2272" s="2">
        <v>49.66</v>
      </c>
      <c r="J2272" s="2">
        <v>32.770000000000003</v>
      </c>
      <c r="K2272" s="2">
        <v>1340.82</v>
      </c>
      <c r="L2272" s="2">
        <v>884.79</v>
      </c>
      <c r="M2272" s="2">
        <v>456.03</v>
      </c>
      <c r="N2272">
        <v>2</v>
      </c>
      <c r="P2272" t="str">
        <f>TRIM(Table1[[#This Row],[country]])</f>
        <v>Japan</v>
      </c>
    </row>
    <row r="2273" spans="1:16" x14ac:dyDescent="0.3">
      <c r="A2273" s="1">
        <v>38315</v>
      </c>
      <c r="B2273">
        <v>10343</v>
      </c>
      <c r="C2273">
        <v>353</v>
      </c>
      <c r="D2273" t="s">
        <v>152</v>
      </c>
      <c r="E2273" t="s">
        <v>144</v>
      </c>
      <c r="F2273" t="s">
        <v>29</v>
      </c>
      <c r="G2273" t="s">
        <v>134</v>
      </c>
      <c r="H2273">
        <v>36</v>
      </c>
      <c r="I2273" s="2">
        <v>109.51</v>
      </c>
      <c r="J2273" s="2">
        <v>65.959999999999994</v>
      </c>
      <c r="K2273" s="2">
        <v>3942.36</v>
      </c>
      <c r="L2273" s="2">
        <v>2374.56</v>
      </c>
      <c r="M2273" s="2">
        <v>1567.8</v>
      </c>
      <c r="N2273">
        <v>3</v>
      </c>
      <c r="P2273" t="str">
        <f>TRIM(Table1[[#This Row],[country]])</f>
        <v>France</v>
      </c>
    </row>
    <row r="2274" spans="1:16" x14ac:dyDescent="0.3">
      <c r="A2274" s="1">
        <v>38315</v>
      </c>
      <c r="B2274">
        <v>10343</v>
      </c>
      <c r="C2274">
        <v>353</v>
      </c>
      <c r="D2274" t="s">
        <v>152</v>
      </c>
      <c r="E2274" t="s">
        <v>144</v>
      </c>
      <c r="F2274" t="s">
        <v>29</v>
      </c>
      <c r="G2274" t="s">
        <v>130</v>
      </c>
      <c r="H2274">
        <v>25</v>
      </c>
      <c r="I2274" s="2">
        <v>118.8</v>
      </c>
      <c r="J2274" s="2">
        <v>56.76</v>
      </c>
      <c r="K2274" s="2">
        <v>2970</v>
      </c>
      <c r="L2274" s="2">
        <v>1419</v>
      </c>
      <c r="M2274" s="2">
        <v>1551</v>
      </c>
      <c r="N2274">
        <v>3</v>
      </c>
      <c r="P2274" t="str">
        <f>TRIM(Table1[[#This Row],[country]])</f>
        <v>France</v>
      </c>
    </row>
    <row r="2275" spans="1:16" x14ac:dyDescent="0.3">
      <c r="A2275" s="1">
        <v>38315</v>
      </c>
      <c r="B2275">
        <v>10343</v>
      </c>
      <c r="C2275">
        <v>353</v>
      </c>
      <c r="D2275" t="s">
        <v>152</v>
      </c>
      <c r="E2275" t="s">
        <v>144</v>
      </c>
      <c r="F2275" t="s">
        <v>29</v>
      </c>
      <c r="G2275" t="s">
        <v>131</v>
      </c>
      <c r="H2275">
        <v>44</v>
      </c>
      <c r="I2275" s="2">
        <v>127.15</v>
      </c>
      <c r="J2275" s="2">
        <v>62.16</v>
      </c>
      <c r="K2275" s="2">
        <v>5594.6</v>
      </c>
      <c r="L2275" s="2">
        <v>2735.04</v>
      </c>
      <c r="M2275" s="2">
        <v>2859.56</v>
      </c>
      <c r="N2275">
        <v>3</v>
      </c>
      <c r="P2275" t="str">
        <f>TRIM(Table1[[#This Row],[country]])</f>
        <v>France</v>
      </c>
    </row>
    <row r="2276" spans="1:16" x14ac:dyDescent="0.3">
      <c r="A2276" s="1">
        <v>38315</v>
      </c>
      <c r="B2276">
        <v>10343</v>
      </c>
      <c r="C2276">
        <v>353</v>
      </c>
      <c r="D2276" t="s">
        <v>152</v>
      </c>
      <c r="E2276" t="s">
        <v>144</v>
      </c>
      <c r="F2276" t="s">
        <v>29</v>
      </c>
      <c r="G2276" t="s">
        <v>137</v>
      </c>
      <c r="H2276">
        <v>27</v>
      </c>
      <c r="I2276" s="2">
        <v>44.78</v>
      </c>
      <c r="J2276" s="2">
        <v>29.18</v>
      </c>
      <c r="K2276" s="2">
        <v>1209.06</v>
      </c>
      <c r="L2276" s="2">
        <v>787.86</v>
      </c>
      <c r="M2276" s="2">
        <v>421.2</v>
      </c>
      <c r="N2276">
        <v>3</v>
      </c>
      <c r="P2276" t="str">
        <f>TRIM(Table1[[#This Row],[country]])</f>
        <v>France</v>
      </c>
    </row>
    <row r="2277" spans="1:16" x14ac:dyDescent="0.3">
      <c r="A2277" s="1">
        <v>38315</v>
      </c>
      <c r="B2277">
        <v>10343</v>
      </c>
      <c r="C2277">
        <v>353</v>
      </c>
      <c r="D2277" t="s">
        <v>152</v>
      </c>
      <c r="E2277" t="s">
        <v>144</v>
      </c>
      <c r="F2277" t="s">
        <v>29</v>
      </c>
      <c r="G2277" t="s">
        <v>124</v>
      </c>
      <c r="H2277">
        <v>30</v>
      </c>
      <c r="I2277" s="2">
        <v>76.8</v>
      </c>
      <c r="J2277" s="2">
        <v>32.33</v>
      </c>
      <c r="K2277" s="2">
        <v>2304</v>
      </c>
      <c r="L2277" s="2">
        <v>969.9</v>
      </c>
      <c r="M2277" s="2">
        <v>1334.1</v>
      </c>
      <c r="N2277">
        <v>3</v>
      </c>
      <c r="P2277" t="str">
        <f>TRIM(Table1[[#This Row],[country]])</f>
        <v>France</v>
      </c>
    </row>
    <row r="2278" spans="1:16" x14ac:dyDescent="0.3">
      <c r="A2278" s="1">
        <v>38315</v>
      </c>
      <c r="B2278">
        <v>10343</v>
      </c>
      <c r="C2278">
        <v>353</v>
      </c>
      <c r="D2278" t="s">
        <v>152</v>
      </c>
      <c r="E2278" t="s">
        <v>144</v>
      </c>
      <c r="F2278" t="s">
        <v>102</v>
      </c>
      <c r="G2278" t="s">
        <v>125</v>
      </c>
      <c r="H2278">
        <v>29</v>
      </c>
      <c r="I2278" s="2">
        <v>37.409999999999997</v>
      </c>
      <c r="J2278" s="2">
        <v>24.14</v>
      </c>
      <c r="K2278" s="2">
        <v>1084.8900000000001</v>
      </c>
      <c r="L2278" s="2">
        <v>700.06</v>
      </c>
      <c r="M2278" s="2">
        <v>384.83</v>
      </c>
      <c r="N2278">
        <v>3</v>
      </c>
      <c r="P2278" t="str">
        <f>TRIM(Table1[[#This Row],[country]])</f>
        <v>France</v>
      </c>
    </row>
    <row r="2279" spans="1:16" x14ac:dyDescent="0.3">
      <c r="A2279" s="1">
        <v>38315</v>
      </c>
      <c r="B2279">
        <v>10341</v>
      </c>
      <c r="C2279">
        <v>382</v>
      </c>
      <c r="D2279" t="s">
        <v>149</v>
      </c>
      <c r="E2279" t="s">
        <v>150</v>
      </c>
      <c r="F2279" t="s">
        <v>102</v>
      </c>
      <c r="G2279" t="s">
        <v>103</v>
      </c>
      <c r="H2279">
        <v>41</v>
      </c>
      <c r="I2279" s="2">
        <v>84.22</v>
      </c>
      <c r="J2279" s="2">
        <v>48.81</v>
      </c>
      <c r="K2279" s="2">
        <v>3453.02</v>
      </c>
      <c r="L2279" s="2">
        <v>2001.21</v>
      </c>
      <c r="M2279" s="2">
        <v>1451.81</v>
      </c>
      <c r="N2279">
        <v>3</v>
      </c>
      <c r="P2279" t="str">
        <f>TRIM(Table1[[#This Row],[country]])</f>
        <v>Austria</v>
      </c>
    </row>
    <row r="2280" spans="1:16" x14ac:dyDescent="0.3">
      <c r="A2280" s="1">
        <v>38315</v>
      </c>
      <c r="B2280">
        <v>10341</v>
      </c>
      <c r="C2280">
        <v>382</v>
      </c>
      <c r="D2280" t="s">
        <v>149</v>
      </c>
      <c r="E2280" t="s">
        <v>150</v>
      </c>
      <c r="F2280" t="s">
        <v>29</v>
      </c>
      <c r="G2280" t="s">
        <v>112</v>
      </c>
      <c r="H2280">
        <v>45</v>
      </c>
      <c r="I2280" s="2">
        <v>192.62</v>
      </c>
      <c r="J2280" s="2">
        <v>95.34</v>
      </c>
      <c r="K2280" s="2">
        <v>8667.9</v>
      </c>
      <c r="L2280" s="2">
        <v>4290.3</v>
      </c>
      <c r="M2280" s="2">
        <v>4377.6000000000004</v>
      </c>
      <c r="N2280">
        <v>3</v>
      </c>
      <c r="P2280" t="str">
        <f>TRIM(Table1[[#This Row],[country]])</f>
        <v>Austria</v>
      </c>
    </row>
    <row r="2281" spans="1:16" x14ac:dyDescent="0.3">
      <c r="A2281" s="1">
        <v>38315</v>
      </c>
      <c r="B2281">
        <v>10341</v>
      </c>
      <c r="C2281">
        <v>382</v>
      </c>
      <c r="D2281" t="s">
        <v>149</v>
      </c>
      <c r="E2281" t="s">
        <v>150</v>
      </c>
      <c r="F2281" t="s">
        <v>102</v>
      </c>
      <c r="G2281" t="s">
        <v>106</v>
      </c>
      <c r="H2281">
        <v>55</v>
      </c>
      <c r="I2281" s="2">
        <v>120.5</v>
      </c>
      <c r="J2281" s="2">
        <v>66.27</v>
      </c>
      <c r="K2281" s="2">
        <v>6627.5</v>
      </c>
      <c r="L2281" s="2">
        <v>3644.85</v>
      </c>
      <c r="M2281" s="2">
        <v>2982.65</v>
      </c>
      <c r="N2281">
        <v>3</v>
      </c>
      <c r="P2281" t="str">
        <f>TRIM(Table1[[#This Row],[country]])</f>
        <v>Austria</v>
      </c>
    </row>
    <row r="2282" spans="1:16" x14ac:dyDescent="0.3">
      <c r="A2282" s="1">
        <v>38315</v>
      </c>
      <c r="B2282">
        <v>10341</v>
      </c>
      <c r="C2282">
        <v>382</v>
      </c>
      <c r="D2282" t="s">
        <v>149</v>
      </c>
      <c r="E2282" t="s">
        <v>150</v>
      </c>
      <c r="F2282" t="s">
        <v>29</v>
      </c>
      <c r="G2282" t="s">
        <v>113</v>
      </c>
      <c r="H2282">
        <v>44</v>
      </c>
      <c r="I2282" s="2">
        <v>111.57</v>
      </c>
      <c r="J2282" s="2">
        <v>75.16</v>
      </c>
      <c r="K2282" s="2">
        <v>4909.08</v>
      </c>
      <c r="L2282" s="2">
        <v>3307.04</v>
      </c>
      <c r="M2282" s="2">
        <v>1602.04</v>
      </c>
      <c r="N2282">
        <v>3</v>
      </c>
      <c r="P2282" t="str">
        <f>TRIM(Table1[[#This Row],[country]])</f>
        <v>Austria</v>
      </c>
    </row>
    <row r="2283" spans="1:16" x14ac:dyDescent="0.3">
      <c r="A2283" s="1">
        <v>38315</v>
      </c>
      <c r="B2283">
        <v>10341</v>
      </c>
      <c r="C2283">
        <v>382</v>
      </c>
      <c r="D2283" t="s">
        <v>149</v>
      </c>
      <c r="E2283" t="s">
        <v>150</v>
      </c>
      <c r="F2283" t="s">
        <v>29</v>
      </c>
      <c r="G2283" t="s">
        <v>114</v>
      </c>
      <c r="H2283">
        <v>36</v>
      </c>
      <c r="I2283" s="2">
        <v>77.41</v>
      </c>
      <c r="J2283" s="2">
        <v>31.92</v>
      </c>
      <c r="K2283" s="2">
        <v>2786.76</v>
      </c>
      <c r="L2283" s="2">
        <v>1149.1199999999999</v>
      </c>
      <c r="M2283" s="2">
        <v>1637.64</v>
      </c>
      <c r="N2283">
        <v>3</v>
      </c>
      <c r="P2283" t="str">
        <f>TRIM(Table1[[#This Row],[country]])</f>
        <v>Austria</v>
      </c>
    </row>
    <row r="2284" spans="1:16" x14ac:dyDescent="0.3">
      <c r="A2284" s="1">
        <v>38315</v>
      </c>
      <c r="B2284">
        <v>10341</v>
      </c>
      <c r="C2284">
        <v>382</v>
      </c>
      <c r="D2284" t="s">
        <v>149</v>
      </c>
      <c r="E2284" t="s">
        <v>150</v>
      </c>
      <c r="F2284" t="s">
        <v>29</v>
      </c>
      <c r="G2284" t="s">
        <v>115</v>
      </c>
      <c r="H2284">
        <v>55</v>
      </c>
      <c r="I2284" s="2">
        <v>109.4</v>
      </c>
      <c r="J2284" s="2">
        <v>58.73</v>
      </c>
      <c r="K2284" s="2">
        <v>6017</v>
      </c>
      <c r="L2284" s="2">
        <v>3230.15</v>
      </c>
      <c r="M2284" s="2">
        <v>2786.85</v>
      </c>
      <c r="N2284">
        <v>3</v>
      </c>
      <c r="P2284" t="str">
        <f>TRIM(Table1[[#This Row],[country]])</f>
        <v>Austria</v>
      </c>
    </row>
    <row r="2285" spans="1:16" x14ac:dyDescent="0.3">
      <c r="A2285" s="1">
        <v>38315</v>
      </c>
      <c r="B2285">
        <v>10341</v>
      </c>
      <c r="C2285">
        <v>382</v>
      </c>
      <c r="D2285" t="s">
        <v>149</v>
      </c>
      <c r="E2285" t="s">
        <v>150</v>
      </c>
      <c r="F2285" t="s">
        <v>102</v>
      </c>
      <c r="G2285" t="s">
        <v>121</v>
      </c>
      <c r="H2285">
        <v>32</v>
      </c>
      <c r="I2285" s="2">
        <v>63.03</v>
      </c>
      <c r="J2285" s="2">
        <v>47.1</v>
      </c>
      <c r="K2285" s="2">
        <v>2016.96</v>
      </c>
      <c r="L2285" s="2">
        <v>1507.2</v>
      </c>
      <c r="M2285" s="2">
        <v>509.76</v>
      </c>
      <c r="N2285">
        <v>3</v>
      </c>
      <c r="P2285" t="str">
        <f>TRIM(Table1[[#This Row],[country]])</f>
        <v>Austria</v>
      </c>
    </row>
    <row r="2286" spans="1:16" x14ac:dyDescent="0.3">
      <c r="A2286" s="1">
        <v>38315</v>
      </c>
      <c r="B2286">
        <v>10341</v>
      </c>
      <c r="C2286">
        <v>382</v>
      </c>
      <c r="D2286" t="s">
        <v>149</v>
      </c>
      <c r="E2286" t="s">
        <v>150</v>
      </c>
      <c r="F2286" t="s">
        <v>102</v>
      </c>
      <c r="G2286" t="s">
        <v>126</v>
      </c>
      <c r="H2286">
        <v>31</v>
      </c>
      <c r="I2286" s="2">
        <v>95.93</v>
      </c>
      <c r="J2286" s="2">
        <v>56.13</v>
      </c>
      <c r="K2286" s="2">
        <v>2973.83</v>
      </c>
      <c r="L2286" s="2">
        <v>1740.03</v>
      </c>
      <c r="M2286" s="2">
        <v>1233.8</v>
      </c>
      <c r="N2286">
        <v>3</v>
      </c>
      <c r="P2286" t="str">
        <f>TRIM(Table1[[#This Row],[country]])</f>
        <v>Austria</v>
      </c>
    </row>
    <row r="2287" spans="1:16" x14ac:dyDescent="0.3">
      <c r="A2287" s="1">
        <v>38315</v>
      </c>
      <c r="B2287">
        <v>10341</v>
      </c>
      <c r="C2287">
        <v>382</v>
      </c>
      <c r="D2287" t="s">
        <v>149</v>
      </c>
      <c r="E2287" t="s">
        <v>150</v>
      </c>
      <c r="F2287" t="s">
        <v>102</v>
      </c>
      <c r="G2287" t="s">
        <v>127</v>
      </c>
      <c r="H2287">
        <v>38</v>
      </c>
      <c r="I2287" s="2">
        <v>78.11</v>
      </c>
      <c r="J2287" s="2">
        <v>34.17</v>
      </c>
      <c r="K2287" s="2">
        <v>2968.18</v>
      </c>
      <c r="L2287" s="2">
        <v>1298.46</v>
      </c>
      <c r="M2287" s="2">
        <v>1669.72</v>
      </c>
      <c r="N2287">
        <v>3</v>
      </c>
      <c r="P2287" t="str">
        <f>TRIM(Table1[[#This Row],[country]])</f>
        <v>Austria</v>
      </c>
    </row>
    <row r="2288" spans="1:16" x14ac:dyDescent="0.3">
      <c r="A2288" s="1">
        <v>38315</v>
      </c>
      <c r="B2288">
        <v>10341</v>
      </c>
      <c r="C2288">
        <v>382</v>
      </c>
      <c r="D2288" t="s">
        <v>149</v>
      </c>
      <c r="E2288" t="s">
        <v>150</v>
      </c>
      <c r="F2288" t="s">
        <v>83</v>
      </c>
      <c r="G2288" t="s">
        <v>99</v>
      </c>
      <c r="H2288">
        <v>34</v>
      </c>
      <c r="I2288" s="2">
        <v>70.400000000000006</v>
      </c>
      <c r="J2288" s="2">
        <v>54.4</v>
      </c>
      <c r="K2288" s="2">
        <v>2393.6</v>
      </c>
      <c r="L2288" s="2">
        <v>1849.6</v>
      </c>
      <c r="M2288" s="2">
        <v>544</v>
      </c>
      <c r="N2288">
        <v>3</v>
      </c>
      <c r="P2288" t="str">
        <f>TRIM(Table1[[#This Row],[country]])</f>
        <v>Austria</v>
      </c>
    </row>
    <row r="2289" spans="1:16" x14ac:dyDescent="0.3">
      <c r="A2289" s="1">
        <v>38315</v>
      </c>
      <c r="B2289">
        <v>10342</v>
      </c>
      <c r="C2289">
        <v>114</v>
      </c>
      <c r="D2289" t="s">
        <v>210</v>
      </c>
      <c r="E2289" t="s">
        <v>151</v>
      </c>
      <c r="F2289" t="s">
        <v>29</v>
      </c>
      <c r="G2289" t="s">
        <v>128</v>
      </c>
      <c r="H2289">
        <v>40</v>
      </c>
      <c r="I2289" s="2">
        <v>118.89</v>
      </c>
      <c r="J2289" s="2">
        <v>83.51</v>
      </c>
      <c r="K2289" s="2">
        <v>4755.6000000000004</v>
      </c>
      <c r="L2289" s="2">
        <v>3340.4</v>
      </c>
      <c r="M2289" s="2">
        <v>1415.2</v>
      </c>
      <c r="N2289">
        <v>4</v>
      </c>
      <c r="P2289" t="str">
        <f>TRIM(Table1[[#This Row],[country]])</f>
        <v>Australia</v>
      </c>
    </row>
    <row r="2290" spans="1:16" x14ac:dyDescent="0.3">
      <c r="A2290" s="1">
        <v>38315</v>
      </c>
      <c r="B2290">
        <v>10342</v>
      </c>
      <c r="C2290">
        <v>114</v>
      </c>
      <c r="D2290" t="s">
        <v>210</v>
      </c>
      <c r="E2290" t="s">
        <v>151</v>
      </c>
      <c r="F2290" t="s">
        <v>29</v>
      </c>
      <c r="G2290" t="s">
        <v>116</v>
      </c>
      <c r="H2290">
        <v>55</v>
      </c>
      <c r="I2290" s="2">
        <v>63.14</v>
      </c>
      <c r="J2290" s="2">
        <v>53.9</v>
      </c>
      <c r="K2290" s="2">
        <v>3472.7</v>
      </c>
      <c r="L2290" s="2">
        <v>2964.5</v>
      </c>
      <c r="M2290" s="2">
        <v>508.2</v>
      </c>
      <c r="N2290">
        <v>4</v>
      </c>
      <c r="P2290" t="str">
        <f>TRIM(Table1[[#This Row],[country]])</f>
        <v>Australia</v>
      </c>
    </row>
    <row r="2291" spans="1:16" x14ac:dyDescent="0.3">
      <c r="A2291" s="1">
        <v>38315</v>
      </c>
      <c r="B2291">
        <v>10342</v>
      </c>
      <c r="C2291">
        <v>114</v>
      </c>
      <c r="D2291" t="s">
        <v>210</v>
      </c>
      <c r="E2291" t="s">
        <v>151</v>
      </c>
      <c r="F2291" t="s">
        <v>29</v>
      </c>
      <c r="G2291" t="s">
        <v>129</v>
      </c>
      <c r="H2291">
        <v>22</v>
      </c>
      <c r="I2291" s="2">
        <v>115.22</v>
      </c>
      <c r="J2291" s="2">
        <v>93.89</v>
      </c>
      <c r="K2291" s="2">
        <v>2534.84</v>
      </c>
      <c r="L2291" s="2">
        <v>2065.58</v>
      </c>
      <c r="M2291" s="2">
        <v>469.26</v>
      </c>
      <c r="N2291">
        <v>4</v>
      </c>
      <c r="P2291" t="str">
        <f>TRIM(Table1[[#This Row],[country]])</f>
        <v>Australia</v>
      </c>
    </row>
    <row r="2292" spans="1:16" x14ac:dyDescent="0.3">
      <c r="A2292" s="1">
        <v>38315</v>
      </c>
      <c r="B2292">
        <v>10342</v>
      </c>
      <c r="C2292">
        <v>114</v>
      </c>
      <c r="D2292" t="s">
        <v>210</v>
      </c>
      <c r="E2292" t="s">
        <v>151</v>
      </c>
      <c r="F2292" t="s">
        <v>29</v>
      </c>
      <c r="G2292" t="s">
        <v>53</v>
      </c>
      <c r="H2292">
        <v>30</v>
      </c>
      <c r="I2292" s="2">
        <v>167.65</v>
      </c>
      <c r="J2292" s="2">
        <v>77.900000000000006</v>
      </c>
      <c r="K2292" s="2">
        <v>5029.5</v>
      </c>
      <c r="L2292" s="2">
        <v>2337</v>
      </c>
      <c r="M2292" s="2">
        <v>2692.5</v>
      </c>
      <c r="N2292">
        <v>4</v>
      </c>
      <c r="P2292" t="str">
        <f>TRIM(Table1[[#This Row],[country]])</f>
        <v>Australia</v>
      </c>
    </row>
    <row r="2293" spans="1:16" x14ac:dyDescent="0.3">
      <c r="A2293" s="1">
        <v>38315</v>
      </c>
      <c r="B2293">
        <v>10342</v>
      </c>
      <c r="C2293">
        <v>114</v>
      </c>
      <c r="D2293" t="s">
        <v>210</v>
      </c>
      <c r="E2293" t="s">
        <v>151</v>
      </c>
      <c r="F2293" t="s">
        <v>29</v>
      </c>
      <c r="G2293" t="s">
        <v>117</v>
      </c>
      <c r="H2293">
        <v>25</v>
      </c>
      <c r="I2293" s="2">
        <v>76.39</v>
      </c>
      <c r="J2293" s="2">
        <v>49.05</v>
      </c>
      <c r="K2293" s="2">
        <v>1909.75</v>
      </c>
      <c r="L2293" s="2">
        <v>1226.25</v>
      </c>
      <c r="M2293" s="2">
        <v>683.5</v>
      </c>
      <c r="N2293">
        <v>4</v>
      </c>
      <c r="P2293" t="str">
        <f>TRIM(Table1[[#This Row],[country]])</f>
        <v>Australia</v>
      </c>
    </row>
    <row r="2294" spans="1:16" x14ac:dyDescent="0.3">
      <c r="A2294" s="1">
        <v>38315</v>
      </c>
      <c r="B2294">
        <v>10342</v>
      </c>
      <c r="C2294">
        <v>114</v>
      </c>
      <c r="D2294" t="s">
        <v>210</v>
      </c>
      <c r="E2294" t="s">
        <v>151</v>
      </c>
      <c r="F2294" t="s">
        <v>29</v>
      </c>
      <c r="G2294" t="s">
        <v>118</v>
      </c>
      <c r="H2294">
        <v>55</v>
      </c>
      <c r="I2294" s="2">
        <v>136.69999999999999</v>
      </c>
      <c r="J2294" s="2">
        <v>73.489999999999995</v>
      </c>
      <c r="K2294" s="2">
        <v>7518.5</v>
      </c>
      <c r="L2294" s="2">
        <v>4041.95</v>
      </c>
      <c r="M2294" s="2">
        <v>3476.55</v>
      </c>
      <c r="N2294">
        <v>4</v>
      </c>
      <c r="P2294" t="str">
        <f>TRIM(Table1[[#This Row],[country]])</f>
        <v>Australia</v>
      </c>
    </row>
    <row r="2295" spans="1:16" x14ac:dyDescent="0.3">
      <c r="A2295" s="1">
        <v>38315</v>
      </c>
      <c r="B2295">
        <v>10342</v>
      </c>
      <c r="C2295">
        <v>114</v>
      </c>
      <c r="D2295" t="s">
        <v>210</v>
      </c>
      <c r="E2295" t="s">
        <v>151</v>
      </c>
      <c r="F2295" t="s">
        <v>102</v>
      </c>
      <c r="G2295" t="s">
        <v>119</v>
      </c>
      <c r="H2295">
        <v>26</v>
      </c>
      <c r="I2295" s="2">
        <v>57.82</v>
      </c>
      <c r="J2295" s="2">
        <v>32.950000000000003</v>
      </c>
      <c r="K2295" s="2">
        <v>1503.32</v>
      </c>
      <c r="L2295" s="2">
        <v>856.7</v>
      </c>
      <c r="M2295" s="2">
        <v>646.62</v>
      </c>
      <c r="N2295">
        <v>4</v>
      </c>
      <c r="P2295" t="str">
        <f>TRIM(Table1[[#This Row],[country]])</f>
        <v>Australia</v>
      </c>
    </row>
    <row r="2296" spans="1:16" x14ac:dyDescent="0.3">
      <c r="A2296" s="1">
        <v>38315</v>
      </c>
      <c r="B2296">
        <v>10342</v>
      </c>
      <c r="C2296">
        <v>114</v>
      </c>
      <c r="D2296" t="s">
        <v>210</v>
      </c>
      <c r="E2296" t="s">
        <v>151</v>
      </c>
      <c r="F2296" t="s">
        <v>29</v>
      </c>
      <c r="G2296" t="s">
        <v>120</v>
      </c>
      <c r="H2296">
        <v>38</v>
      </c>
      <c r="I2296" s="2">
        <v>124.99</v>
      </c>
      <c r="J2296" s="2">
        <v>69.930000000000007</v>
      </c>
      <c r="K2296" s="2">
        <v>4749.62</v>
      </c>
      <c r="L2296" s="2">
        <v>2657.34</v>
      </c>
      <c r="M2296" s="2">
        <v>2092.2800000000002</v>
      </c>
      <c r="N2296">
        <v>4</v>
      </c>
      <c r="P2296" t="str">
        <f>TRIM(Table1[[#This Row],[country]])</f>
        <v>Australia</v>
      </c>
    </row>
    <row r="2297" spans="1:16" x14ac:dyDescent="0.3">
      <c r="A2297" s="1">
        <v>38315</v>
      </c>
      <c r="B2297">
        <v>10342</v>
      </c>
      <c r="C2297">
        <v>114</v>
      </c>
      <c r="D2297" t="s">
        <v>210</v>
      </c>
      <c r="E2297" t="s">
        <v>151</v>
      </c>
      <c r="F2297" t="s">
        <v>29</v>
      </c>
      <c r="G2297" t="s">
        <v>132</v>
      </c>
      <c r="H2297">
        <v>39</v>
      </c>
      <c r="I2297" s="2">
        <v>30.59</v>
      </c>
      <c r="J2297" s="2">
        <v>16.239999999999998</v>
      </c>
      <c r="K2297" s="2">
        <v>1193.01</v>
      </c>
      <c r="L2297" s="2">
        <v>633.36</v>
      </c>
      <c r="M2297" s="2">
        <v>559.65</v>
      </c>
      <c r="N2297">
        <v>4</v>
      </c>
      <c r="P2297" t="str">
        <f>TRIM(Table1[[#This Row],[country]])</f>
        <v>Australia</v>
      </c>
    </row>
    <row r="2298" spans="1:16" x14ac:dyDescent="0.3">
      <c r="A2298" s="1">
        <v>38315</v>
      </c>
      <c r="B2298">
        <v>10342</v>
      </c>
      <c r="C2298">
        <v>114</v>
      </c>
      <c r="D2298" t="s">
        <v>210</v>
      </c>
      <c r="E2298" t="s">
        <v>151</v>
      </c>
      <c r="F2298" t="s">
        <v>29</v>
      </c>
      <c r="G2298" t="s">
        <v>122</v>
      </c>
      <c r="H2298">
        <v>48</v>
      </c>
      <c r="I2298" s="2">
        <v>60.01</v>
      </c>
      <c r="J2298" s="2">
        <v>38.58</v>
      </c>
      <c r="K2298" s="2">
        <v>2880.48</v>
      </c>
      <c r="L2298" s="2">
        <v>1851.84</v>
      </c>
      <c r="M2298" s="2">
        <v>1028.6400000000001</v>
      </c>
      <c r="N2298">
        <v>4</v>
      </c>
      <c r="P2298" t="str">
        <f>TRIM(Table1[[#This Row],[country]])</f>
        <v>Australia</v>
      </c>
    </row>
    <row r="2299" spans="1:16" x14ac:dyDescent="0.3">
      <c r="A2299" s="1">
        <v>38315</v>
      </c>
      <c r="B2299">
        <v>10342</v>
      </c>
      <c r="C2299">
        <v>114</v>
      </c>
      <c r="D2299" t="s">
        <v>210</v>
      </c>
      <c r="E2299" t="s">
        <v>151</v>
      </c>
      <c r="F2299" t="s">
        <v>29</v>
      </c>
      <c r="G2299" t="s">
        <v>123</v>
      </c>
      <c r="H2299">
        <v>42</v>
      </c>
      <c r="I2299" s="2">
        <v>112.34</v>
      </c>
      <c r="J2299" s="2">
        <v>98.3</v>
      </c>
      <c r="K2299" s="2">
        <v>4718.28</v>
      </c>
      <c r="L2299" s="2">
        <v>4128.6000000000004</v>
      </c>
      <c r="M2299" s="2">
        <v>589.67999999999995</v>
      </c>
      <c r="N2299">
        <v>4</v>
      </c>
      <c r="P2299" t="str">
        <f>TRIM(Table1[[#This Row],[country]])</f>
        <v>Australia</v>
      </c>
    </row>
    <row r="2300" spans="1:16" x14ac:dyDescent="0.3">
      <c r="A2300" s="1">
        <v>38315</v>
      </c>
      <c r="B2300">
        <v>10340</v>
      </c>
      <c r="C2300">
        <v>216</v>
      </c>
      <c r="D2300" t="s">
        <v>148</v>
      </c>
      <c r="E2300" t="s">
        <v>48</v>
      </c>
      <c r="F2300" t="s">
        <v>102</v>
      </c>
      <c r="G2300" t="s">
        <v>109</v>
      </c>
      <c r="H2300">
        <v>55</v>
      </c>
      <c r="I2300" s="2">
        <v>62.46</v>
      </c>
      <c r="J2300" s="2">
        <v>37.32</v>
      </c>
      <c r="K2300" s="2">
        <v>3435.3</v>
      </c>
      <c r="L2300" s="2">
        <v>2052.6</v>
      </c>
      <c r="M2300" s="2">
        <v>1382.7</v>
      </c>
      <c r="N2300">
        <v>3</v>
      </c>
      <c r="P2300" t="str">
        <f>TRIM(Table1[[#This Row],[country]])</f>
        <v>Spain</v>
      </c>
    </row>
    <row r="2301" spans="1:16" x14ac:dyDescent="0.3">
      <c r="A2301" s="1">
        <v>38315</v>
      </c>
      <c r="B2301">
        <v>10340</v>
      </c>
      <c r="C2301">
        <v>216</v>
      </c>
      <c r="D2301" t="s">
        <v>148</v>
      </c>
      <c r="E2301" t="s">
        <v>48</v>
      </c>
      <c r="F2301" t="s">
        <v>83</v>
      </c>
      <c r="G2301" t="s">
        <v>92</v>
      </c>
      <c r="H2301">
        <v>40</v>
      </c>
      <c r="I2301" s="2">
        <v>63.76</v>
      </c>
      <c r="J2301" s="2">
        <v>36.229999999999997</v>
      </c>
      <c r="K2301" s="2">
        <v>2550.4</v>
      </c>
      <c r="L2301" s="2">
        <v>1449.2</v>
      </c>
      <c r="M2301" s="2">
        <v>1101.2</v>
      </c>
      <c r="N2301">
        <v>3</v>
      </c>
      <c r="P2301" t="str">
        <f>TRIM(Table1[[#This Row],[country]])</f>
        <v>Spain</v>
      </c>
    </row>
    <row r="2302" spans="1:16" x14ac:dyDescent="0.3">
      <c r="A2302" s="1">
        <v>38315</v>
      </c>
      <c r="B2302">
        <v>10340</v>
      </c>
      <c r="C2302">
        <v>216</v>
      </c>
      <c r="D2302" t="s">
        <v>148</v>
      </c>
      <c r="E2302" t="s">
        <v>48</v>
      </c>
      <c r="F2302" t="s">
        <v>102</v>
      </c>
      <c r="G2302" t="s">
        <v>110</v>
      </c>
      <c r="H2302">
        <v>55</v>
      </c>
      <c r="I2302" s="2">
        <v>95.89</v>
      </c>
      <c r="J2302" s="2">
        <v>66.92</v>
      </c>
      <c r="K2302" s="2">
        <v>5273.95</v>
      </c>
      <c r="L2302" s="2">
        <v>3680.6</v>
      </c>
      <c r="M2302" s="2">
        <v>1593.35</v>
      </c>
      <c r="N2302">
        <v>3</v>
      </c>
      <c r="P2302" t="str">
        <f>TRIM(Table1[[#This Row],[country]])</f>
        <v>Spain</v>
      </c>
    </row>
    <row r="2303" spans="1:16" x14ac:dyDescent="0.3">
      <c r="A2303" s="1">
        <v>38315</v>
      </c>
      <c r="B2303">
        <v>10340</v>
      </c>
      <c r="C2303">
        <v>216</v>
      </c>
      <c r="D2303" t="s">
        <v>148</v>
      </c>
      <c r="E2303" t="s">
        <v>48</v>
      </c>
      <c r="F2303" t="s">
        <v>15</v>
      </c>
      <c r="G2303" t="s">
        <v>93</v>
      </c>
      <c r="H2303">
        <v>39</v>
      </c>
      <c r="I2303" s="2">
        <v>67.41</v>
      </c>
      <c r="J2303" s="2">
        <v>33.020000000000003</v>
      </c>
      <c r="K2303" s="2">
        <v>2628.99</v>
      </c>
      <c r="L2303" s="2">
        <v>1287.78</v>
      </c>
      <c r="M2303" s="2">
        <v>1341.21</v>
      </c>
      <c r="N2303">
        <v>3</v>
      </c>
      <c r="P2303" t="str">
        <f>TRIM(Table1[[#This Row],[country]])</f>
        <v>Spain</v>
      </c>
    </row>
    <row r="2304" spans="1:16" x14ac:dyDescent="0.3">
      <c r="A2304" s="1">
        <v>38315</v>
      </c>
      <c r="B2304">
        <v>10340</v>
      </c>
      <c r="C2304">
        <v>216</v>
      </c>
      <c r="D2304" t="s">
        <v>148</v>
      </c>
      <c r="E2304" t="s">
        <v>48</v>
      </c>
      <c r="F2304" t="s">
        <v>15</v>
      </c>
      <c r="G2304" t="s">
        <v>94</v>
      </c>
      <c r="H2304">
        <v>40</v>
      </c>
      <c r="I2304" s="2">
        <v>37.090000000000003</v>
      </c>
      <c r="J2304" s="2">
        <v>27.06</v>
      </c>
      <c r="K2304" s="2">
        <v>1483.6</v>
      </c>
      <c r="L2304" s="2">
        <v>1082.4000000000001</v>
      </c>
      <c r="M2304" s="2">
        <v>401.2</v>
      </c>
      <c r="N2304">
        <v>3</v>
      </c>
      <c r="P2304" t="str">
        <f>TRIM(Table1[[#This Row],[country]])</f>
        <v>Spain</v>
      </c>
    </row>
    <row r="2305" spans="1:16" x14ac:dyDescent="0.3">
      <c r="A2305" s="1">
        <v>38315</v>
      </c>
      <c r="B2305">
        <v>10340</v>
      </c>
      <c r="C2305">
        <v>216</v>
      </c>
      <c r="D2305" t="s">
        <v>148</v>
      </c>
      <c r="E2305" t="s">
        <v>48</v>
      </c>
      <c r="F2305" t="s">
        <v>83</v>
      </c>
      <c r="G2305" t="s">
        <v>95</v>
      </c>
      <c r="H2305">
        <v>30</v>
      </c>
      <c r="I2305" s="2">
        <v>73.989999999999995</v>
      </c>
      <c r="J2305" s="2">
        <v>51.15</v>
      </c>
      <c r="K2305" s="2">
        <v>2219.6999999999998</v>
      </c>
      <c r="L2305" s="2">
        <v>1534.5</v>
      </c>
      <c r="M2305" s="2">
        <v>685.2</v>
      </c>
      <c r="N2305">
        <v>3</v>
      </c>
      <c r="P2305" t="str">
        <f>TRIM(Table1[[#This Row],[country]])</f>
        <v>Spain</v>
      </c>
    </row>
    <row r="2306" spans="1:16" x14ac:dyDescent="0.3">
      <c r="A2306" s="1">
        <v>38315</v>
      </c>
      <c r="B2306">
        <v>10340</v>
      </c>
      <c r="C2306">
        <v>216</v>
      </c>
      <c r="D2306" t="s">
        <v>148</v>
      </c>
      <c r="E2306" t="s">
        <v>48</v>
      </c>
      <c r="F2306" t="s">
        <v>83</v>
      </c>
      <c r="G2306" t="s">
        <v>97</v>
      </c>
      <c r="H2306">
        <v>55</v>
      </c>
      <c r="I2306" s="2">
        <v>81.77</v>
      </c>
      <c r="J2306" s="2">
        <v>68.8</v>
      </c>
      <c r="K2306" s="2">
        <v>4497.3500000000004</v>
      </c>
      <c r="L2306" s="2">
        <v>3784</v>
      </c>
      <c r="M2306" s="2">
        <v>713.35</v>
      </c>
      <c r="N2306">
        <v>3</v>
      </c>
      <c r="P2306" t="str">
        <f>TRIM(Table1[[#This Row],[country]])</f>
        <v>Spain</v>
      </c>
    </row>
    <row r="2307" spans="1:16" x14ac:dyDescent="0.3">
      <c r="A2307" s="1">
        <v>38315</v>
      </c>
      <c r="B2307">
        <v>10340</v>
      </c>
      <c r="C2307">
        <v>216</v>
      </c>
      <c r="D2307" t="s">
        <v>148</v>
      </c>
      <c r="E2307" t="s">
        <v>48</v>
      </c>
      <c r="F2307" t="s">
        <v>83</v>
      </c>
      <c r="G2307" t="s">
        <v>98</v>
      </c>
      <c r="H2307">
        <v>29</v>
      </c>
      <c r="I2307" s="2">
        <v>98.48</v>
      </c>
      <c r="J2307" s="2">
        <v>59.33</v>
      </c>
      <c r="K2307" s="2">
        <v>2855.92</v>
      </c>
      <c r="L2307" s="2">
        <v>1720.57</v>
      </c>
      <c r="M2307" s="2">
        <v>1135.3499999999999</v>
      </c>
      <c r="N2307">
        <v>3</v>
      </c>
      <c r="P2307" t="str">
        <f>TRIM(Table1[[#This Row],[country]])</f>
        <v>Spain</v>
      </c>
    </row>
    <row r="2308" spans="1:16" x14ac:dyDescent="0.3">
      <c r="A2308" s="1">
        <v>38316</v>
      </c>
      <c r="B2308">
        <v>10345</v>
      </c>
      <c r="C2308">
        <v>103</v>
      </c>
      <c r="D2308" t="s">
        <v>154</v>
      </c>
      <c r="E2308" t="s">
        <v>144</v>
      </c>
      <c r="F2308" t="s">
        <v>15</v>
      </c>
      <c r="G2308" t="s">
        <v>24</v>
      </c>
      <c r="H2308">
        <v>43</v>
      </c>
      <c r="I2308" s="2">
        <v>38.979999999999997</v>
      </c>
      <c r="J2308" s="2">
        <v>20.61</v>
      </c>
      <c r="K2308" s="2">
        <v>1676.14</v>
      </c>
      <c r="L2308" s="2">
        <v>886.23</v>
      </c>
      <c r="M2308" s="2">
        <v>789.91</v>
      </c>
      <c r="N2308">
        <v>3</v>
      </c>
      <c r="P2308" t="str">
        <f>TRIM(Table1[[#This Row],[country]])</f>
        <v>France</v>
      </c>
    </row>
    <row r="2309" spans="1:16" x14ac:dyDescent="0.3">
      <c r="A2309" s="1">
        <v>38316</v>
      </c>
      <c r="B2309">
        <v>10344</v>
      </c>
      <c r="C2309">
        <v>350</v>
      </c>
      <c r="D2309" t="s">
        <v>153</v>
      </c>
      <c r="E2309" t="s">
        <v>144</v>
      </c>
      <c r="F2309" t="s">
        <v>15</v>
      </c>
      <c r="G2309" t="s">
        <v>16</v>
      </c>
      <c r="H2309">
        <v>45</v>
      </c>
      <c r="I2309" s="2">
        <v>168.3</v>
      </c>
      <c r="J2309" s="2">
        <v>86.7</v>
      </c>
      <c r="K2309" s="2">
        <v>7573.5</v>
      </c>
      <c r="L2309" s="2">
        <v>3901.5</v>
      </c>
      <c r="M2309" s="2">
        <v>3672</v>
      </c>
      <c r="N2309">
        <v>2</v>
      </c>
      <c r="P2309" t="str">
        <f>TRIM(Table1[[#This Row],[country]])</f>
        <v>France</v>
      </c>
    </row>
    <row r="2310" spans="1:16" x14ac:dyDescent="0.3">
      <c r="A2310" s="1">
        <v>38316</v>
      </c>
      <c r="B2310">
        <v>10344</v>
      </c>
      <c r="C2310">
        <v>350</v>
      </c>
      <c r="D2310" t="s">
        <v>153</v>
      </c>
      <c r="E2310" t="s">
        <v>144</v>
      </c>
      <c r="F2310" t="s">
        <v>15</v>
      </c>
      <c r="G2310" t="s">
        <v>17</v>
      </c>
      <c r="H2310">
        <v>40</v>
      </c>
      <c r="I2310" s="2">
        <v>49.04</v>
      </c>
      <c r="J2310" s="2">
        <v>33.299999999999997</v>
      </c>
      <c r="K2310" s="2">
        <v>1961.6</v>
      </c>
      <c r="L2310" s="2">
        <v>1332</v>
      </c>
      <c r="M2310" s="2">
        <v>629.6</v>
      </c>
      <c r="N2310">
        <v>2</v>
      </c>
      <c r="P2310" t="str">
        <f>TRIM(Table1[[#This Row],[country]])</f>
        <v>France</v>
      </c>
    </row>
    <row r="2311" spans="1:16" x14ac:dyDescent="0.3">
      <c r="A2311" s="1">
        <v>38316</v>
      </c>
      <c r="B2311">
        <v>10344</v>
      </c>
      <c r="C2311">
        <v>350</v>
      </c>
      <c r="D2311" t="s">
        <v>153</v>
      </c>
      <c r="E2311" t="s">
        <v>144</v>
      </c>
      <c r="F2311" t="s">
        <v>15</v>
      </c>
      <c r="G2311" t="s">
        <v>21</v>
      </c>
      <c r="H2311">
        <v>30</v>
      </c>
      <c r="I2311" s="2">
        <v>118.23</v>
      </c>
      <c r="J2311" s="2">
        <v>58.48</v>
      </c>
      <c r="K2311" s="2">
        <v>3546.9</v>
      </c>
      <c r="L2311" s="2">
        <v>1754.4</v>
      </c>
      <c r="M2311" s="2">
        <v>1792.5</v>
      </c>
      <c r="N2311">
        <v>2</v>
      </c>
      <c r="P2311" t="str">
        <f>TRIM(Table1[[#This Row],[country]])</f>
        <v>France</v>
      </c>
    </row>
    <row r="2312" spans="1:16" x14ac:dyDescent="0.3">
      <c r="A2312" s="1">
        <v>38316</v>
      </c>
      <c r="B2312">
        <v>10344</v>
      </c>
      <c r="C2312">
        <v>350</v>
      </c>
      <c r="D2312" t="s">
        <v>153</v>
      </c>
      <c r="E2312" t="s">
        <v>144</v>
      </c>
      <c r="F2312" t="s">
        <v>15</v>
      </c>
      <c r="G2312" t="s">
        <v>18</v>
      </c>
      <c r="H2312">
        <v>21</v>
      </c>
      <c r="I2312" s="2">
        <v>80.989999999999995</v>
      </c>
      <c r="J2312" s="2">
        <v>43.26</v>
      </c>
      <c r="K2312" s="2">
        <v>1700.79</v>
      </c>
      <c r="L2312" s="2">
        <v>908.46</v>
      </c>
      <c r="M2312" s="2">
        <v>792.33</v>
      </c>
      <c r="N2312">
        <v>2</v>
      </c>
      <c r="P2312" t="str">
        <f>TRIM(Table1[[#This Row],[country]])</f>
        <v>France</v>
      </c>
    </row>
    <row r="2313" spans="1:16" x14ac:dyDescent="0.3">
      <c r="A2313" s="1">
        <v>38316</v>
      </c>
      <c r="B2313">
        <v>10344</v>
      </c>
      <c r="C2313">
        <v>350</v>
      </c>
      <c r="D2313" t="s">
        <v>153</v>
      </c>
      <c r="E2313" t="s">
        <v>144</v>
      </c>
      <c r="F2313" t="s">
        <v>29</v>
      </c>
      <c r="G2313" t="s">
        <v>135</v>
      </c>
      <c r="H2313">
        <v>26</v>
      </c>
      <c r="I2313" s="2">
        <v>68.42</v>
      </c>
      <c r="J2313" s="2">
        <v>34.21</v>
      </c>
      <c r="K2313" s="2">
        <v>1778.92</v>
      </c>
      <c r="L2313" s="2">
        <v>889.46</v>
      </c>
      <c r="M2313" s="2">
        <v>889.46</v>
      </c>
      <c r="N2313">
        <v>2</v>
      </c>
      <c r="P2313" t="str">
        <f>TRIM(Table1[[#This Row],[country]])</f>
        <v>France</v>
      </c>
    </row>
    <row r="2314" spans="1:16" x14ac:dyDescent="0.3">
      <c r="A2314" s="1">
        <v>38316</v>
      </c>
      <c r="B2314">
        <v>10344</v>
      </c>
      <c r="C2314">
        <v>350</v>
      </c>
      <c r="D2314" t="s">
        <v>153</v>
      </c>
      <c r="E2314" t="s">
        <v>144</v>
      </c>
      <c r="F2314" t="s">
        <v>29</v>
      </c>
      <c r="G2314" t="s">
        <v>136</v>
      </c>
      <c r="H2314">
        <v>29</v>
      </c>
      <c r="I2314" s="2">
        <v>61</v>
      </c>
      <c r="J2314" s="2">
        <v>49.24</v>
      </c>
      <c r="K2314" s="2">
        <v>1769</v>
      </c>
      <c r="L2314" s="2">
        <v>1427.96</v>
      </c>
      <c r="M2314" s="2">
        <v>341.04</v>
      </c>
      <c r="N2314">
        <v>2</v>
      </c>
      <c r="P2314" t="str">
        <f>TRIM(Table1[[#This Row],[country]])</f>
        <v>France</v>
      </c>
    </row>
    <row r="2315" spans="1:16" x14ac:dyDescent="0.3">
      <c r="A2315" s="1">
        <v>38316</v>
      </c>
      <c r="B2315">
        <v>10344</v>
      </c>
      <c r="C2315">
        <v>350</v>
      </c>
      <c r="D2315" t="s">
        <v>153</v>
      </c>
      <c r="E2315" t="s">
        <v>144</v>
      </c>
      <c r="F2315" t="s">
        <v>15</v>
      </c>
      <c r="G2315" t="s">
        <v>23</v>
      </c>
      <c r="H2315">
        <v>20</v>
      </c>
      <c r="I2315" s="2">
        <v>27.88</v>
      </c>
      <c r="J2315" s="2">
        <v>22.57</v>
      </c>
      <c r="K2315" s="2">
        <v>557.6</v>
      </c>
      <c r="L2315" s="2">
        <v>451.4</v>
      </c>
      <c r="M2315" s="2">
        <v>106.2</v>
      </c>
      <c r="N2315">
        <v>2</v>
      </c>
      <c r="P2315" t="str">
        <f>TRIM(Table1[[#This Row],[country]])</f>
        <v>France</v>
      </c>
    </row>
    <row r="2316" spans="1:16" x14ac:dyDescent="0.3">
      <c r="A2316" s="1">
        <v>38320</v>
      </c>
      <c r="B2316">
        <v>10346</v>
      </c>
      <c r="C2316">
        <v>112</v>
      </c>
      <c r="D2316" t="s">
        <v>155</v>
      </c>
      <c r="E2316" t="s">
        <v>14</v>
      </c>
      <c r="F2316" t="s">
        <v>15</v>
      </c>
      <c r="G2316" t="s">
        <v>25</v>
      </c>
      <c r="H2316">
        <v>42</v>
      </c>
      <c r="I2316" s="2">
        <v>88.36</v>
      </c>
      <c r="J2316" s="2">
        <v>60.62</v>
      </c>
      <c r="K2316" s="2">
        <v>3711.12</v>
      </c>
      <c r="L2316" s="2">
        <v>2546.04</v>
      </c>
      <c r="M2316" s="2">
        <v>1165.08</v>
      </c>
      <c r="N2316">
        <v>3</v>
      </c>
      <c r="P2316" t="str">
        <f>TRIM(Table1[[#This Row],[country]])</f>
        <v>USA</v>
      </c>
    </row>
    <row r="2317" spans="1:16" x14ac:dyDescent="0.3">
      <c r="A2317" s="1">
        <v>38320</v>
      </c>
      <c r="B2317">
        <v>10346</v>
      </c>
      <c r="C2317">
        <v>112</v>
      </c>
      <c r="D2317" t="s">
        <v>155</v>
      </c>
      <c r="E2317" t="s">
        <v>14</v>
      </c>
      <c r="F2317" t="s">
        <v>29</v>
      </c>
      <c r="G2317" t="s">
        <v>138</v>
      </c>
      <c r="H2317">
        <v>25</v>
      </c>
      <c r="I2317" s="2">
        <v>87.24</v>
      </c>
      <c r="J2317" s="2">
        <v>47.25</v>
      </c>
      <c r="K2317" s="2">
        <v>2181</v>
      </c>
      <c r="L2317" s="2">
        <v>1181.25</v>
      </c>
      <c r="M2317" s="2">
        <v>999.75</v>
      </c>
      <c r="N2317">
        <v>3</v>
      </c>
      <c r="P2317" t="str">
        <f>TRIM(Table1[[#This Row],[country]])</f>
        <v>USA</v>
      </c>
    </row>
    <row r="2318" spans="1:16" x14ac:dyDescent="0.3">
      <c r="A2318" s="1">
        <v>38320</v>
      </c>
      <c r="B2318">
        <v>10346</v>
      </c>
      <c r="C2318">
        <v>112</v>
      </c>
      <c r="D2318" t="s">
        <v>155</v>
      </c>
      <c r="E2318" t="s">
        <v>14</v>
      </c>
      <c r="F2318" t="s">
        <v>29</v>
      </c>
      <c r="G2318" t="s">
        <v>139</v>
      </c>
      <c r="H2318">
        <v>24</v>
      </c>
      <c r="I2318" s="2">
        <v>117.44</v>
      </c>
      <c r="J2318" s="2">
        <v>72.819999999999993</v>
      </c>
      <c r="K2318" s="2">
        <v>2818.56</v>
      </c>
      <c r="L2318" s="2">
        <v>1747.68</v>
      </c>
      <c r="M2318" s="2">
        <v>1070.8800000000001</v>
      </c>
      <c r="N2318">
        <v>3</v>
      </c>
      <c r="P2318" t="str">
        <f>TRIM(Table1[[#This Row],[country]])</f>
        <v>USA</v>
      </c>
    </row>
    <row r="2319" spans="1:16" x14ac:dyDescent="0.3">
      <c r="A2319" s="1">
        <v>38320</v>
      </c>
      <c r="B2319">
        <v>10346</v>
      </c>
      <c r="C2319">
        <v>112</v>
      </c>
      <c r="D2319" t="s">
        <v>155</v>
      </c>
      <c r="E2319" t="s">
        <v>14</v>
      </c>
      <c r="F2319" t="s">
        <v>29</v>
      </c>
      <c r="G2319" t="s">
        <v>140</v>
      </c>
      <c r="H2319">
        <v>24</v>
      </c>
      <c r="I2319" s="2">
        <v>80.47</v>
      </c>
      <c r="J2319" s="2">
        <v>50.51</v>
      </c>
      <c r="K2319" s="2">
        <v>1931.28</v>
      </c>
      <c r="L2319" s="2">
        <v>1212.24</v>
      </c>
      <c r="M2319" s="2">
        <v>719.04</v>
      </c>
      <c r="N2319">
        <v>3</v>
      </c>
      <c r="P2319" t="str">
        <f>TRIM(Table1[[#This Row],[country]])</f>
        <v>USA</v>
      </c>
    </row>
    <row r="2320" spans="1:16" x14ac:dyDescent="0.3">
      <c r="A2320" s="1">
        <v>38320</v>
      </c>
      <c r="B2320">
        <v>10346</v>
      </c>
      <c r="C2320">
        <v>112</v>
      </c>
      <c r="D2320" t="s">
        <v>155</v>
      </c>
      <c r="E2320" t="s">
        <v>14</v>
      </c>
      <c r="F2320" t="s">
        <v>29</v>
      </c>
      <c r="G2320" t="s">
        <v>141</v>
      </c>
      <c r="H2320">
        <v>26</v>
      </c>
      <c r="I2320" s="2">
        <v>103.87</v>
      </c>
      <c r="J2320" s="2">
        <v>62.11</v>
      </c>
      <c r="K2320" s="2">
        <v>2700.62</v>
      </c>
      <c r="L2320" s="2">
        <v>1614.86</v>
      </c>
      <c r="M2320" s="2">
        <v>1085.76</v>
      </c>
      <c r="N2320">
        <v>3</v>
      </c>
      <c r="P2320" t="str">
        <f>TRIM(Table1[[#This Row],[country]])</f>
        <v>USA</v>
      </c>
    </row>
    <row r="2321" spans="1:16" x14ac:dyDescent="0.3">
      <c r="A2321" s="1">
        <v>38320</v>
      </c>
      <c r="B2321">
        <v>10346</v>
      </c>
      <c r="C2321">
        <v>112</v>
      </c>
      <c r="D2321" t="s">
        <v>155</v>
      </c>
      <c r="E2321" t="s">
        <v>14</v>
      </c>
      <c r="F2321" t="s">
        <v>15</v>
      </c>
      <c r="G2321" t="s">
        <v>19</v>
      </c>
      <c r="H2321">
        <v>22</v>
      </c>
      <c r="I2321" s="2">
        <v>38.57</v>
      </c>
      <c r="J2321" s="2">
        <v>21.75</v>
      </c>
      <c r="K2321" s="2">
        <v>848.54</v>
      </c>
      <c r="L2321" s="2">
        <v>478.5</v>
      </c>
      <c r="M2321" s="2">
        <v>370.04</v>
      </c>
      <c r="N2321">
        <v>3</v>
      </c>
      <c r="P2321" t="str">
        <f>TRIM(Table1[[#This Row],[country]])</f>
        <v>USA</v>
      </c>
    </row>
    <row r="2322" spans="1:16" x14ac:dyDescent="0.3">
      <c r="A2322" s="1">
        <v>38320</v>
      </c>
      <c r="B2322">
        <v>10347</v>
      </c>
      <c r="C2322">
        <v>114</v>
      </c>
      <c r="D2322" t="s">
        <v>210</v>
      </c>
      <c r="E2322" t="s">
        <v>151</v>
      </c>
      <c r="F2322" t="s">
        <v>29</v>
      </c>
      <c r="G2322" t="s">
        <v>30</v>
      </c>
      <c r="H2322">
        <v>30</v>
      </c>
      <c r="I2322" s="2">
        <v>188.58</v>
      </c>
      <c r="J2322" s="2">
        <v>98.58</v>
      </c>
      <c r="K2322" s="2">
        <v>5657.4</v>
      </c>
      <c r="L2322" s="2">
        <v>2957.4</v>
      </c>
      <c r="M2322" s="2">
        <v>2700</v>
      </c>
      <c r="N2322">
        <v>5</v>
      </c>
      <c r="P2322" t="str">
        <f>TRIM(Table1[[#This Row],[country]])</f>
        <v>Australia</v>
      </c>
    </row>
    <row r="2323" spans="1:16" x14ac:dyDescent="0.3">
      <c r="A2323" s="1">
        <v>38320</v>
      </c>
      <c r="B2323">
        <v>10347</v>
      </c>
      <c r="C2323">
        <v>114</v>
      </c>
      <c r="D2323" t="s">
        <v>210</v>
      </c>
      <c r="E2323" t="s">
        <v>151</v>
      </c>
      <c r="F2323" t="s">
        <v>29</v>
      </c>
      <c r="G2323" t="s">
        <v>31</v>
      </c>
      <c r="H2323">
        <v>27</v>
      </c>
      <c r="I2323" s="2">
        <v>132.97</v>
      </c>
      <c r="J2323" s="2">
        <v>103.42</v>
      </c>
      <c r="K2323" s="2">
        <v>3590.19</v>
      </c>
      <c r="L2323" s="2">
        <v>2792.34</v>
      </c>
      <c r="M2323" s="2">
        <v>797.85</v>
      </c>
      <c r="N2323">
        <v>5</v>
      </c>
      <c r="P2323" t="str">
        <f>TRIM(Table1[[#This Row],[country]])</f>
        <v>Australia</v>
      </c>
    </row>
    <row r="2324" spans="1:16" x14ac:dyDescent="0.3">
      <c r="A2324" s="1">
        <v>38320</v>
      </c>
      <c r="B2324">
        <v>10347</v>
      </c>
      <c r="C2324">
        <v>114</v>
      </c>
      <c r="D2324" t="s">
        <v>210</v>
      </c>
      <c r="E2324" t="s">
        <v>151</v>
      </c>
      <c r="F2324" t="s">
        <v>32</v>
      </c>
      <c r="G2324" t="s">
        <v>33</v>
      </c>
      <c r="H2324">
        <v>29</v>
      </c>
      <c r="I2324" s="2">
        <v>132.57</v>
      </c>
      <c r="J2324" s="2">
        <v>77.900000000000006</v>
      </c>
      <c r="K2324" s="2">
        <v>3844.53</v>
      </c>
      <c r="L2324" s="2">
        <v>2259.1</v>
      </c>
      <c r="M2324" s="2">
        <v>1585.43</v>
      </c>
      <c r="N2324">
        <v>5</v>
      </c>
      <c r="P2324" t="str">
        <f>TRIM(Table1[[#This Row],[country]])</f>
        <v>Australia</v>
      </c>
    </row>
    <row r="2325" spans="1:16" x14ac:dyDescent="0.3">
      <c r="A2325" s="1">
        <v>38320</v>
      </c>
      <c r="B2325">
        <v>10347</v>
      </c>
      <c r="C2325">
        <v>114</v>
      </c>
      <c r="D2325" t="s">
        <v>210</v>
      </c>
      <c r="E2325" t="s">
        <v>151</v>
      </c>
      <c r="F2325" t="s">
        <v>32</v>
      </c>
      <c r="G2325" t="s">
        <v>34</v>
      </c>
      <c r="H2325">
        <v>42</v>
      </c>
      <c r="I2325" s="2">
        <v>113.17</v>
      </c>
      <c r="J2325" s="2">
        <v>58.33</v>
      </c>
      <c r="K2325" s="2">
        <v>4753.1400000000003</v>
      </c>
      <c r="L2325" s="2">
        <v>2449.86</v>
      </c>
      <c r="M2325" s="2">
        <v>2303.2800000000002</v>
      </c>
      <c r="N2325">
        <v>5</v>
      </c>
      <c r="P2325" t="str">
        <f>TRIM(Table1[[#This Row],[country]])</f>
        <v>Australia</v>
      </c>
    </row>
    <row r="2326" spans="1:16" x14ac:dyDescent="0.3">
      <c r="A2326" s="1">
        <v>38320</v>
      </c>
      <c r="B2326">
        <v>10347</v>
      </c>
      <c r="C2326">
        <v>114</v>
      </c>
      <c r="D2326" t="s">
        <v>210</v>
      </c>
      <c r="E2326" t="s">
        <v>151</v>
      </c>
      <c r="F2326" t="s">
        <v>15</v>
      </c>
      <c r="G2326" t="s">
        <v>26</v>
      </c>
      <c r="H2326">
        <v>21</v>
      </c>
      <c r="I2326" s="2">
        <v>46.36</v>
      </c>
      <c r="J2326" s="2">
        <v>24.26</v>
      </c>
      <c r="K2326" s="2">
        <v>973.56</v>
      </c>
      <c r="L2326" s="2">
        <v>509.46</v>
      </c>
      <c r="M2326" s="2">
        <v>464.1</v>
      </c>
      <c r="N2326">
        <v>5</v>
      </c>
      <c r="P2326" t="str">
        <f>TRIM(Table1[[#This Row],[country]])</f>
        <v>Australia</v>
      </c>
    </row>
    <row r="2327" spans="1:16" x14ac:dyDescent="0.3">
      <c r="A2327" s="1">
        <v>38320</v>
      </c>
      <c r="B2327">
        <v>10347</v>
      </c>
      <c r="C2327">
        <v>114</v>
      </c>
      <c r="D2327" t="s">
        <v>210</v>
      </c>
      <c r="E2327" t="s">
        <v>151</v>
      </c>
      <c r="F2327" t="s">
        <v>32</v>
      </c>
      <c r="G2327" t="s">
        <v>35</v>
      </c>
      <c r="H2327">
        <v>50</v>
      </c>
      <c r="I2327" s="2">
        <v>51.05</v>
      </c>
      <c r="J2327" s="2">
        <v>24.92</v>
      </c>
      <c r="K2327" s="2">
        <v>2552.5</v>
      </c>
      <c r="L2327" s="2">
        <v>1246</v>
      </c>
      <c r="M2327" s="2">
        <v>1306.5</v>
      </c>
      <c r="N2327">
        <v>5</v>
      </c>
      <c r="P2327" t="str">
        <f>TRIM(Table1[[#This Row],[country]])</f>
        <v>Australia</v>
      </c>
    </row>
    <row r="2328" spans="1:16" x14ac:dyDescent="0.3">
      <c r="A2328" s="1">
        <v>38320</v>
      </c>
      <c r="B2328">
        <v>10347</v>
      </c>
      <c r="C2328">
        <v>114</v>
      </c>
      <c r="D2328" t="s">
        <v>210</v>
      </c>
      <c r="E2328" t="s">
        <v>151</v>
      </c>
      <c r="F2328" t="s">
        <v>15</v>
      </c>
      <c r="G2328" t="s">
        <v>22</v>
      </c>
      <c r="H2328">
        <v>21</v>
      </c>
      <c r="I2328" s="2">
        <v>136.69</v>
      </c>
      <c r="J2328" s="2">
        <v>72.56</v>
      </c>
      <c r="K2328" s="2">
        <v>2870.49</v>
      </c>
      <c r="L2328" s="2">
        <v>1523.76</v>
      </c>
      <c r="M2328" s="2">
        <v>1346.73</v>
      </c>
      <c r="N2328">
        <v>5</v>
      </c>
      <c r="P2328" t="str">
        <f>TRIM(Table1[[#This Row],[country]])</f>
        <v>Australia</v>
      </c>
    </row>
    <row r="2329" spans="1:16" x14ac:dyDescent="0.3">
      <c r="A2329" s="1">
        <v>38320</v>
      </c>
      <c r="B2329">
        <v>10347</v>
      </c>
      <c r="C2329">
        <v>114</v>
      </c>
      <c r="D2329" t="s">
        <v>210</v>
      </c>
      <c r="E2329" t="s">
        <v>151</v>
      </c>
      <c r="F2329" t="s">
        <v>15</v>
      </c>
      <c r="G2329" t="s">
        <v>36</v>
      </c>
      <c r="H2329">
        <v>48</v>
      </c>
      <c r="I2329" s="2">
        <v>84.09</v>
      </c>
      <c r="J2329" s="2">
        <v>60.78</v>
      </c>
      <c r="K2329" s="2">
        <v>4036.32</v>
      </c>
      <c r="L2329" s="2">
        <v>2917.44</v>
      </c>
      <c r="M2329" s="2">
        <v>1118.8800000000001</v>
      </c>
      <c r="N2329">
        <v>5</v>
      </c>
      <c r="P2329" t="str">
        <f>TRIM(Table1[[#This Row],[country]])</f>
        <v>Australia</v>
      </c>
    </row>
    <row r="2330" spans="1:16" x14ac:dyDescent="0.3">
      <c r="A2330" s="1">
        <v>38320</v>
      </c>
      <c r="B2330">
        <v>10347</v>
      </c>
      <c r="C2330">
        <v>114</v>
      </c>
      <c r="D2330" t="s">
        <v>210</v>
      </c>
      <c r="E2330" t="s">
        <v>151</v>
      </c>
      <c r="F2330" t="s">
        <v>15</v>
      </c>
      <c r="G2330" t="s">
        <v>37</v>
      </c>
      <c r="H2330">
        <v>34</v>
      </c>
      <c r="I2330" s="2">
        <v>60.59</v>
      </c>
      <c r="J2330" s="2">
        <v>34.35</v>
      </c>
      <c r="K2330" s="2">
        <v>2060.06</v>
      </c>
      <c r="L2330" s="2">
        <v>1167.9000000000001</v>
      </c>
      <c r="M2330" s="2">
        <v>892.16</v>
      </c>
      <c r="N2330">
        <v>5</v>
      </c>
      <c r="P2330" t="str">
        <f>TRIM(Table1[[#This Row],[country]])</f>
        <v>Australia</v>
      </c>
    </row>
    <row r="2331" spans="1:16" x14ac:dyDescent="0.3">
      <c r="A2331" s="1">
        <v>38320</v>
      </c>
      <c r="B2331">
        <v>10347</v>
      </c>
      <c r="C2331">
        <v>114</v>
      </c>
      <c r="D2331" t="s">
        <v>210</v>
      </c>
      <c r="E2331" t="s">
        <v>151</v>
      </c>
      <c r="F2331" t="s">
        <v>15</v>
      </c>
      <c r="G2331" t="s">
        <v>38</v>
      </c>
      <c r="H2331">
        <v>45</v>
      </c>
      <c r="I2331" s="2">
        <v>95.3</v>
      </c>
      <c r="J2331" s="2">
        <v>60.74</v>
      </c>
      <c r="K2331" s="2">
        <v>4288.5</v>
      </c>
      <c r="L2331" s="2">
        <v>2733.3</v>
      </c>
      <c r="M2331" s="2">
        <v>1555.2</v>
      </c>
      <c r="N2331">
        <v>5</v>
      </c>
      <c r="P2331" t="str">
        <f>TRIM(Table1[[#This Row],[country]])</f>
        <v>Australia</v>
      </c>
    </row>
    <row r="2332" spans="1:16" x14ac:dyDescent="0.3">
      <c r="A2332" s="1">
        <v>38320</v>
      </c>
      <c r="B2332">
        <v>10347</v>
      </c>
      <c r="C2332">
        <v>114</v>
      </c>
      <c r="D2332" t="s">
        <v>210</v>
      </c>
      <c r="E2332" t="s">
        <v>151</v>
      </c>
      <c r="F2332" t="s">
        <v>15</v>
      </c>
      <c r="G2332" t="s">
        <v>39</v>
      </c>
      <c r="H2332">
        <v>26</v>
      </c>
      <c r="I2332" s="2">
        <v>84.33</v>
      </c>
      <c r="J2332" s="2">
        <v>57.54</v>
      </c>
      <c r="K2332" s="2">
        <v>2192.58</v>
      </c>
      <c r="L2332" s="2">
        <v>1496.04</v>
      </c>
      <c r="M2332" s="2">
        <v>696.54</v>
      </c>
      <c r="N2332">
        <v>5</v>
      </c>
      <c r="P2332" t="str">
        <f>TRIM(Table1[[#This Row],[country]])</f>
        <v>Australia</v>
      </c>
    </row>
    <row r="2333" spans="1:16" x14ac:dyDescent="0.3">
      <c r="A2333" s="1">
        <v>38320</v>
      </c>
      <c r="B2333">
        <v>10347</v>
      </c>
      <c r="C2333">
        <v>114</v>
      </c>
      <c r="D2333" t="s">
        <v>210</v>
      </c>
      <c r="E2333" t="s">
        <v>151</v>
      </c>
      <c r="F2333" t="s">
        <v>32</v>
      </c>
      <c r="G2333" t="s">
        <v>40</v>
      </c>
      <c r="H2333">
        <v>45</v>
      </c>
      <c r="I2333" s="2">
        <v>115.03</v>
      </c>
      <c r="J2333" s="2">
        <v>84.76</v>
      </c>
      <c r="K2333" s="2">
        <v>5176.3500000000004</v>
      </c>
      <c r="L2333" s="2">
        <v>3814.2</v>
      </c>
      <c r="M2333" s="2">
        <v>1362.15</v>
      </c>
      <c r="N2333">
        <v>5</v>
      </c>
      <c r="P2333" t="str">
        <f>TRIM(Table1[[#This Row],[country]])</f>
        <v>Australia</v>
      </c>
    </row>
    <row r="2334" spans="1:16" x14ac:dyDescent="0.3">
      <c r="A2334" s="1">
        <v>38322</v>
      </c>
      <c r="B2334">
        <v>10349</v>
      </c>
      <c r="C2334">
        <v>151</v>
      </c>
      <c r="D2334" t="s">
        <v>157</v>
      </c>
      <c r="E2334" t="s">
        <v>14</v>
      </c>
      <c r="F2334" t="s">
        <v>29</v>
      </c>
      <c r="G2334" t="s">
        <v>67</v>
      </c>
      <c r="H2334">
        <v>26</v>
      </c>
      <c r="I2334" s="2">
        <v>166.1</v>
      </c>
      <c r="J2334" s="2">
        <v>83.05</v>
      </c>
      <c r="K2334" s="2">
        <v>4318.6000000000004</v>
      </c>
      <c r="L2334" s="2">
        <v>2159.3000000000002</v>
      </c>
      <c r="M2334" s="2">
        <v>2159.3000000000002</v>
      </c>
      <c r="N2334">
        <v>4</v>
      </c>
      <c r="P2334" t="str">
        <f>TRIM(Table1[[#This Row],[country]])</f>
        <v>USA</v>
      </c>
    </row>
    <row r="2335" spans="1:16" x14ac:dyDescent="0.3">
      <c r="A2335" s="1">
        <v>38322</v>
      </c>
      <c r="B2335">
        <v>10349</v>
      </c>
      <c r="C2335">
        <v>151</v>
      </c>
      <c r="D2335" t="s">
        <v>157</v>
      </c>
      <c r="E2335" t="s">
        <v>14</v>
      </c>
      <c r="F2335" t="s">
        <v>32</v>
      </c>
      <c r="G2335" t="s">
        <v>50</v>
      </c>
      <c r="H2335">
        <v>48</v>
      </c>
      <c r="I2335" s="2">
        <v>114.95</v>
      </c>
      <c r="J2335" s="2">
        <v>55.7</v>
      </c>
      <c r="K2335" s="2">
        <v>5517.6</v>
      </c>
      <c r="L2335" s="2">
        <v>2673.6</v>
      </c>
      <c r="M2335" s="2">
        <v>2844</v>
      </c>
      <c r="N2335">
        <v>4</v>
      </c>
      <c r="P2335" t="str">
        <f>TRIM(Table1[[#This Row],[country]])</f>
        <v>USA</v>
      </c>
    </row>
    <row r="2336" spans="1:16" x14ac:dyDescent="0.3">
      <c r="A2336" s="1">
        <v>38322</v>
      </c>
      <c r="B2336">
        <v>10349</v>
      </c>
      <c r="C2336">
        <v>151</v>
      </c>
      <c r="D2336" t="s">
        <v>157</v>
      </c>
      <c r="E2336" t="s">
        <v>14</v>
      </c>
      <c r="F2336" t="s">
        <v>29</v>
      </c>
      <c r="G2336" t="s">
        <v>51</v>
      </c>
      <c r="H2336">
        <v>38</v>
      </c>
      <c r="I2336" s="2">
        <v>142.44999999999999</v>
      </c>
      <c r="J2336" s="2">
        <v>101.51</v>
      </c>
      <c r="K2336" s="2">
        <v>5413.1</v>
      </c>
      <c r="L2336" s="2">
        <v>3857.38</v>
      </c>
      <c r="M2336" s="2">
        <v>1555.72</v>
      </c>
      <c r="N2336">
        <v>4</v>
      </c>
      <c r="P2336" t="str">
        <f>TRIM(Table1[[#This Row],[country]])</f>
        <v>USA</v>
      </c>
    </row>
    <row r="2337" spans="1:16" x14ac:dyDescent="0.3">
      <c r="A2337" s="1">
        <v>38322</v>
      </c>
      <c r="B2337">
        <v>10349</v>
      </c>
      <c r="C2337">
        <v>151</v>
      </c>
      <c r="D2337" t="s">
        <v>157</v>
      </c>
      <c r="E2337" t="s">
        <v>14</v>
      </c>
      <c r="F2337" t="s">
        <v>32</v>
      </c>
      <c r="G2337" t="s">
        <v>52</v>
      </c>
      <c r="H2337">
        <v>38</v>
      </c>
      <c r="I2337" s="2">
        <v>117.82</v>
      </c>
      <c r="J2337" s="2">
        <v>74.86</v>
      </c>
      <c r="K2337" s="2">
        <v>4477.16</v>
      </c>
      <c r="L2337" s="2">
        <v>2844.68</v>
      </c>
      <c r="M2337" s="2">
        <v>1632.48</v>
      </c>
      <c r="N2337">
        <v>4</v>
      </c>
      <c r="P2337" t="str">
        <f>TRIM(Table1[[#This Row],[country]])</f>
        <v>USA</v>
      </c>
    </row>
    <row r="2338" spans="1:16" x14ac:dyDescent="0.3">
      <c r="A2338" s="1">
        <v>38322</v>
      </c>
      <c r="B2338">
        <v>10349</v>
      </c>
      <c r="C2338">
        <v>151</v>
      </c>
      <c r="D2338" t="s">
        <v>157</v>
      </c>
      <c r="E2338" t="s">
        <v>14</v>
      </c>
      <c r="F2338" t="s">
        <v>29</v>
      </c>
      <c r="G2338" t="s">
        <v>53</v>
      </c>
      <c r="H2338">
        <v>48</v>
      </c>
      <c r="I2338" s="2">
        <v>164.26</v>
      </c>
      <c r="J2338" s="2">
        <v>77.900000000000006</v>
      </c>
      <c r="K2338" s="2">
        <v>7884.48</v>
      </c>
      <c r="L2338" s="2">
        <v>3739.2</v>
      </c>
      <c r="M2338" s="2">
        <v>4145.28</v>
      </c>
      <c r="N2338">
        <v>4</v>
      </c>
      <c r="P2338" t="str">
        <f>TRIM(Table1[[#This Row],[country]])</f>
        <v>USA</v>
      </c>
    </row>
    <row r="2339" spans="1:16" x14ac:dyDescent="0.3">
      <c r="A2339" s="1">
        <v>38322</v>
      </c>
      <c r="B2339">
        <v>10349</v>
      </c>
      <c r="C2339">
        <v>151</v>
      </c>
      <c r="D2339" t="s">
        <v>157</v>
      </c>
      <c r="E2339" t="s">
        <v>14</v>
      </c>
      <c r="F2339" t="s">
        <v>29</v>
      </c>
      <c r="G2339" t="s">
        <v>54</v>
      </c>
      <c r="H2339">
        <v>34</v>
      </c>
      <c r="I2339" s="2">
        <v>140.75</v>
      </c>
      <c r="J2339" s="2">
        <v>91.92</v>
      </c>
      <c r="K2339" s="2">
        <v>4785.5</v>
      </c>
      <c r="L2339" s="2">
        <v>3125.28</v>
      </c>
      <c r="M2339" s="2">
        <v>1660.22</v>
      </c>
      <c r="N2339">
        <v>4</v>
      </c>
      <c r="P2339" t="str">
        <f>TRIM(Table1[[#This Row],[country]])</f>
        <v>USA</v>
      </c>
    </row>
    <row r="2340" spans="1:16" x14ac:dyDescent="0.3">
      <c r="A2340" s="1">
        <v>38322</v>
      </c>
      <c r="B2340">
        <v>10349</v>
      </c>
      <c r="C2340">
        <v>151</v>
      </c>
      <c r="D2340" t="s">
        <v>157</v>
      </c>
      <c r="E2340" t="s">
        <v>14</v>
      </c>
      <c r="F2340" t="s">
        <v>29</v>
      </c>
      <c r="G2340" t="s">
        <v>55</v>
      </c>
      <c r="H2340">
        <v>48</v>
      </c>
      <c r="I2340" s="2">
        <v>50.29</v>
      </c>
      <c r="J2340" s="2">
        <v>32.369999999999997</v>
      </c>
      <c r="K2340" s="2">
        <v>2413.92</v>
      </c>
      <c r="L2340" s="2">
        <v>1553.76</v>
      </c>
      <c r="M2340" s="2">
        <v>860.16</v>
      </c>
      <c r="N2340">
        <v>4</v>
      </c>
      <c r="P2340" t="str">
        <f>TRIM(Table1[[#This Row],[country]])</f>
        <v>USA</v>
      </c>
    </row>
    <row r="2341" spans="1:16" x14ac:dyDescent="0.3">
      <c r="A2341" s="1">
        <v>38322</v>
      </c>
      <c r="B2341">
        <v>10349</v>
      </c>
      <c r="C2341">
        <v>151</v>
      </c>
      <c r="D2341" t="s">
        <v>157</v>
      </c>
      <c r="E2341" t="s">
        <v>14</v>
      </c>
      <c r="F2341" t="s">
        <v>29</v>
      </c>
      <c r="G2341" t="s">
        <v>56</v>
      </c>
      <c r="H2341">
        <v>36</v>
      </c>
      <c r="I2341" s="2">
        <v>31.47</v>
      </c>
      <c r="J2341" s="2">
        <v>15.91</v>
      </c>
      <c r="K2341" s="2">
        <v>1132.92</v>
      </c>
      <c r="L2341" s="2">
        <v>572.76</v>
      </c>
      <c r="M2341" s="2">
        <v>560.16</v>
      </c>
      <c r="N2341">
        <v>4</v>
      </c>
      <c r="P2341" t="str">
        <f>TRIM(Table1[[#This Row],[country]])</f>
        <v>USA</v>
      </c>
    </row>
    <row r="2342" spans="1:16" x14ac:dyDescent="0.3">
      <c r="A2342" s="1">
        <v>38322</v>
      </c>
      <c r="B2342">
        <v>10349</v>
      </c>
      <c r="C2342">
        <v>151</v>
      </c>
      <c r="D2342" t="s">
        <v>157</v>
      </c>
      <c r="E2342" t="s">
        <v>14</v>
      </c>
      <c r="F2342" t="s">
        <v>29</v>
      </c>
      <c r="G2342" t="s">
        <v>57</v>
      </c>
      <c r="H2342">
        <v>23</v>
      </c>
      <c r="I2342" s="2">
        <v>111.18</v>
      </c>
      <c r="J2342" s="2">
        <v>69.78</v>
      </c>
      <c r="K2342" s="2">
        <v>2557.14</v>
      </c>
      <c r="L2342" s="2">
        <v>1604.94</v>
      </c>
      <c r="M2342" s="2">
        <v>952.2</v>
      </c>
      <c r="N2342">
        <v>4</v>
      </c>
      <c r="P2342" t="str">
        <f>TRIM(Table1[[#This Row],[country]])</f>
        <v>USA</v>
      </c>
    </row>
    <row r="2343" spans="1:16" x14ac:dyDescent="0.3">
      <c r="A2343" s="1">
        <v>38322</v>
      </c>
      <c r="B2343">
        <v>10349</v>
      </c>
      <c r="C2343">
        <v>151</v>
      </c>
      <c r="D2343" t="s">
        <v>157</v>
      </c>
      <c r="E2343" t="s">
        <v>14</v>
      </c>
      <c r="F2343" t="s">
        <v>32</v>
      </c>
      <c r="G2343" t="s">
        <v>58</v>
      </c>
      <c r="H2343">
        <v>33</v>
      </c>
      <c r="I2343" s="2">
        <v>44.37</v>
      </c>
      <c r="J2343" s="2">
        <v>25.98</v>
      </c>
      <c r="K2343" s="2">
        <v>1464.21</v>
      </c>
      <c r="L2343" s="2">
        <v>857.34</v>
      </c>
      <c r="M2343" s="2">
        <v>606.87</v>
      </c>
      <c r="N2343">
        <v>4</v>
      </c>
      <c r="P2343" t="str">
        <f>TRIM(Table1[[#This Row],[country]])</f>
        <v>USA</v>
      </c>
    </row>
    <row r="2344" spans="1:16" x14ac:dyDescent="0.3">
      <c r="A2344" s="1">
        <v>38323</v>
      </c>
      <c r="B2344">
        <v>10350</v>
      </c>
      <c r="C2344">
        <v>141</v>
      </c>
      <c r="D2344" t="s">
        <v>47</v>
      </c>
      <c r="E2344" t="s">
        <v>48</v>
      </c>
      <c r="F2344" t="s">
        <v>29</v>
      </c>
      <c r="G2344" t="s">
        <v>65</v>
      </c>
      <c r="H2344">
        <v>26</v>
      </c>
      <c r="I2344" s="2">
        <v>110.16</v>
      </c>
      <c r="J2344" s="2">
        <v>85.68</v>
      </c>
      <c r="K2344" s="2">
        <v>2864.16</v>
      </c>
      <c r="L2344" s="2">
        <v>2227.6799999999998</v>
      </c>
      <c r="M2344" s="2">
        <v>636.48</v>
      </c>
      <c r="N2344">
        <v>15</v>
      </c>
      <c r="P2344" t="str">
        <f>TRIM(Table1[[#This Row],[country]])</f>
        <v>Spain</v>
      </c>
    </row>
    <row r="2345" spans="1:16" x14ac:dyDescent="0.3">
      <c r="A2345" s="1">
        <v>38323</v>
      </c>
      <c r="B2345">
        <v>10350</v>
      </c>
      <c r="C2345">
        <v>141</v>
      </c>
      <c r="D2345" t="s">
        <v>47</v>
      </c>
      <c r="E2345" t="s">
        <v>48</v>
      </c>
      <c r="F2345" t="s">
        <v>71</v>
      </c>
      <c r="G2345" t="s">
        <v>86</v>
      </c>
      <c r="H2345">
        <v>43</v>
      </c>
      <c r="I2345" s="2">
        <v>84.3</v>
      </c>
      <c r="J2345" s="2">
        <v>51.61</v>
      </c>
      <c r="K2345" s="2">
        <v>3624.9</v>
      </c>
      <c r="L2345" s="2">
        <v>2219.23</v>
      </c>
      <c r="M2345" s="2">
        <v>1405.67</v>
      </c>
      <c r="N2345">
        <v>15</v>
      </c>
      <c r="P2345" t="str">
        <f>TRIM(Table1[[#This Row],[country]])</f>
        <v>Spain</v>
      </c>
    </row>
    <row r="2346" spans="1:16" x14ac:dyDescent="0.3">
      <c r="A2346" s="1">
        <v>38323</v>
      </c>
      <c r="B2346">
        <v>10350</v>
      </c>
      <c r="C2346">
        <v>141</v>
      </c>
      <c r="D2346" t="s">
        <v>47</v>
      </c>
      <c r="E2346" t="s">
        <v>48</v>
      </c>
      <c r="F2346" t="s">
        <v>15</v>
      </c>
      <c r="G2346" t="s">
        <v>68</v>
      </c>
      <c r="H2346">
        <v>44</v>
      </c>
      <c r="I2346" s="2">
        <v>135.22</v>
      </c>
      <c r="J2346" s="2">
        <v>68.3</v>
      </c>
      <c r="K2346" s="2">
        <v>5949.68</v>
      </c>
      <c r="L2346" s="2">
        <v>3005.2</v>
      </c>
      <c r="M2346" s="2">
        <v>2944.48</v>
      </c>
      <c r="N2346">
        <v>15</v>
      </c>
      <c r="P2346" t="str">
        <f>TRIM(Table1[[#This Row],[country]])</f>
        <v>Spain</v>
      </c>
    </row>
    <row r="2347" spans="1:16" x14ac:dyDescent="0.3">
      <c r="A2347" s="1">
        <v>38323</v>
      </c>
      <c r="B2347">
        <v>10350</v>
      </c>
      <c r="C2347">
        <v>141</v>
      </c>
      <c r="D2347" t="s">
        <v>47</v>
      </c>
      <c r="E2347" t="s">
        <v>48</v>
      </c>
      <c r="F2347" t="s">
        <v>59</v>
      </c>
      <c r="G2347" t="s">
        <v>69</v>
      </c>
      <c r="H2347">
        <v>41</v>
      </c>
      <c r="I2347" s="2">
        <v>94.79</v>
      </c>
      <c r="J2347" s="2">
        <v>67.56</v>
      </c>
      <c r="K2347" s="2">
        <v>3886.39</v>
      </c>
      <c r="L2347" s="2">
        <v>2769.96</v>
      </c>
      <c r="M2347" s="2">
        <v>1116.43</v>
      </c>
      <c r="N2347">
        <v>15</v>
      </c>
      <c r="P2347" t="str">
        <f>TRIM(Table1[[#This Row],[country]])</f>
        <v>Spain</v>
      </c>
    </row>
    <row r="2348" spans="1:16" x14ac:dyDescent="0.3">
      <c r="A2348" s="1">
        <v>38323</v>
      </c>
      <c r="B2348">
        <v>10350</v>
      </c>
      <c r="C2348">
        <v>141</v>
      </c>
      <c r="D2348" t="s">
        <v>47</v>
      </c>
      <c r="E2348" t="s">
        <v>48</v>
      </c>
      <c r="F2348" t="s">
        <v>15</v>
      </c>
      <c r="G2348" t="s">
        <v>70</v>
      </c>
      <c r="H2348">
        <v>30</v>
      </c>
      <c r="I2348" s="2">
        <v>70.22</v>
      </c>
      <c r="J2348" s="2">
        <v>52.66</v>
      </c>
      <c r="K2348" s="2">
        <v>2106.6</v>
      </c>
      <c r="L2348" s="2">
        <v>1579.8</v>
      </c>
      <c r="M2348" s="2">
        <v>526.79999999999995</v>
      </c>
      <c r="N2348">
        <v>15</v>
      </c>
      <c r="P2348" t="str">
        <f>TRIM(Table1[[#This Row],[country]])</f>
        <v>Spain</v>
      </c>
    </row>
    <row r="2349" spans="1:16" x14ac:dyDescent="0.3">
      <c r="A2349" s="1">
        <v>38323</v>
      </c>
      <c r="B2349">
        <v>10350</v>
      </c>
      <c r="C2349">
        <v>141</v>
      </c>
      <c r="D2349" t="s">
        <v>47</v>
      </c>
      <c r="E2349" t="s">
        <v>48</v>
      </c>
      <c r="F2349" t="s">
        <v>71</v>
      </c>
      <c r="G2349" t="s">
        <v>72</v>
      </c>
      <c r="H2349">
        <v>34</v>
      </c>
      <c r="I2349" s="2">
        <v>98.31</v>
      </c>
      <c r="J2349" s="2">
        <v>82.34</v>
      </c>
      <c r="K2349" s="2">
        <v>3342.54</v>
      </c>
      <c r="L2349" s="2">
        <v>2799.56</v>
      </c>
      <c r="M2349" s="2">
        <v>542.98</v>
      </c>
      <c r="N2349">
        <v>15</v>
      </c>
      <c r="P2349" t="str">
        <f>TRIM(Table1[[#This Row],[country]])</f>
        <v>Spain</v>
      </c>
    </row>
    <row r="2350" spans="1:16" x14ac:dyDescent="0.3">
      <c r="A2350" s="1">
        <v>38323</v>
      </c>
      <c r="B2350">
        <v>10350</v>
      </c>
      <c r="C2350">
        <v>141</v>
      </c>
      <c r="D2350" t="s">
        <v>47</v>
      </c>
      <c r="E2350" t="s">
        <v>48</v>
      </c>
      <c r="F2350" t="s">
        <v>15</v>
      </c>
      <c r="G2350" t="s">
        <v>73</v>
      </c>
      <c r="H2350">
        <v>30</v>
      </c>
      <c r="I2350" s="2">
        <v>86.74</v>
      </c>
      <c r="J2350" s="2">
        <v>46.91</v>
      </c>
      <c r="K2350" s="2">
        <v>2602.1999999999998</v>
      </c>
      <c r="L2350" s="2">
        <v>1407.3</v>
      </c>
      <c r="M2350" s="2">
        <v>1194.9000000000001</v>
      </c>
      <c r="N2350">
        <v>15</v>
      </c>
      <c r="P2350" t="str">
        <f>TRIM(Table1[[#This Row],[country]])</f>
        <v>Spain</v>
      </c>
    </row>
    <row r="2351" spans="1:16" x14ac:dyDescent="0.3">
      <c r="A2351" s="1">
        <v>38323</v>
      </c>
      <c r="B2351">
        <v>10350</v>
      </c>
      <c r="C2351">
        <v>141</v>
      </c>
      <c r="D2351" t="s">
        <v>47</v>
      </c>
      <c r="E2351" t="s">
        <v>48</v>
      </c>
      <c r="F2351" t="s">
        <v>15</v>
      </c>
      <c r="G2351" t="s">
        <v>74</v>
      </c>
      <c r="H2351">
        <v>25</v>
      </c>
      <c r="I2351" s="2">
        <v>77.150000000000006</v>
      </c>
      <c r="J2351" s="2">
        <v>48.64</v>
      </c>
      <c r="K2351" s="2">
        <v>1928.75</v>
      </c>
      <c r="L2351" s="2">
        <v>1216</v>
      </c>
      <c r="M2351" s="2">
        <v>712.75</v>
      </c>
      <c r="N2351">
        <v>15</v>
      </c>
      <c r="P2351" t="str">
        <f>TRIM(Table1[[#This Row],[country]])</f>
        <v>Spain</v>
      </c>
    </row>
    <row r="2352" spans="1:16" x14ac:dyDescent="0.3">
      <c r="A2352" s="1">
        <v>38323</v>
      </c>
      <c r="B2352">
        <v>10350</v>
      </c>
      <c r="C2352">
        <v>141</v>
      </c>
      <c r="D2352" t="s">
        <v>47</v>
      </c>
      <c r="E2352" t="s">
        <v>48</v>
      </c>
      <c r="F2352" t="s">
        <v>59</v>
      </c>
      <c r="G2352" t="s">
        <v>60</v>
      </c>
      <c r="H2352">
        <v>27</v>
      </c>
      <c r="I2352" s="2">
        <v>61.52</v>
      </c>
      <c r="J2352" s="2">
        <v>26.72</v>
      </c>
      <c r="K2352" s="2">
        <v>1661.04</v>
      </c>
      <c r="L2352" s="2">
        <v>721.44</v>
      </c>
      <c r="M2352" s="2">
        <v>939.6</v>
      </c>
      <c r="N2352">
        <v>15</v>
      </c>
      <c r="P2352" t="str">
        <f>TRIM(Table1[[#This Row],[country]])</f>
        <v>Spain</v>
      </c>
    </row>
    <row r="2353" spans="1:16" x14ac:dyDescent="0.3">
      <c r="A2353" s="1">
        <v>38323</v>
      </c>
      <c r="B2353">
        <v>10350</v>
      </c>
      <c r="C2353">
        <v>141</v>
      </c>
      <c r="D2353" t="s">
        <v>47</v>
      </c>
      <c r="E2353" t="s">
        <v>48</v>
      </c>
      <c r="F2353" t="s">
        <v>32</v>
      </c>
      <c r="G2353" t="s">
        <v>61</v>
      </c>
      <c r="H2353">
        <v>31</v>
      </c>
      <c r="I2353" s="2">
        <v>104.18</v>
      </c>
      <c r="J2353" s="2">
        <v>68.290000000000006</v>
      </c>
      <c r="K2353" s="2">
        <v>3229.58</v>
      </c>
      <c r="L2353" s="2">
        <v>2116.9899999999998</v>
      </c>
      <c r="M2353" s="2">
        <v>1112.5899999999999</v>
      </c>
      <c r="N2353">
        <v>15</v>
      </c>
      <c r="P2353" t="str">
        <f>TRIM(Table1[[#This Row],[country]])</f>
        <v>Spain</v>
      </c>
    </row>
    <row r="2354" spans="1:16" x14ac:dyDescent="0.3">
      <c r="A2354" s="1">
        <v>38323</v>
      </c>
      <c r="B2354">
        <v>10350</v>
      </c>
      <c r="C2354">
        <v>141</v>
      </c>
      <c r="D2354" t="s">
        <v>47</v>
      </c>
      <c r="E2354" t="s">
        <v>48</v>
      </c>
      <c r="F2354" t="s">
        <v>59</v>
      </c>
      <c r="G2354" t="s">
        <v>62</v>
      </c>
      <c r="H2354">
        <v>44</v>
      </c>
      <c r="I2354" s="2">
        <v>56.82</v>
      </c>
      <c r="J2354" s="2">
        <v>37.49</v>
      </c>
      <c r="K2354" s="2">
        <v>2500.08</v>
      </c>
      <c r="L2354" s="2">
        <v>1649.56</v>
      </c>
      <c r="M2354" s="2">
        <v>850.52</v>
      </c>
      <c r="N2354">
        <v>15</v>
      </c>
      <c r="P2354" t="str">
        <f>TRIM(Table1[[#This Row],[country]])</f>
        <v>Spain</v>
      </c>
    </row>
    <row r="2355" spans="1:16" x14ac:dyDescent="0.3">
      <c r="A2355" s="1">
        <v>38323</v>
      </c>
      <c r="B2355">
        <v>10350</v>
      </c>
      <c r="C2355">
        <v>141</v>
      </c>
      <c r="D2355" t="s">
        <v>47</v>
      </c>
      <c r="E2355" t="s">
        <v>48</v>
      </c>
      <c r="F2355" t="s">
        <v>71</v>
      </c>
      <c r="G2355" t="s">
        <v>75</v>
      </c>
      <c r="H2355">
        <v>46</v>
      </c>
      <c r="I2355" s="2">
        <v>56</v>
      </c>
      <c r="J2355" s="2">
        <v>34</v>
      </c>
      <c r="K2355" s="2">
        <v>2576</v>
      </c>
      <c r="L2355" s="2">
        <v>1564</v>
      </c>
      <c r="M2355" s="2">
        <v>1012</v>
      </c>
      <c r="N2355">
        <v>15</v>
      </c>
      <c r="P2355" t="str">
        <f>TRIM(Table1[[#This Row],[country]])</f>
        <v>Spain</v>
      </c>
    </row>
    <row r="2356" spans="1:16" x14ac:dyDescent="0.3">
      <c r="A2356" s="1">
        <v>38323</v>
      </c>
      <c r="B2356">
        <v>10350</v>
      </c>
      <c r="C2356">
        <v>141</v>
      </c>
      <c r="D2356" t="s">
        <v>47</v>
      </c>
      <c r="E2356" t="s">
        <v>48</v>
      </c>
      <c r="F2356" t="s">
        <v>71</v>
      </c>
      <c r="G2356" t="s">
        <v>76</v>
      </c>
      <c r="H2356">
        <v>28</v>
      </c>
      <c r="I2356" s="2">
        <v>76.22</v>
      </c>
      <c r="J2356" s="2">
        <v>43.3</v>
      </c>
      <c r="K2356" s="2">
        <v>2134.16</v>
      </c>
      <c r="L2356" s="2">
        <v>1212.4000000000001</v>
      </c>
      <c r="M2356" s="2">
        <v>921.76</v>
      </c>
      <c r="N2356">
        <v>15</v>
      </c>
      <c r="P2356" t="str">
        <f>TRIM(Table1[[#This Row],[country]])</f>
        <v>Spain</v>
      </c>
    </row>
    <row r="2357" spans="1:16" x14ac:dyDescent="0.3">
      <c r="A2357" s="1">
        <v>38323</v>
      </c>
      <c r="B2357">
        <v>10350</v>
      </c>
      <c r="C2357">
        <v>141</v>
      </c>
      <c r="D2357" t="s">
        <v>47</v>
      </c>
      <c r="E2357" t="s">
        <v>48</v>
      </c>
      <c r="F2357" t="s">
        <v>71</v>
      </c>
      <c r="G2357" t="s">
        <v>77</v>
      </c>
      <c r="H2357">
        <v>29</v>
      </c>
      <c r="I2357" s="2">
        <v>68.67</v>
      </c>
      <c r="J2357" s="2">
        <v>33.97</v>
      </c>
      <c r="K2357" s="2">
        <v>1991.43</v>
      </c>
      <c r="L2357" s="2">
        <v>985.13</v>
      </c>
      <c r="M2357" s="2">
        <v>1006.3</v>
      </c>
      <c r="N2357">
        <v>15</v>
      </c>
      <c r="P2357" t="str">
        <f>TRIM(Table1[[#This Row],[country]])</f>
        <v>Spain</v>
      </c>
    </row>
    <row r="2358" spans="1:16" x14ac:dyDescent="0.3">
      <c r="A2358" s="1">
        <v>38323</v>
      </c>
      <c r="B2358">
        <v>10350</v>
      </c>
      <c r="C2358">
        <v>141</v>
      </c>
      <c r="D2358" t="s">
        <v>47</v>
      </c>
      <c r="E2358" t="s">
        <v>48</v>
      </c>
      <c r="F2358" t="s">
        <v>71</v>
      </c>
      <c r="G2358" t="s">
        <v>78</v>
      </c>
      <c r="H2358">
        <v>31</v>
      </c>
      <c r="I2358" s="2">
        <v>87.15</v>
      </c>
      <c r="J2358" s="2">
        <v>51.09</v>
      </c>
      <c r="K2358" s="2">
        <v>2701.65</v>
      </c>
      <c r="L2358" s="2">
        <v>1583.79</v>
      </c>
      <c r="M2358" s="2">
        <v>1117.8599999999999</v>
      </c>
      <c r="N2358">
        <v>15</v>
      </c>
      <c r="P2358" t="str">
        <f>TRIM(Table1[[#This Row],[country]])</f>
        <v>Spain</v>
      </c>
    </row>
    <row r="2359" spans="1:16" x14ac:dyDescent="0.3">
      <c r="A2359" s="1">
        <v>38323</v>
      </c>
      <c r="B2359">
        <v>10350</v>
      </c>
      <c r="C2359">
        <v>141</v>
      </c>
      <c r="D2359" t="s">
        <v>47</v>
      </c>
      <c r="E2359" t="s">
        <v>48</v>
      </c>
      <c r="F2359" t="s">
        <v>71</v>
      </c>
      <c r="G2359" t="s">
        <v>79</v>
      </c>
      <c r="H2359">
        <v>25</v>
      </c>
      <c r="I2359" s="2">
        <v>97.32</v>
      </c>
      <c r="J2359" s="2">
        <v>53.63</v>
      </c>
      <c r="K2359" s="2">
        <v>2433</v>
      </c>
      <c r="L2359" s="2">
        <v>1340.75</v>
      </c>
      <c r="M2359" s="2">
        <v>1092.25</v>
      </c>
      <c r="N2359">
        <v>15</v>
      </c>
      <c r="P2359" t="str">
        <f>TRIM(Table1[[#This Row],[country]])</f>
        <v>Spain</v>
      </c>
    </row>
    <row r="2360" spans="1:16" x14ac:dyDescent="0.3">
      <c r="A2360" s="1">
        <v>38323</v>
      </c>
      <c r="B2360">
        <v>10350</v>
      </c>
      <c r="C2360">
        <v>141</v>
      </c>
      <c r="D2360" t="s">
        <v>47</v>
      </c>
      <c r="E2360" t="s">
        <v>48</v>
      </c>
      <c r="F2360" t="s">
        <v>71</v>
      </c>
      <c r="G2360" t="s">
        <v>80</v>
      </c>
      <c r="H2360">
        <v>20</v>
      </c>
      <c r="I2360" s="2">
        <v>48.05</v>
      </c>
      <c r="J2360" s="2">
        <v>33.299999999999997</v>
      </c>
      <c r="K2360" s="2">
        <v>961</v>
      </c>
      <c r="L2360" s="2">
        <v>666</v>
      </c>
      <c r="M2360" s="2">
        <v>295</v>
      </c>
      <c r="N2360">
        <v>15</v>
      </c>
      <c r="P2360" t="str">
        <f>TRIM(Table1[[#This Row],[country]])</f>
        <v>Spain</v>
      </c>
    </row>
    <row r="2361" spans="1:16" x14ac:dyDescent="0.3">
      <c r="A2361" s="1">
        <v>38324</v>
      </c>
      <c r="B2361">
        <v>10352</v>
      </c>
      <c r="C2361">
        <v>198</v>
      </c>
      <c r="D2361" t="s">
        <v>213</v>
      </c>
      <c r="E2361" t="s">
        <v>14</v>
      </c>
      <c r="F2361" t="s">
        <v>71</v>
      </c>
      <c r="G2361" t="s">
        <v>96</v>
      </c>
      <c r="H2361">
        <v>23</v>
      </c>
      <c r="I2361" s="2">
        <v>75.13</v>
      </c>
      <c r="J2361" s="2">
        <v>39.83</v>
      </c>
      <c r="K2361" s="2">
        <v>1727.99</v>
      </c>
      <c r="L2361" s="2">
        <v>916.09</v>
      </c>
      <c r="M2361" s="2">
        <v>811.9</v>
      </c>
      <c r="N2361">
        <v>3</v>
      </c>
      <c r="P2361" t="str">
        <f>TRIM(Table1[[#This Row],[country]])</f>
        <v>USA</v>
      </c>
    </row>
    <row r="2362" spans="1:16" x14ac:dyDescent="0.3">
      <c r="A2362" s="1">
        <v>38324</v>
      </c>
      <c r="B2362">
        <v>10352</v>
      </c>
      <c r="C2362">
        <v>198</v>
      </c>
      <c r="D2362" t="s">
        <v>213</v>
      </c>
      <c r="E2362" t="s">
        <v>14</v>
      </c>
      <c r="F2362" t="s">
        <v>83</v>
      </c>
      <c r="G2362" t="s">
        <v>97</v>
      </c>
      <c r="H2362">
        <v>49</v>
      </c>
      <c r="I2362" s="2">
        <v>87.75</v>
      </c>
      <c r="J2362" s="2">
        <v>68.8</v>
      </c>
      <c r="K2362" s="2">
        <v>4299.75</v>
      </c>
      <c r="L2362" s="2">
        <v>3371.2</v>
      </c>
      <c r="M2362" s="2">
        <v>928.55</v>
      </c>
      <c r="N2362">
        <v>3</v>
      </c>
      <c r="P2362" t="str">
        <f>TRIM(Table1[[#This Row],[country]])</f>
        <v>USA</v>
      </c>
    </row>
    <row r="2363" spans="1:16" x14ac:dyDescent="0.3">
      <c r="A2363" s="1">
        <v>38324</v>
      </c>
      <c r="B2363">
        <v>10352</v>
      </c>
      <c r="C2363">
        <v>198</v>
      </c>
      <c r="D2363" t="s">
        <v>213</v>
      </c>
      <c r="E2363" t="s">
        <v>14</v>
      </c>
      <c r="F2363" t="s">
        <v>83</v>
      </c>
      <c r="G2363" t="s">
        <v>100</v>
      </c>
      <c r="H2363">
        <v>22</v>
      </c>
      <c r="I2363" s="2">
        <v>62.19</v>
      </c>
      <c r="J2363" s="2">
        <v>36.270000000000003</v>
      </c>
      <c r="K2363" s="2">
        <v>1368.18</v>
      </c>
      <c r="L2363" s="2">
        <v>797.94</v>
      </c>
      <c r="M2363" s="2">
        <v>570.24</v>
      </c>
      <c r="N2363">
        <v>3</v>
      </c>
      <c r="P2363" t="str">
        <f>TRIM(Table1[[#This Row],[country]])</f>
        <v>USA</v>
      </c>
    </row>
    <row r="2364" spans="1:16" x14ac:dyDescent="0.3">
      <c r="A2364" s="1">
        <v>38324</v>
      </c>
      <c r="B2364">
        <v>10352</v>
      </c>
      <c r="C2364">
        <v>198</v>
      </c>
      <c r="D2364" t="s">
        <v>213</v>
      </c>
      <c r="E2364" t="s">
        <v>14</v>
      </c>
      <c r="F2364" t="s">
        <v>83</v>
      </c>
      <c r="G2364" t="s">
        <v>101</v>
      </c>
      <c r="H2364">
        <v>49</v>
      </c>
      <c r="I2364" s="2">
        <v>46.18</v>
      </c>
      <c r="J2364" s="2">
        <v>32.770000000000003</v>
      </c>
      <c r="K2364" s="2">
        <v>2262.8200000000002</v>
      </c>
      <c r="L2364" s="2">
        <v>1605.73</v>
      </c>
      <c r="M2364" s="2">
        <v>657.09</v>
      </c>
      <c r="N2364">
        <v>3</v>
      </c>
      <c r="P2364" t="str">
        <f>TRIM(Table1[[#This Row],[country]])</f>
        <v>USA</v>
      </c>
    </row>
    <row r="2365" spans="1:16" x14ac:dyDescent="0.3">
      <c r="A2365" s="1">
        <v>38324</v>
      </c>
      <c r="B2365">
        <v>10351</v>
      </c>
      <c r="C2365">
        <v>324</v>
      </c>
      <c r="D2365" t="s">
        <v>211</v>
      </c>
      <c r="E2365" t="s">
        <v>133</v>
      </c>
      <c r="F2365" t="s">
        <v>83</v>
      </c>
      <c r="G2365" t="s">
        <v>84</v>
      </c>
      <c r="H2365">
        <v>39</v>
      </c>
      <c r="I2365" s="2">
        <v>143.5</v>
      </c>
      <c r="J2365" s="2">
        <v>77.27</v>
      </c>
      <c r="K2365" s="2">
        <v>5596.5</v>
      </c>
      <c r="L2365" s="2">
        <v>3013.53</v>
      </c>
      <c r="M2365" s="2">
        <v>2582.9699999999998</v>
      </c>
      <c r="N2365">
        <v>3</v>
      </c>
      <c r="P2365" t="str">
        <f>TRIM(Table1[[#This Row],[country]])</f>
        <v>UK</v>
      </c>
    </row>
    <row r="2366" spans="1:16" x14ac:dyDescent="0.3">
      <c r="A2366" s="1">
        <v>38324</v>
      </c>
      <c r="B2366">
        <v>10351</v>
      </c>
      <c r="C2366">
        <v>324</v>
      </c>
      <c r="D2366" t="s">
        <v>211</v>
      </c>
      <c r="E2366" t="s">
        <v>133</v>
      </c>
      <c r="F2366" t="s">
        <v>15</v>
      </c>
      <c r="G2366" t="s">
        <v>87</v>
      </c>
      <c r="H2366">
        <v>20</v>
      </c>
      <c r="I2366" s="2">
        <v>104.81</v>
      </c>
      <c r="J2366" s="2">
        <v>64.58</v>
      </c>
      <c r="K2366" s="2">
        <v>2096.1999999999998</v>
      </c>
      <c r="L2366" s="2">
        <v>1291.5999999999999</v>
      </c>
      <c r="M2366" s="2">
        <v>804.6</v>
      </c>
      <c r="N2366">
        <v>3</v>
      </c>
      <c r="P2366" t="str">
        <f>TRIM(Table1[[#This Row],[country]])</f>
        <v>UK</v>
      </c>
    </row>
    <row r="2367" spans="1:16" x14ac:dyDescent="0.3">
      <c r="A2367" s="1">
        <v>38324</v>
      </c>
      <c r="B2367">
        <v>10351</v>
      </c>
      <c r="C2367">
        <v>324</v>
      </c>
      <c r="D2367" t="s">
        <v>211</v>
      </c>
      <c r="E2367" t="s">
        <v>133</v>
      </c>
      <c r="F2367" t="s">
        <v>83</v>
      </c>
      <c r="G2367" t="s">
        <v>89</v>
      </c>
      <c r="H2367">
        <v>25</v>
      </c>
      <c r="I2367" s="2">
        <v>64.400000000000006</v>
      </c>
      <c r="J2367" s="2">
        <v>34.25</v>
      </c>
      <c r="K2367" s="2">
        <v>1610</v>
      </c>
      <c r="L2367" s="2">
        <v>856.25</v>
      </c>
      <c r="M2367" s="2">
        <v>753.75</v>
      </c>
      <c r="N2367">
        <v>3</v>
      </c>
      <c r="P2367" t="str">
        <f>TRIM(Table1[[#This Row],[country]])</f>
        <v>UK</v>
      </c>
    </row>
    <row r="2368" spans="1:16" x14ac:dyDescent="0.3">
      <c r="A2368" s="1">
        <v>38324</v>
      </c>
      <c r="B2368">
        <v>10351</v>
      </c>
      <c r="C2368">
        <v>324</v>
      </c>
      <c r="D2368" t="s">
        <v>211</v>
      </c>
      <c r="E2368" t="s">
        <v>133</v>
      </c>
      <c r="F2368" t="s">
        <v>15</v>
      </c>
      <c r="G2368" t="s">
        <v>90</v>
      </c>
      <c r="H2368">
        <v>38</v>
      </c>
      <c r="I2368" s="2">
        <v>53.92</v>
      </c>
      <c r="J2368" s="2">
        <v>26.3</v>
      </c>
      <c r="K2368" s="2">
        <v>2048.96</v>
      </c>
      <c r="L2368" s="2">
        <v>999.4</v>
      </c>
      <c r="M2368" s="2">
        <v>1049.56</v>
      </c>
      <c r="N2368">
        <v>3</v>
      </c>
      <c r="P2368" t="str">
        <f>TRIM(Table1[[#This Row],[country]])</f>
        <v>UK</v>
      </c>
    </row>
    <row r="2369" spans="1:16" x14ac:dyDescent="0.3">
      <c r="A2369" s="1">
        <v>38324</v>
      </c>
      <c r="B2369">
        <v>10351</v>
      </c>
      <c r="C2369">
        <v>324</v>
      </c>
      <c r="D2369" t="s">
        <v>211</v>
      </c>
      <c r="E2369" t="s">
        <v>133</v>
      </c>
      <c r="F2369" t="s">
        <v>83</v>
      </c>
      <c r="G2369" t="s">
        <v>91</v>
      </c>
      <c r="H2369">
        <v>34</v>
      </c>
      <c r="I2369" s="2">
        <v>68.239999999999995</v>
      </c>
      <c r="J2369" s="2">
        <v>29.34</v>
      </c>
      <c r="K2369" s="2">
        <v>2320.16</v>
      </c>
      <c r="L2369" s="2">
        <v>997.56</v>
      </c>
      <c r="M2369" s="2">
        <v>1322.6</v>
      </c>
      <c r="N2369">
        <v>3</v>
      </c>
      <c r="P2369" t="str">
        <f>TRIM(Table1[[#This Row],[country]])</f>
        <v>UK</v>
      </c>
    </row>
    <row r="2370" spans="1:16" x14ac:dyDescent="0.3">
      <c r="A2370" s="1">
        <v>38325</v>
      </c>
      <c r="B2370">
        <v>10354</v>
      </c>
      <c r="C2370">
        <v>323</v>
      </c>
      <c r="D2370" t="s">
        <v>158</v>
      </c>
      <c r="E2370" t="s">
        <v>159</v>
      </c>
      <c r="F2370" t="s">
        <v>102</v>
      </c>
      <c r="G2370" t="s">
        <v>103</v>
      </c>
      <c r="H2370">
        <v>42</v>
      </c>
      <c r="I2370" s="2">
        <v>84.22</v>
      </c>
      <c r="J2370" s="2">
        <v>48.81</v>
      </c>
      <c r="K2370" s="2">
        <v>3537.24</v>
      </c>
      <c r="L2370" s="2">
        <v>2050.02</v>
      </c>
      <c r="M2370" s="2">
        <v>1487.22</v>
      </c>
      <c r="N2370">
        <v>3</v>
      </c>
      <c r="P2370" t="str">
        <f>TRIM(Table1[[#This Row],[country]])</f>
        <v>New Zealand</v>
      </c>
    </row>
    <row r="2371" spans="1:16" x14ac:dyDescent="0.3">
      <c r="A2371" s="1">
        <v>38325</v>
      </c>
      <c r="B2371">
        <v>10354</v>
      </c>
      <c r="C2371">
        <v>323</v>
      </c>
      <c r="D2371" t="s">
        <v>158</v>
      </c>
      <c r="E2371" t="s">
        <v>159</v>
      </c>
      <c r="F2371" t="s">
        <v>102</v>
      </c>
      <c r="G2371" t="s">
        <v>104</v>
      </c>
      <c r="H2371">
        <v>20</v>
      </c>
      <c r="I2371" s="2">
        <v>95.15</v>
      </c>
      <c r="J2371" s="2">
        <v>68.989999999999995</v>
      </c>
      <c r="K2371" s="2">
        <v>1903</v>
      </c>
      <c r="L2371" s="2">
        <v>1379.8</v>
      </c>
      <c r="M2371" s="2">
        <v>523.20000000000005</v>
      </c>
      <c r="N2371">
        <v>3</v>
      </c>
      <c r="P2371" t="str">
        <f>TRIM(Table1[[#This Row],[country]])</f>
        <v>New Zealand</v>
      </c>
    </row>
    <row r="2372" spans="1:16" x14ac:dyDescent="0.3">
      <c r="A2372" s="1">
        <v>38325</v>
      </c>
      <c r="B2372">
        <v>10354</v>
      </c>
      <c r="C2372">
        <v>323</v>
      </c>
      <c r="D2372" t="s">
        <v>158</v>
      </c>
      <c r="E2372" t="s">
        <v>159</v>
      </c>
      <c r="F2372" t="s">
        <v>102</v>
      </c>
      <c r="G2372" t="s">
        <v>105</v>
      </c>
      <c r="H2372">
        <v>42</v>
      </c>
      <c r="I2372" s="2">
        <v>178.17</v>
      </c>
      <c r="J2372" s="2">
        <v>91.02</v>
      </c>
      <c r="K2372" s="2">
        <v>7483.14</v>
      </c>
      <c r="L2372" s="2">
        <v>3822.84</v>
      </c>
      <c r="M2372" s="2">
        <v>3660.3</v>
      </c>
      <c r="N2372">
        <v>3</v>
      </c>
      <c r="P2372" t="str">
        <f>TRIM(Table1[[#This Row],[country]])</f>
        <v>New Zealand</v>
      </c>
    </row>
    <row r="2373" spans="1:16" x14ac:dyDescent="0.3">
      <c r="A2373" s="1">
        <v>38325</v>
      </c>
      <c r="B2373">
        <v>10354</v>
      </c>
      <c r="C2373">
        <v>323</v>
      </c>
      <c r="D2373" t="s">
        <v>158</v>
      </c>
      <c r="E2373" t="s">
        <v>159</v>
      </c>
      <c r="F2373" t="s">
        <v>29</v>
      </c>
      <c r="G2373" t="s">
        <v>112</v>
      </c>
      <c r="H2373">
        <v>31</v>
      </c>
      <c r="I2373" s="2">
        <v>157.6</v>
      </c>
      <c r="J2373" s="2">
        <v>95.34</v>
      </c>
      <c r="K2373" s="2">
        <v>4885.6000000000004</v>
      </c>
      <c r="L2373" s="2">
        <v>2955.54</v>
      </c>
      <c r="M2373" s="2">
        <v>1930.06</v>
      </c>
      <c r="N2373">
        <v>3</v>
      </c>
      <c r="P2373" t="str">
        <f>TRIM(Table1[[#This Row],[country]])</f>
        <v>New Zealand</v>
      </c>
    </row>
    <row r="2374" spans="1:16" x14ac:dyDescent="0.3">
      <c r="A2374" s="1">
        <v>38325</v>
      </c>
      <c r="B2374">
        <v>10354</v>
      </c>
      <c r="C2374">
        <v>323</v>
      </c>
      <c r="D2374" t="s">
        <v>158</v>
      </c>
      <c r="E2374" t="s">
        <v>159</v>
      </c>
      <c r="F2374" t="s">
        <v>102</v>
      </c>
      <c r="G2374" t="s">
        <v>106</v>
      </c>
      <c r="H2374">
        <v>35</v>
      </c>
      <c r="I2374" s="2">
        <v>141.58000000000001</v>
      </c>
      <c r="J2374" s="2">
        <v>66.27</v>
      </c>
      <c r="K2374" s="2">
        <v>4955.3</v>
      </c>
      <c r="L2374" s="2">
        <v>2319.4499999999998</v>
      </c>
      <c r="M2374" s="2">
        <v>2635.85</v>
      </c>
      <c r="N2374">
        <v>3</v>
      </c>
      <c r="P2374" t="str">
        <f>TRIM(Table1[[#This Row],[country]])</f>
        <v>New Zealand</v>
      </c>
    </row>
    <row r="2375" spans="1:16" x14ac:dyDescent="0.3">
      <c r="A2375" s="1">
        <v>38325</v>
      </c>
      <c r="B2375">
        <v>10354</v>
      </c>
      <c r="C2375">
        <v>323</v>
      </c>
      <c r="D2375" t="s">
        <v>158</v>
      </c>
      <c r="E2375" t="s">
        <v>159</v>
      </c>
      <c r="F2375" t="s">
        <v>29</v>
      </c>
      <c r="G2375" t="s">
        <v>113</v>
      </c>
      <c r="H2375">
        <v>29</v>
      </c>
      <c r="I2375" s="2">
        <v>98.65</v>
      </c>
      <c r="J2375" s="2">
        <v>75.16</v>
      </c>
      <c r="K2375" s="2">
        <v>2860.85</v>
      </c>
      <c r="L2375" s="2">
        <v>2179.64</v>
      </c>
      <c r="M2375" s="2">
        <v>681.21</v>
      </c>
      <c r="N2375">
        <v>3</v>
      </c>
      <c r="P2375" t="str">
        <f>TRIM(Table1[[#This Row],[country]])</f>
        <v>New Zealand</v>
      </c>
    </row>
    <row r="2376" spans="1:16" x14ac:dyDescent="0.3">
      <c r="A2376" s="1">
        <v>38325</v>
      </c>
      <c r="B2376">
        <v>10354</v>
      </c>
      <c r="C2376">
        <v>323</v>
      </c>
      <c r="D2376" t="s">
        <v>158</v>
      </c>
      <c r="E2376" t="s">
        <v>159</v>
      </c>
      <c r="F2376" t="s">
        <v>29</v>
      </c>
      <c r="G2376" t="s">
        <v>114</v>
      </c>
      <c r="H2376">
        <v>23</v>
      </c>
      <c r="I2376" s="2">
        <v>76.61</v>
      </c>
      <c r="J2376" s="2">
        <v>31.92</v>
      </c>
      <c r="K2376" s="2">
        <v>1762.03</v>
      </c>
      <c r="L2376" s="2">
        <v>734.16</v>
      </c>
      <c r="M2376" s="2">
        <v>1027.8699999999999</v>
      </c>
      <c r="N2376">
        <v>3</v>
      </c>
      <c r="P2376" t="str">
        <f>TRIM(Table1[[#This Row],[country]])</f>
        <v>New Zealand</v>
      </c>
    </row>
    <row r="2377" spans="1:16" x14ac:dyDescent="0.3">
      <c r="A2377" s="1">
        <v>38325</v>
      </c>
      <c r="B2377">
        <v>10354</v>
      </c>
      <c r="C2377">
        <v>323</v>
      </c>
      <c r="D2377" t="s">
        <v>158</v>
      </c>
      <c r="E2377" t="s">
        <v>159</v>
      </c>
      <c r="F2377" t="s">
        <v>29</v>
      </c>
      <c r="G2377" t="s">
        <v>115</v>
      </c>
      <c r="H2377">
        <v>28</v>
      </c>
      <c r="I2377" s="2">
        <v>100.19</v>
      </c>
      <c r="J2377" s="2">
        <v>58.73</v>
      </c>
      <c r="K2377" s="2">
        <v>2805.32</v>
      </c>
      <c r="L2377" s="2">
        <v>1644.44</v>
      </c>
      <c r="M2377" s="2">
        <v>1160.8800000000001</v>
      </c>
      <c r="N2377">
        <v>3</v>
      </c>
      <c r="P2377" t="str">
        <f>TRIM(Table1[[#This Row],[country]])</f>
        <v>New Zealand</v>
      </c>
    </row>
    <row r="2378" spans="1:16" x14ac:dyDescent="0.3">
      <c r="A2378" s="1">
        <v>38325</v>
      </c>
      <c r="B2378">
        <v>10354</v>
      </c>
      <c r="C2378">
        <v>323</v>
      </c>
      <c r="D2378" t="s">
        <v>158</v>
      </c>
      <c r="E2378" t="s">
        <v>159</v>
      </c>
      <c r="F2378" t="s">
        <v>29</v>
      </c>
      <c r="G2378" t="s">
        <v>116</v>
      </c>
      <c r="H2378">
        <v>21</v>
      </c>
      <c r="I2378" s="2">
        <v>76.23</v>
      </c>
      <c r="J2378" s="2">
        <v>53.9</v>
      </c>
      <c r="K2378" s="2">
        <v>1600.83</v>
      </c>
      <c r="L2378" s="2">
        <v>1131.9000000000001</v>
      </c>
      <c r="M2378" s="2">
        <v>468.93</v>
      </c>
      <c r="N2378">
        <v>3</v>
      </c>
      <c r="P2378" t="str">
        <f>TRIM(Table1[[#This Row],[country]])</f>
        <v>New Zealand</v>
      </c>
    </row>
    <row r="2379" spans="1:16" x14ac:dyDescent="0.3">
      <c r="A2379" s="1">
        <v>38325</v>
      </c>
      <c r="B2379">
        <v>10354</v>
      </c>
      <c r="C2379">
        <v>323</v>
      </c>
      <c r="D2379" t="s">
        <v>158</v>
      </c>
      <c r="E2379" t="s">
        <v>159</v>
      </c>
      <c r="F2379" t="s">
        <v>102</v>
      </c>
      <c r="G2379" t="s">
        <v>107</v>
      </c>
      <c r="H2379">
        <v>28</v>
      </c>
      <c r="I2379" s="2">
        <v>49.06</v>
      </c>
      <c r="J2379" s="2">
        <v>24.23</v>
      </c>
      <c r="K2379" s="2">
        <v>1373.68</v>
      </c>
      <c r="L2379" s="2">
        <v>678.44</v>
      </c>
      <c r="M2379" s="2">
        <v>695.24</v>
      </c>
      <c r="N2379">
        <v>3</v>
      </c>
      <c r="P2379" t="str">
        <f>TRIM(Table1[[#This Row],[country]])</f>
        <v>New Zealand</v>
      </c>
    </row>
    <row r="2380" spans="1:16" x14ac:dyDescent="0.3">
      <c r="A2380" s="1">
        <v>38325</v>
      </c>
      <c r="B2380">
        <v>10354</v>
      </c>
      <c r="C2380">
        <v>323</v>
      </c>
      <c r="D2380" t="s">
        <v>158</v>
      </c>
      <c r="E2380" t="s">
        <v>159</v>
      </c>
      <c r="F2380" t="s">
        <v>29</v>
      </c>
      <c r="G2380" t="s">
        <v>117</v>
      </c>
      <c r="H2380">
        <v>36</v>
      </c>
      <c r="I2380" s="2">
        <v>69.150000000000006</v>
      </c>
      <c r="J2380" s="2">
        <v>49.05</v>
      </c>
      <c r="K2380" s="2">
        <v>2489.4</v>
      </c>
      <c r="L2380" s="2">
        <v>1765.8</v>
      </c>
      <c r="M2380" s="2">
        <v>723.6</v>
      </c>
      <c r="N2380">
        <v>3</v>
      </c>
      <c r="P2380" t="str">
        <f>TRIM(Table1[[#This Row],[country]])</f>
        <v>New Zealand</v>
      </c>
    </row>
    <row r="2381" spans="1:16" x14ac:dyDescent="0.3">
      <c r="A2381" s="1">
        <v>38325</v>
      </c>
      <c r="B2381">
        <v>10354</v>
      </c>
      <c r="C2381">
        <v>323</v>
      </c>
      <c r="D2381" t="s">
        <v>158</v>
      </c>
      <c r="E2381" t="s">
        <v>159</v>
      </c>
      <c r="F2381" t="s">
        <v>102</v>
      </c>
      <c r="G2381" t="s">
        <v>108</v>
      </c>
      <c r="H2381">
        <v>21</v>
      </c>
      <c r="I2381" s="2">
        <v>96.92</v>
      </c>
      <c r="J2381" s="2">
        <v>60.86</v>
      </c>
      <c r="K2381" s="2">
        <v>2035.32</v>
      </c>
      <c r="L2381" s="2">
        <v>1278.06</v>
      </c>
      <c r="M2381" s="2">
        <v>757.26</v>
      </c>
      <c r="N2381">
        <v>3</v>
      </c>
      <c r="P2381" t="str">
        <f>TRIM(Table1[[#This Row],[country]])</f>
        <v>New Zealand</v>
      </c>
    </row>
    <row r="2382" spans="1:16" x14ac:dyDescent="0.3">
      <c r="A2382" s="1">
        <v>38325</v>
      </c>
      <c r="B2382">
        <v>10354</v>
      </c>
      <c r="C2382">
        <v>323</v>
      </c>
      <c r="D2382" t="s">
        <v>158</v>
      </c>
      <c r="E2382" t="s">
        <v>159</v>
      </c>
      <c r="F2382" t="s">
        <v>102</v>
      </c>
      <c r="G2382" t="s">
        <v>109</v>
      </c>
      <c r="H2382">
        <v>28</v>
      </c>
      <c r="I2382" s="2">
        <v>62.46</v>
      </c>
      <c r="J2382" s="2">
        <v>37.32</v>
      </c>
      <c r="K2382" s="2">
        <v>1748.88</v>
      </c>
      <c r="L2382" s="2">
        <v>1044.96</v>
      </c>
      <c r="M2382" s="2">
        <v>703.92</v>
      </c>
      <c r="N2382">
        <v>3</v>
      </c>
      <c r="P2382" t="str">
        <f>TRIM(Table1[[#This Row],[country]])</f>
        <v>New Zealand</v>
      </c>
    </row>
    <row r="2383" spans="1:16" x14ac:dyDescent="0.3">
      <c r="A2383" s="1">
        <v>38325</v>
      </c>
      <c r="B2383">
        <v>10353</v>
      </c>
      <c r="C2383">
        <v>447</v>
      </c>
      <c r="D2383" t="s">
        <v>212</v>
      </c>
      <c r="E2383" t="s">
        <v>14</v>
      </c>
      <c r="F2383" t="s">
        <v>83</v>
      </c>
      <c r="G2383" t="s">
        <v>85</v>
      </c>
      <c r="H2383">
        <v>27</v>
      </c>
      <c r="I2383" s="2">
        <v>71.81</v>
      </c>
      <c r="J2383" s="2">
        <v>49</v>
      </c>
      <c r="K2383" s="2">
        <v>1938.87</v>
      </c>
      <c r="L2383" s="2">
        <v>1323</v>
      </c>
      <c r="M2383" s="2">
        <v>615.87</v>
      </c>
      <c r="N2383">
        <v>3</v>
      </c>
      <c r="P2383" t="str">
        <f>TRIM(Table1[[#This Row],[country]])</f>
        <v>USA</v>
      </c>
    </row>
    <row r="2384" spans="1:16" x14ac:dyDescent="0.3">
      <c r="A2384" s="1">
        <v>38325</v>
      </c>
      <c r="B2384">
        <v>10353</v>
      </c>
      <c r="C2384">
        <v>447</v>
      </c>
      <c r="D2384" t="s">
        <v>212</v>
      </c>
      <c r="E2384" t="s">
        <v>14</v>
      </c>
      <c r="F2384" t="s">
        <v>83</v>
      </c>
      <c r="G2384" t="s">
        <v>88</v>
      </c>
      <c r="H2384">
        <v>28</v>
      </c>
      <c r="I2384" s="2">
        <v>107.23</v>
      </c>
      <c r="J2384" s="2">
        <v>66.739999999999995</v>
      </c>
      <c r="K2384" s="2">
        <v>3002.44</v>
      </c>
      <c r="L2384" s="2">
        <v>1868.72</v>
      </c>
      <c r="M2384" s="2">
        <v>1133.72</v>
      </c>
      <c r="N2384">
        <v>3</v>
      </c>
      <c r="P2384" t="str">
        <f>TRIM(Table1[[#This Row],[country]])</f>
        <v>USA</v>
      </c>
    </row>
    <row r="2385" spans="1:16" x14ac:dyDescent="0.3">
      <c r="A2385" s="1">
        <v>38325</v>
      </c>
      <c r="B2385">
        <v>10353</v>
      </c>
      <c r="C2385">
        <v>447</v>
      </c>
      <c r="D2385" t="s">
        <v>212</v>
      </c>
      <c r="E2385" t="s">
        <v>14</v>
      </c>
      <c r="F2385" t="s">
        <v>83</v>
      </c>
      <c r="G2385" t="s">
        <v>92</v>
      </c>
      <c r="H2385">
        <v>35</v>
      </c>
      <c r="I2385" s="2">
        <v>69.55</v>
      </c>
      <c r="J2385" s="2">
        <v>36.229999999999997</v>
      </c>
      <c r="K2385" s="2">
        <v>2434.25</v>
      </c>
      <c r="L2385" s="2">
        <v>1268.05</v>
      </c>
      <c r="M2385" s="2">
        <v>1166.2</v>
      </c>
      <c r="N2385">
        <v>3</v>
      </c>
      <c r="P2385" t="str">
        <f>TRIM(Table1[[#This Row],[country]])</f>
        <v>USA</v>
      </c>
    </row>
    <row r="2386" spans="1:16" x14ac:dyDescent="0.3">
      <c r="A2386" s="1">
        <v>38325</v>
      </c>
      <c r="B2386">
        <v>10353</v>
      </c>
      <c r="C2386">
        <v>447</v>
      </c>
      <c r="D2386" t="s">
        <v>212</v>
      </c>
      <c r="E2386" t="s">
        <v>14</v>
      </c>
      <c r="F2386" t="s">
        <v>102</v>
      </c>
      <c r="G2386" t="s">
        <v>110</v>
      </c>
      <c r="H2386">
        <v>46</v>
      </c>
      <c r="I2386" s="2">
        <v>86.9</v>
      </c>
      <c r="J2386" s="2">
        <v>66.92</v>
      </c>
      <c r="K2386" s="2">
        <v>3997.4</v>
      </c>
      <c r="L2386" s="2">
        <v>3078.32</v>
      </c>
      <c r="M2386" s="2">
        <v>919.08</v>
      </c>
      <c r="N2386">
        <v>3</v>
      </c>
      <c r="P2386" t="str">
        <f>TRIM(Table1[[#This Row],[country]])</f>
        <v>USA</v>
      </c>
    </row>
    <row r="2387" spans="1:16" x14ac:dyDescent="0.3">
      <c r="A2387" s="1">
        <v>38325</v>
      </c>
      <c r="B2387">
        <v>10353</v>
      </c>
      <c r="C2387">
        <v>447</v>
      </c>
      <c r="D2387" t="s">
        <v>212</v>
      </c>
      <c r="E2387" t="s">
        <v>14</v>
      </c>
      <c r="F2387" t="s">
        <v>15</v>
      </c>
      <c r="G2387" t="s">
        <v>93</v>
      </c>
      <c r="H2387">
        <v>40</v>
      </c>
      <c r="I2387" s="2">
        <v>68.099999999999994</v>
      </c>
      <c r="J2387" s="2">
        <v>33.020000000000003</v>
      </c>
      <c r="K2387" s="2">
        <v>2724</v>
      </c>
      <c r="L2387" s="2">
        <v>1320.8</v>
      </c>
      <c r="M2387" s="2">
        <v>1403.2</v>
      </c>
      <c r="N2387">
        <v>3</v>
      </c>
      <c r="P2387" t="str">
        <f>TRIM(Table1[[#This Row],[country]])</f>
        <v>USA</v>
      </c>
    </row>
    <row r="2388" spans="1:16" x14ac:dyDescent="0.3">
      <c r="A2388" s="1">
        <v>38325</v>
      </c>
      <c r="B2388">
        <v>10353</v>
      </c>
      <c r="C2388">
        <v>447</v>
      </c>
      <c r="D2388" t="s">
        <v>212</v>
      </c>
      <c r="E2388" t="s">
        <v>14</v>
      </c>
      <c r="F2388" t="s">
        <v>15</v>
      </c>
      <c r="G2388" t="s">
        <v>94</v>
      </c>
      <c r="H2388">
        <v>40</v>
      </c>
      <c r="I2388" s="2">
        <v>35.78</v>
      </c>
      <c r="J2388" s="2">
        <v>27.06</v>
      </c>
      <c r="K2388" s="2">
        <v>1431.2</v>
      </c>
      <c r="L2388" s="2">
        <v>1082.4000000000001</v>
      </c>
      <c r="M2388" s="2">
        <v>348.8</v>
      </c>
      <c r="N2388">
        <v>3</v>
      </c>
      <c r="P2388" t="str">
        <f>TRIM(Table1[[#This Row],[country]])</f>
        <v>USA</v>
      </c>
    </row>
    <row r="2389" spans="1:16" x14ac:dyDescent="0.3">
      <c r="A2389" s="1">
        <v>38325</v>
      </c>
      <c r="B2389">
        <v>10353</v>
      </c>
      <c r="C2389">
        <v>447</v>
      </c>
      <c r="D2389" t="s">
        <v>212</v>
      </c>
      <c r="E2389" t="s">
        <v>14</v>
      </c>
      <c r="F2389" t="s">
        <v>83</v>
      </c>
      <c r="G2389" t="s">
        <v>95</v>
      </c>
      <c r="H2389">
        <v>39</v>
      </c>
      <c r="I2389" s="2">
        <v>73.069999999999993</v>
      </c>
      <c r="J2389" s="2">
        <v>51.15</v>
      </c>
      <c r="K2389" s="2">
        <v>2849.73</v>
      </c>
      <c r="L2389" s="2">
        <v>1994.85</v>
      </c>
      <c r="M2389" s="2">
        <v>854.88</v>
      </c>
      <c r="N2389">
        <v>3</v>
      </c>
      <c r="P2389" t="str">
        <f>TRIM(Table1[[#This Row],[country]])</f>
        <v>USA</v>
      </c>
    </row>
    <row r="2390" spans="1:16" x14ac:dyDescent="0.3">
      <c r="A2390" s="1">
        <v>38325</v>
      </c>
      <c r="B2390">
        <v>10353</v>
      </c>
      <c r="C2390">
        <v>447</v>
      </c>
      <c r="D2390" t="s">
        <v>212</v>
      </c>
      <c r="E2390" t="s">
        <v>14</v>
      </c>
      <c r="F2390" t="s">
        <v>83</v>
      </c>
      <c r="G2390" t="s">
        <v>98</v>
      </c>
      <c r="H2390">
        <v>48</v>
      </c>
      <c r="I2390" s="2">
        <v>98.48</v>
      </c>
      <c r="J2390" s="2">
        <v>59.33</v>
      </c>
      <c r="K2390" s="2">
        <v>4727.04</v>
      </c>
      <c r="L2390" s="2">
        <v>2847.84</v>
      </c>
      <c r="M2390" s="2">
        <v>1879.2</v>
      </c>
      <c r="N2390">
        <v>3</v>
      </c>
      <c r="P2390" t="str">
        <f>TRIM(Table1[[#This Row],[country]])</f>
        <v>USA</v>
      </c>
    </row>
    <row r="2391" spans="1:16" x14ac:dyDescent="0.3">
      <c r="A2391" s="1">
        <v>38325</v>
      </c>
      <c r="B2391">
        <v>10353</v>
      </c>
      <c r="C2391">
        <v>447</v>
      </c>
      <c r="D2391" t="s">
        <v>212</v>
      </c>
      <c r="E2391" t="s">
        <v>14</v>
      </c>
      <c r="F2391" t="s">
        <v>83</v>
      </c>
      <c r="G2391" t="s">
        <v>99</v>
      </c>
      <c r="H2391">
        <v>43</v>
      </c>
      <c r="I2391" s="2">
        <v>74.400000000000006</v>
      </c>
      <c r="J2391" s="2">
        <v>54.4</v>
      </c>
      <c r="K2391" s="2">
        <v>3199.2</v>
      </c>
      <c r="L2391" s="2">
        <v>2339.1999999999998</v>
      </c>
      <c r="M2391" s="2">
        <v>860</v>
      </c>
      <c r="N2391">
        <v>3</v>
      </c>
      <c r="P2391" t="str">
        <f>TRIM(Table1[[#This Row],[country]])</f>
        <v>USA</v>
      </c>
    </row>
    <row r="2392" spans="1:16" x14ac:dyDescent="0.3">
      <c r="A2392" s="1">
        <v>38328</v>
      </c>
      <c r="B2392">
        <v>10355</v>
      </c>
      <c r="C2392">
        <v>141</v>
      </c>
      <c r="D2392" t="s">
        <v>47</v>
      </c>
      <c r="E2392" t="s">
        <v>48</v>
      </c>
      <c r="F2392" t="s">
        <v>29</v>
      </c>
      <c r="G2392" t="s">
        <v>118</v>
      </c>
      <c r="H2392">
        <v>23</v>
      </c>
      <c r="I2392" s="2">
        <v>117.59</v>
      </c>
      <c r="J2392" s="2">
        <v>73.489999999999995</v>
      </c>
      <c r="K2392" s="2">
        <v>2704.57</v>
      </c>
      <c r="L2392" s="2">
        <v>1690.27</v>
      </c>
      <c r="M2392" s="2">
        <v>1014.3</v>
      </c>
      <c r="N2392">
        <v>16</v>
      </c>
      <c r="P2392" t="str">
        <f>TRIM(Table1[[#This Row],[country]])</f>
        <v>Spain</v>
      </c>
    </row>
    <row r="2393" spans="1:16" x14ac:dyDescent="0.3">
      <c r="A2393" s="1">
        <v>38328</v>
      </c>
      <c r="B2393">
        <v>10355</v>
      </c>
      <c r="C2393">
        <v>141</v>
      </c>
      <c r="D2393" t="s">
        <v>47</v>
      </c>
      <c r="E2393" t="s">
        <v>48</v>
      </c>
      <c r="F2393" t="s">
        <v>102</v>
      </c>
      <c r="G2393" t="s">
        <v>119</v>
      </c>
      <c r="H2393">
        <v>31</v>
      </c>
      <c r="I2393" s="2">
        <v>60.3</v>
      </c>
      <c r="J2393" s="2">
        <v>32.950000000000003</v>
      </c>
      <c r="K2393" s="2">
        <v>1869.3</v>
      </c>
      <c r="L2393" s="2">
        <v>1021.45</v>
      </c>
      <c r="M2393" s="2">
        <v>847.85</v>
      </c>
      <c r="N2393">
        <v>16</v>
      </c>
      <c r="P2393" t="str">
        <f>TRIM(Table1[[#This Row],[country]])</f>
        <v>Spain</v>
      </c>
    </row>
    <row r="2394" spans="1:16" x14ac:dyDescent="0.3">
      <c r="A2394" s="1">
        <v>38328</v>
      </c>
      <c r="B2394">
        <v>10355</v>
      </c>
      <c r="C2394">
        <v>141</v>
      </c>
      <c r="D2394" t="s">
        <v>47</v>
      </c>
      <c r="E2394" t="s">
        <v>48</v>
      </c>
      <c r="F2394" t="s">
        <v>29</v>
      </c>
      <c r="G2394" t="s">
        <v>120</v>
      </c>
      <c r="H2394">
        <v>25</v>
      </c>
      <c r="I2394" s="2">
        <v>124.99</v>
      </c>
      <c r="J2394" s="2">
        <v>69.930000000000007</v>
      </c>
      <c r="K2394" s="2">
        <v>3124.75</v>
      </c>
      <c r="L2394" s="2">
        <v>1748.25</v>
      </c>
      <c r="M2394" s="2">
        <v>1376.5</v>
      </c>
      <c r="N2394">
        <v>16</v>
      </c>
      <c r="P2394" t="str">
        <f>TRIM(Table1[[#This Row],[country]])</f>
        <v>Spain</v>
      </c>
    </row>
    <row r="2395" spans="1:16" x14ac:dyDescent="0.3">
      <c r="A2395" s="1">
        <v>38328</v>
      </c>
      <c r="B2395">
        <v>10355</v>
      </c>
      <c r="C2395">
        <v>141</v>
      </c>
      <c r="D2395" t="s">
        <v>47</v>
      </c>
      <c r="E2395" t="s">
        <v>48</v>
      </c>
      <c r="F2395" t="s">
        <v>102</v>
      </c>
      <c r="G2395" t="s">
        <v>121</v>
      </c>
      <c r="H2395">
        <v>41</v>
      </c>
      <c r="I2395" s="2">
        <v>56.1</v>
      </c>
      <c r="J2395" s="2">
        <v>47.1</v>
      </c>
      <c r="K2395" s="2">
        <v>2300.1</v>
      </c>
      <c r="L2395" s="2">
        <v>1931.1</v>
      </c>
      <c r="M2395" s="2">
        <v>369</v>
      </c>
      <c r="N2395">
        <v>16</v>
      </c>
      <c r="P2395" t="str">
        <f>TRIM(Table1[[#This Row],[country]])</f>
        <v>Spain</v>
      </c>
    </row>
    <row r="2396" spans="1:16" x14ac:dyDescent="0.3">
      <c r="A2396" s="1">
        <v>38328</v>
      </c>
      <c r="B2396">
        <v>10355</v>
      </c>
      <c r="C2396">
        <v>141</v>
      </c>
      <c r="D2396" t="s">
        <v>47</v>
      </c>
      <c r="E2396" t="s">
        <v>48</v>
      </c>
      <c r="F2396" t="s">
        <v>29</v>
      </c>
      <c r="G2396" t="s">
        <v>132</v>
      </c>
      <c r="H2396">
        <v>36</v>
      </c>
      <c r="I2396" s="2">
        <v>37.380000000000003</v>
      </c>
      <c r="J2396" s="2">
        <v>16.239999999999998</v>
      </c>
      <c r="K2396" s="2">
        <v>1345.68</v>
      </c>
      <c r="L2396" s="2">
        <v>584.64</v>
      </c>
      <c r="M2396" s="2">
        <v>761.04</v>
      </c>
      <c r="N2396">
        <v>16</v>
      </c>
      <c r="P2396" t="str">
        <f>TRIM(Table1[[#This Row],[country]])</f>
        <v>Spain</v>
      </c>
    </row>
    <row r="2397" spans="1:16" x14ac:dyDescent="0.3">
      <c r="A2397" s="1">
        <v>38328</v>
      </c>
      <c r="B2397">
        <v>10355</v>
      </c>
      <c r="C2397">
        <v>141</v>
      </c>
      <c r="D2397" t="s">
        <v>47</v>
      </c>
      <c r="E2397" t="s">
        <v>48</v>
      </c>
      <c r="F2397" t="s">
        <v>29</v>
      </c>
      <c r="G2397" t="s">
        <v>122</v>
      </c>
      <c r="H2397">
        <v>44</v>
      </c>
      <c r="I2397" s="2">
        <v>60.62</v>
      </c>
      <c r="J2397" s="2">
        <v>38.58</v>
      </c>
      <c r="K2397" s="2">
        <v>2667.28</v>
      </c>
      <c r="L2397" s="2">
        <v>1697.52</v>
      </c>
      <c r="M2397" s="2">
        <v>969.76</v>
      </c>
      <c r="N2397">
        <v>16</v>
      </c>
      <c r="P2397" t="str">
        <f>TRIM(Table1[[#This Row],[country]])</f>
        <v>Spain</v>
      </c>
    </row>
    <row r="2398" spans="1:16" x14ac:dyDescent="0.3">
      <c r="A2398" s="1">
        <v>38328</v>
      </c>
      <c r="B2398">
        <v>10355</v>
      </c>
      <c r="C2398">
        <v>141</v>
      </c>
      <c r="D2398" t="s">
        <v>47</v>
      </c>
      <c r="E2398" t="s">
        <v>48</v>
      </c>
      <c r="F2398" t="s">
        <v>29</v>
      </c>
      <c r="G2398" t="s">
        <v>123</v>
      </c>
      <c r="H2398">
        <v>32</v>
      </c>
      <c r="I2398" s="2">
        <v>137.62</v>
      </c>
      <c r="J2398" s="2">
        <v>98.3</v>
      </c>
      <c r="K2398" s="2">
        <v>4403.84</v>
      </c>
      <c r="L2398" s="2">
        <v>3145.6</v>
      </c>
      <c r="M2398" s="2">
        <v>1258.24</v>
      </c>
      <c r="N2398">
        <v>16</v>
      </c>
      <c r="P2398" t="str">
        <f>TRIM(Table1[[#This Row],[country]])</f>
        <v>Spain</v>
      </c>
    </row>
    <row r="2399" spans="1:16" x14ac:dyDescent="0.3">
      <c r="A2399" s="1">
        <v>38328</v>
      </c>
      <c r="B2399">
        <v>10355</v>
      </c>
      <c r="C2399">
        <v>141</v>
      </c>
      <c r="D2399" t="s">
        <v>47</v>
      </c>
      <c r="E2399" t="s">
        <v>48</v>
      </c>
      <c r="F2399" t="s">
        <v>29</v>
      </c>
      <c r="G2399" t="s">
        <v>124</v>
      </c>
      <c r="H2399">
        <v>28</v>
      </c>
      <c r="I2399" s="2">
        <v>75.180000000000007</v>
      </c>
      <c r="J2399" s="2">
        <v>32.33</v>
      </c>
      <c r="K2399" s="2">
        <v>2105.04</v>
      </c>
      <c r="L2399" s="2">
        <v>905.24</v>
      </c>
      <c r="M2399" s="2">
        <v>1199.8</v>
      </c>
      <c r="N2399">
        <v>16</v>
      </c>
      <c r="P2399" t="str">
        <f>TRIM(Table1[[#This Row],[country]])</f>
        <v>Spain</v>
      </c>
    </row>
    <row r="2400" spans="1:16" x14ac:dyDescent="0.3">
      <c r="A2400" s="1">
        <v>38328</v>
      </c>
      <c r="B2400">
        <v>10355</v>
      </c>
      <c r="C2400">
        <v>141</v>
      </c>
      <c r="D2400" t="s">
        <v>47</v>
      </c>
      <c r="E2400" t="s">
        <v>48</v>
      </c>
      <c r="F2400" t="s">
        <v>102</v>
      </c>
      <c r="G2400" t="s">
        <v>125</v>
      </c>
      <c r="H2400">
        <v>38</v>
      </c>
      <c r="I2400" s="2">
        <v>32.99</v>
      </c>
      <c r="J2400" s="2">
        <v>24.14</v>
      </c>
      <c r="K2400" s="2">
        <v>1253.6199999999999</v>
      </c>
      <c r="L2400" s="2">
        <v>917.32</v>
      </c>
      <c r="M2400" s="2">
        <v>336.3</v>
      </c>
      <c r="N2400">
        <v>16</v>
      </c>
      <c r="P2400" t="str">
        <f>TRIM(Table1[[#This Row],[country]])</f>
        <v>Spain</v>
      </c>
    </row>
    <row r="2401" spans="1:16" x14ac:dyDescent="0.3">
      <c r="A2401" s="1">
        <v>38328</v>
      </c>
      <c r="B2401">
        <v>10355</v>
      </c>
      <c r="C2401">
        <v>141</v>
      </c>
      <c r="D2401" t="s">
        <v>47</v>
      </c>
      <c r="E2401" t="s">
        <v>48</v>
      </c>
      <c r="F2401" t="s">
        <v>102</v>
      </c>
      <c r="G2401" t="s">
        <v>126</v>
      </c>
      <c r="H2401">
        <v>40</v>
      </c>
      <c r="I2401" s="2">
        <v>93.89</v>
      </c>
      <c r="J2401" s="2">
        <v>56.13</v>
      </c>
      <c r="K2401" s="2">
        <v>3755.6</v>
      </c>
      <c r="L2401" s="2">
        <v>2245.1999999999998</v>
      </c>
      <c r="M2401" s="2">
        <v>1510.4</v>
      </c>
      <c r="N2401">
        <v>16</v>
      </c>
      <c r="P2401" t="str">
        <f>TRIM(Table1[[#This Row],[country]])</f>
        <v>Spain</v>
      </c>
    </row>
    <row r="2402" spans="1:16" x14ac:dyDescent="0.3">
      <c r="A2402" s="1">
        <v>38330</v>
      </c>
      <c r="B2402">
        <v>10356</v>
      </c>
      <c r="C2402">
        <v>250</v>
      </c>
      <c r="D2402" t="s">
        <v>160</v>
      </c>
      <c r="E2402" t="s">
        <v>144</v>
      </c>
      <c r="F2402" t="s">
        <v>29</v>
      </c>
      <c r="G2402" t="s">
        <v>128</v>
      </c>
      <c r="H2402">
        <v>43</v>
      </c>
      <c r="I2402" s="2">
        <v>120.31</v>
      </c>
      <c r="J2402" s="2">
        <v>83.51</v>
      </c>
      <c r="K2402" s="2">
        <v>5173.33</v>
      </c>
      <c r="L2402" s="2">
        <v>3590.93</v>
      </c>
      <c r="M2402" s="2">
        <v>1582.4</v>
      </c>
      <c r="N2402">
        <v>2</v>
      </c>
      <c r="P2402" t="str">
        <f>TRIM(Table1[[#This Row],[country]])</f>
        <v>France</v>
      </c>
    </row>
    <row r="2403" spans="1:16" x14ac:dyDescent="0.3">
      <c r="A2403" s="1">
        <v>38330</v>
      </c>
      <c r="B2403">
        <v>10356</v>
      </c>
      <c r="C2403">
        <v>250</v>
      </c>
      <c r="D2403" t="s">
        <v>160</v>
      </c>
      <c r="E2403" t="s">
        <v>144</v>
      </c>
      <c r="F2403" t="s">
        <v>15</v>
      </c>
      <c r="G2403" t="s">
        <v>25</v>
      </c>
      <c r="H2403">
        <v>50</v>
      </c>
      <c r="I2403" s="2">
        <v>82.19</v>
      </c>
      <c r="J2403" s="2">
        <v>60.62</v>
      </c>
      <c r="K2403" s="2">
        <v>4109.5</v>
      </c>
      <c r="L2403" s="2">
        <v>3031</v>
      </c>
      <c r="M2403" s="2">
        <v>1078.5</v>
      </c>
      <c r="N2403">
        <v>2</v>
      </c>
      <c r="P2403" t="str">
        <f>TRIM(Table1[[#This Row],[country]])</f>
        <v>France</v>
      </c>
    </row>
    <row r="2404" spans="1:16" x14ac:dyDescent="0.3">
      <c r="A2404" s="1">
        <v>38330</v>
      </c>
      <c r="B2404">
        <v>10356</v>
      </c>
      <c r="C2404">
        <v>250</v>
      </c>
      <c r="D2404" t="s">
        <v>160</v>
      </c>
      <c r="E2404" t="s">
        <v>144</v>
      </c>
      <c r="F2404" t="s">
        <v>15</v>
      </c>
      <c r="G2404" t="s">
        <v>26</v>
      </c>
      <c r="H2404">
        <v>22</v>
      </c>
      <c r="I2404" s="2">
        <v>44.75</v>
      </c>
      <c r="J2404" s="2">
        <v>24.26</v>
      </c>
      <c r="K2404" s="2">
        <v>984.5</v>
      </c>
      <c r="L2404" s="2">
        <v>533.72</v>
      </c>
      <c r="M2404" s="2">
        <v>450.78</v>
      </c>
      <c r="N2404">
        <v>2</v>
      </c>
      <c r="P2404" t="str">
        <f>TRIM(Table1[[#This Row],[country]])</f>
        <v>France</v>
      </c>
    </row>
    <row r="2405" spans="1:16" x14ac:dyDescent="0.3">
      <c r="A2405" s="1">
        <v>38330</v>
      </c>
      <c r="B2405">
        <v>10356</v>
      </c>
      <c r="C2405">
        <v>250</v>
      </c>
      <c r="D2405" t="s">
        <v>160</v>
      </c>
      <c r="E2405" t="s">
        <v>144</v>
      </c>
      <c r="F2405" t="s">
        <v>29</v>
      </c>
      <c r="G2405" t="s">
        <v>129</v>
      </c>
      <c r="H2405">
        <v>27</v>
      </c>
      <c r="I2405" s="2">
        <v>130.87</v>
      </c>
      <c r="J2405" s="2">
        <v>93.89</v>
      </c>
      <c r="K2405" s="2">
        <v>3533.49</v>
      </c>
      <c r="L2405" s="2">
        <v>2535.0300000000002</v>
      </c>
      <c r="M2405" s="2">
        <v>998.46</v>
      </c>
      <c r="N2405">
        <v>2</v>
      </c>
      <c r="P2405" t="str">
        <f>TRIM(Table1[[#This Row],[country]])</f>
        <v>France</v>
      </c>
    </row>
    <row r="2406" spans="1:16" x14ac:dyDescent="0.3">
      <c r="A2406" s="1">
        <v>38330</v>
      </c>
      <c r="B2406">
        <v>10356</v>
      </c>
      <c r="C2406">
        <v>250</v>
      </c>
      <c r="D2406" t="s">
        <v>160</v>
      </c>
      <c r="E2406" t="s">
        <v>144</v>
      </c>
      <c r="F2406" t="s">
        <v>15</v>
      </c>
      <c r="G2406" t="s">
        <v>21</v>
      </c>
      <c r="H2406">
        <v>29</v>
      </c>
      <c r="I2406" s="2">
        <v>106.79</v>
      </c>
      <c r="J2406" s="2">
        <v>58.48</v>
      </c>
      <c r="K2406" s="2">
        <v>3096.91</v>
      </c>
      <c r="L2406" s="2">
        <v>1695.92</v>
      </c>
      <c r="M2406" s="2">
        <v>1400.99</v>
      </c>
      <c r="N2406">
        <v>2</v>
      </c>
      <c r="P2406" t="str">
        <f>TRIM(Table1[[#This Row],[country]])</f>
        <v>France</v>
      </c>
    </row>
    <row r="2407" spans="1:16" x14ac:dyDescent="0.3">
      <c r="A2407" s="1">
        <v>38330</v>
      </c>
      <c r="B2407">
        <v>10356</v>
      </c>
      <c r="C2407">
        <v>250</v>
      </c>
      <c r="D2407" t="s">
        <v>160</v>
      </c>
      <c r="E2407" t="s">
        <v>144</v>
      </c>
      <c r="F2407" t="s">
        <v>15</v>
      </c>
      <c r="G2407" t="s">
        <v>22</v>
      </c>
      <c r="H2407">
        <v>30</v>
      </c>
      <c r="I2407" s="2">
        <v>158.63</v>
      </c>
      <c r="J2407" s="2">
        <v>72.56</v>
      </c>
      <c r="K2407" s="2">
        <v>4758.8999999999996</v>
      </c>
      <c r="L2407" s="2">
        <v>2176.8000000000002</v>
      </c>
      <c r="M2407" s="2">
        <v>2582.1</v>
      </c>
      <c r="N2407">
        <v>2</v>
      </c>
      <c r="P2407" t="str">
        <f>TRIM(Table1[[#This Row],[country]])</f>
        <v>France</v>
      </c>
    </row>
    <row r="2408" spans="1:16" x14ac:dyDescent="0.3">
      <c r="A2408" s="1">
        <v>38330</v>
      </c>
      <c r="B2408">
        <v>10356</v>
      </c>
      <c r="C2408">
        <v>250</v>
      </c>
      <c r="D2408" t="s">
        <v>160</v>
      </c>
      <c r="E2408" t="s">
        <v>144</v>
      </c>
      <c r="F2408" t="s">
        <v>15</v>
      </c>
      <c r="G2408" t="s">
        <v>23</v>
      </c>
      <c r="H2408">
        <v>48</v>
      </c>
      <c r="I2408" s="2">
        <v>31.86</v>
      </c>
      <c r="J2408" s="2">
        <v>22.57</v>
      </c>
      <c r="K2408" s="2">
        <v>1529.28</v>
      </c>
      <c r="L2408" s="2">
        <v>1083.3599999999999</v>
      </c>
      <c r="M2408" s="2">
        <v>445.92</v>
      </c>
      <c r="N2408">
        <v>2</v>
      </c>
      <c r="P2408" t="str">
        <f>TRIM(Table1[[#This Row],[country]])</f>
        <v>France</v>
      </c>
    </row>
    <row r="2409" spans="1:16" x14ac:dyDescent="0.3">
      <c r="A2409" s="1">
        <v>38330</v>
      </c>
      <c r="B2409">
        <v>10356</v>
      </c>
      <c r="C2409">
        <v>250</v>
      </c>
      <c r="D2409" t="s">
        <v>160</v>
      </c>
      <c r="E2409" t="s">
        <v>144</v>
      </c>
      <c r="F2409" t="s">
        <v>15</v>
      </c>
      <c r="G2409" t="s">
        <v>24</v>
      </c>
      <c r="H2409">
        <v>26</v>
      </c>
      <c r="I2409" s="2">
        <v>42.11</v>
      </c>
      <c r="J2409" s="2">
        <v>20.61</v>
      </c>
      <c r="K2409" s="2">
        <v>1094.8599999999999</v>
      </c>
      <c r="L2409" s="2">
        <v>535.86</v>
      </c>
      <c r="M2409" s="2">
        <v>559</v>
      </c>
      <c r="N2409">
        <v>2</v>
      </c>
      <c r="P2409" t="str">
        <f>TRIM(Table1[[#This Row],[country]])</f>
        <v>France</v>
      </c>
    </row>
    <row r="2410" spans="1:16" x14ac:dyDescent="0.3">
      <c r="A2410" s="1">
        <v>38330</v>
      </c>
      <c r="B2410">
        <v>10356</v>
      </c>
      <c r="C2410">
        <v>250</v>
      </c>
      <c r="D2410" t="s">
        <v>160</v>
      </c>
      <c r="E2410" t="s">
        <v>144</v>
      </c>
      <c r="F2410" t="s">
        <v>102</v>
      </c>
      <c r="G2410" t="s">
        <v>127</v>
      </c>
      <c r="H2410">
        <v>26</v>
      </c>
      <c r="I2410" s="2">
        <v>78.11</v>
      </c>
      <c r="J2410" s="2">
        <v>34.17</v>
      </c>
      <c r="K2410" s="2">
        <v>2030.86</v>
      </c>
      <c r="L2410" s="2">
        <v>888.42</v>
      </c>
      <c r="M2410" s="2">
        <v>1142.44</v>
      </c>
      <c r="N2410">
        <v>2</v>
      </c>
      <c r="P2410" t="str">
        <f>TRIM(Table1[[#This Row],[country]])</f>
        <v>France</v>
      </c>
    </row>
    <row r="2411" spans="1:16" x14ac:dyDescent="0.3">
      <c r="A2411" s="1">
        <v>38331</v>
      </c>
      <c r="B2411">
        <v>10357</v>
      </c>
      <c r="C2411">
        <v>124</v>
      </c>
      <c r="D2411" t="s">
        <v>206</v>
      </c>
      <c r="E2411" t="s">
        <v>14</v>
      </c>
      <c r="F2411" t="s">
        <v>29</v>
      </c>
      <c r="G2411" t="s">
        <v>30</v>
      </c>
      <c r="H2411">
        <v>32</v>
      </c>
      <c r="I2411" s="2">
        <v>199.3</v>
      </c>
      <c r="J2411" s="2">
        <v>98.58</v>
      </c>
      <c r="K2411" s="2">
        <v>6377.6</v>
      </c>
      <c r="L2411" s="2">
        <v>3154.56</v>
      </c>
      <c r="M2411" s="2">
        <v>3223.04</v>
      </c>
      <c r="N2411">
        <v>10</v>
      </c>
      <c r="P2411" t="str">
        <f>TRIM(Table1[[#This Row],[country]])</f>
        <v>USA</v>
      </c>
    </row>
    <row r="2412" spans="1:16" x14ac:dyDescent="0.3">
      <c r="A2412" s="1">
        <v>38331</v>
      </c>
      <c r="B2412">
        <v>10357</v>
      </c>
      <c r="C2412">
        <v>124</v>
      </c>
      <c r="D2412" t="s">
        <v>206</v>
      </c>
      <c r="E2412" t="s">
        <v>14</v>
      </c>
      <c r="F2412" t="s">
        <v>29</v>
      </c>
      <c r="G2412" t="s">
        <v>31</v>
      </c>
      <c r="H2412">
        <v>43</v>
      </c>
      <c r="I2412" s="2">
        <v>135.91999999999999</v>
      </c>
      <c r="J2412" s="2">
        <v>103.42</v>
      </c>
      <c r="K2412" s="2">
        <v>5844.56</v>
      </c>
      <c r="L2412" s="2">
        <v>4447.0600000000004</v>
      </c>
      <c r="M2412" s="2">
        <v>1397.5</v>
      </c>
      <c r="N2412">
        <v>10</v>
      </c>
      <c r="P2412" t="str">
        <f>TRIM(Table1[[#This Row],[country]])</f>
        <v>USA</v>
      </c>
    </row>
    <row r="2413" spans="1:16" x14ac:dyDescent="0.3">
      <c r="A2413" s="1">
        <v>38331</v>
      </c>
      <c r="B2413">
        <v>10357</v>
      </c>
      <c r="C2413">
        <v>124</v>
      </c>
      <c r="D2413" t="s">
        <v>206</v>
      </c>
      <c r="E2413" t="s">
        <v>14</v>
      </c>
      <c r="F2413" t="s">
        <v>32</v>
      </c>
      <c r="G2413" t="s">
        <v>33</v>
      </c>
      <c r="H2413">
        <v>49</v>
      </c>
      <c r="I2413" s="2">
        <v>109.34</v>
      </c>
      <c r="J2413" s="2">
        <v>77.900000000000006</v>
      </c>
      <c r="K2413" s="2">
        <v>5357.66</v>
      </c>
      <c r="L2413" s="2">
        <v>3817.1</v>
      </c>
      <c r="M2413" s="2">
        <v>1540.56</v>
      </c>
      <c r="N2413">
        <v>10</v>
      </c>
      <c r="P2413" t="str">
        <f>TRIM(Table1[[#This Row],[country]])</f>
        <v>USA</v>
      </c>
    </row>
    <row r="2414" spans="1:16" x14ac:dyDescent="0.3">
      <c r="A2414" s="1">
        <v>38331</v>
      </c>
      <c r="B2414">
        <v>10357</v>
      </c>
      <c r="C2414">
        <v>124</v>
      </c>
      <c r="D2414" t="s">
        <v>206</v>
      </c>
      <c r="E2414" t="s">
        <v>14</v>
      </c>
      <c r="F2414" t="s">
        <v>32</v>
      </c>
      <c r="G2414" t="s">
        <v>34</v>
      </c>
      <c r="H2414">
        <v>39</v>
      </c>
      <c r="I2414" s="2">
        <v>112</v>
      </c>
      <c r="J2414" s="2">
        <v>58.33</v>
      </c>
      <c r="K2414" s="2">
        <v>4368</v>
      </c>
      <c r="L2414" s="2">
        <v>2274.87</v>
      </c>
      <c r="M2414" s="2">
        <v>2093.13</v>
      </c>
      <c r="N2414">
        <v>10</v>
      </c>
      <c r="P2414" t="str">
        <f>TRIM(Table1[[#This Row],[country]])</f>
        <v>USA</v>
      </c>
    </row>
    <row r="2415" spans="1:16" x14ac:dyDescent="0.3">
      <c r="A2415" s="1">
        <v>38331</v>
      </c>
      <c r="B2415">
        <v>10357</v>
      </c>
      <c r="C2415">
        <v>124</v>
      </c>
      <c r="D2415" t="s">
        <v>206</v>
      </c>
      <c r="E2415" t="s">
        <v>14</v>
      </c>
      <c r="F2415" t="s">
        <v>32</v>
      </c>
      <c r="G2415" t="s">
        <v>35</v>
      </c>
      <c r="H2415">
        <v>41</v>
      </c>
      <c r="I2415" s="2">
        <v>58.95</v>
      </c>
      <c r="J2415" s="2">
        <v>24.92</v>
      </c>
      <c r="K2415" s="2">
        <v>2416.9499999999998</v>
      </c>
      <c r="L2415" s="2">
        <v>1021.72</v>
      </c>
      <c r="M2415" s="2">
        <v>1395.23</v>
      </c>
      <c r="N2415">
        <v>10</v>
      </c>
      <c r="P2415" t="str">
        <f>TRIM(Table1[[#This Row],[country]])</f>
        <v>USA</v>
      </c>
    </row>
    <row r="2416" spans="1:16" x14ac:dyDescent="0.3">
      <c r="A2416" s="1">
        <v>38331</v>
      </c>
      <c r="B2416">
        <v>10357</v>
      </c>
      <c r="C2416">
        <v>124</v>
      </c>
      <c r="D2416" t="s">
        <v>206</v>
      </c>
      <c r="E2416" t="s">
        <v>14</v>
      </c>
      <c r="F2416" t="s">
        <v>15</v>
      </c>
      <c r="G2416" t="s">
        <v>36</v>
      </c>
      <c r="H2416">
        <v>41</v>
      </c>
      <c r="I2416" s="2">
        <v>91.18</v>
      </c>
      <c r="J2416" s="2">
        <v>60.78</v>
      </c>
      <c r="K2416" s="2">
        <v>3738.38</v>
      </c>
      <c r="L2416" s="2">
        <v>2491.98</v>
      </c>
      <c r="M2416" s="2">
        <v>1246.4000000000001</v>
      </c>
      <c r="N2416">
        <v>10</v>
      </c>
      <c r="P2416" t="str">
        <f>TRIM(Table1[[#This Row],[country]])</f>
        <v>USA</v>
      </c>
    </row>
    <row r="2417" spans="1:16" x14ac:dyDescent="0.3">
      <c r="A2417" s="1">
        <v>38331</v>
      </c>
      <c r="B2417">
        <v>10357</v>
      </c>
      <c r="C2417">
        <v>124</v>
      </c>
      <c r="D2417" t="s">
        <v>206</v>
      </c>
      <c r="E2417" t="s">
        <v>14</v>
      </c>
      <c r="F2417" t="s">
        <v>15</v>
      </c>
      <c r="G2417" t="s">
        <v>37</v>
      </c>
      <c r="H2417">
        <v>49</v>
      </c>
      <c r="I2417" s="2">
        <v>59.34</v>
      </c>
      <c r="J2417" s="2">
        <v>34.35</v>
      </c>
      <c r="K2417" s="2">
        <v>2907.66</v>
      </c>
      <c r="L2417" s="2">
        <v>1683.15</v>
      </c>
      <c r="M2417" s="2">
        <v>1224.51</v>
      </c>
      <c r="N2417">
        <v>10</v>
      </c>
      <c r="P2417" t="str">
        <f>TRIM(Table1[[#This Row],[country]])</f>
        <v>USA</v>
      </c>
    </row>
    <row r="2418" spans="1:16" x14ac:dyDescent="0.3">
      <c r="A2418" s="1">
        <v>38331</v>
      </c>
      <c r="B2418">
        <v>10357</v>
      </c>
      <c r="C2418">
        <v>124</v>
      </c>
      <c r="D2418" t="s">
        <v>206</v>
      </c>
      <c r="E2418" t="s">
        <v>14</v>
      </c>
      <c r="F2418" t="s">
        <v>15</v>
      </c>
      <c r="G2418" t="s">
        <v>38</v>
      </c>
      <c r="H2418">
        <v>44</v>
      </c>
      <c r="I2418" s="2">
        <v>104.72</v>
      </c>
      <c r="J2418" s="2">
        <v>60.74</v>
      </c>
      <c r="K2418" s="2">
        <v>4607.68</v>
      </c>
      <c r="L2418" s="2">
        <v>2672.56</v>
      </c>
      <c r="M2418" s="2">
        <v>1935.12</v>
      </c>
      <c r="N2418">
        <v>10</v>
      </c>
      <c r="P2418" t="str">
        <f>TRIM(Table1[[#This Row],[country]])</f>
        <v>USA</v>
      </c>
    </row>
    <row r="2419" spans="1:16" x14ac:dyDescent="0.3">
      <c r="A2419" s="1">
        <v>38331</v>
      </c>
      <c r="B2419">
        <v>10357</v>
      </c>
      <c r="C2419">
        <v>124</v>
      </c>
      <c r="D2419" t="s">
        <v>206</v>
      </c>
      <c r="E2419" t="s">
        <v>14</v>
      </c>
      <c r="F2419" t="s">
        <v>15</v>
      </c>
      <c r="G2419" t="s">
        <v>39</v>
      </c>
      <c r="H2419">
        <v>25</v>
      </c>
      <c r="I2419" s="2">
        <v>84.33</v>
      </c>
      <c r="J2419" s="2">
        <v>57.54</v>
      </c>
      <c r="K2419" s="2">
        <v>2108.25</v>
      </c>
      <c r="L2419" s="2">
        <v>1438.5</v>
      </c>
      <c r="M2419" s="2">
        <v>669.75</v>
      </c>
      <c r="N2419">
        <v>10</v>
      </c>
      <c r="P2419" t="str">
        <f>TRIM(Table1[[#This Row],[country]])</f>
        <v>USA</v>
      </c>
    </row>
    <row r="2420" spans="1:16" x14ac:dyDescent="0.3">
      <c r="A2420" s="1">
        <v>38331</v>
      </c>
      <c r="B2420">
        <v>10357</v>
      </c>
      <c r="C2420">
        <v>124</v>
      </c>
      <c r="D2420" t="s">
        <v>206</v>
      </c>
      <c r="E2420" t="s">
        <v>14</v>
      </c>
      <c r="F2420" t="s">
        <v>32</v>
      </c>
      <c r="G2420" t="s">
        <v>40</v>
      </c>
      <c r="H2420">
        <v>28</v>
      </c>
      <c r="I2420" s="2">
        <v>105.34</v>
      </c>
      <c r="J2420" s="2">
        <v>84.76</v>
      </c>
      <c r="K2420" s="2">
        <v>2949.52</v>
      </c>
      <c r="L2420" s="2">
        <v>2373.2800000000002</v>
      </c>
      <c r="M2420" s="2">
        <v>576.24</v>
      </c>
      <c r="N2420">
        <v>10</v>
      </c>
      <c r="P2420" t="str">
        <f>TRIM(Table1[[#This Row],[country]])</f>
        <v>USA</v>
      </c>
    </row>
    <row r="2421" spans="1:16" x14ac:dyDescent="0.3">
      <c r="A2421" s="1">
        <v>38331</v>
      </c>
      <c r="B2421">
        <v>10358</v>
      </c>
      <c r="C2421">
        <v>141</v>
      </c>
      <c r="D2421" t="s">
        <v>47</v>
      </c>
      <c r="E2421" t="s">
        <v>48</v>
      </c>
      <c r="F2421" t="s">
        <v>29</v>
      </c>
      <c r="G2421" t="s">
        <v>49</v>
      </c>
      <c r="H2421">
        <v>49</v>
      </c>
      <c r="I2421" s="2">
        <v>129.93</v>
      </c>
      <c r="J2421" s="2">
        <v>89.14</v>
      </c>
      <c r="K2421" s="2">
        <v>6366.57</v>
      </c>
      <c r="L2421" s="2">
        <v>4367.8599999999997</v>
      </c>
      <c r="M2421" s="2">
        <v>1998.71</v>
      </c>
      <c r="N2421">
        <v>17</v>
      </c>
      <c r="P2421" t="str">
        <f>TRIM(Table1[[#This Row],[country]])</f>
        <v>Spain</v>
      </c>
    </row>
    <row r="2422" spans="1:16" x14ac:dyDescent="0.3">
      <c r="A2422" s="1">
        <v>38331</v>
      </c>
      <c r="B2422">
        <v>10358</v>
      </c>
      <c r="C2422">
        <v>141</v>
      </c>
      <c r="D2422" t="s">
        <v>47</v>
      </c>
      <c r="E2422" t="s">
        <v>48</v>
      </c>
      <c r="F2422" t="s">
        <v>32</v>
      </c>
      <c r="G2422" t="s">
        <v>50</v>
      </c>
      <c r="H2422">
        <v>42</v>
      </c>
      <c r="I2422" s="2">
        <v>98.36</v>
      </c>
      <c r="J2422" s="2">
        <v>55.7</v>
      </c>
      <c r="K2422" s="2">
        <v>4131.12</v>
      </c>
      <c r="L2422" s="2">
        <v>2339.4</v>
      </c>
      <c r="M2422" s="2">
        <v>1791.72</v>
      </c>
      <c r="N2422">
        <v>17</v>
      </c>
      <c r="P2422" t="str">
        <f>TRIM(Table1[[#This Row],[country]])</f>
        <v>Spain</v>
      </c>
    </row>
    <row r="2423" spans="1:16" x14ac:dyDescent="0.3">
      <c r="A2423" s="1">
        <v>38331</v>
      </c>
      <c r="B2423">
        <v>10358</v>
      </c>
      <c r="C2423">
        <v>141</v>
      </c>
      <c r="D2423" t="s">
        <v>47</v>
      </c>
      <c r="E2423" t="s">
        <v>48</v>
      </c>
      <c r="F2423" t="s">
        <v>29</v>
      </c>
      <c r="G2423" t="s">
        <v>51</v>
      </c>
      <c r="H2423">
        <v>20</v>
      </c>
      <c r="I2423" s="2">
        <v>142.44999999999999</v>
      </c>
      <c r="J2423" s="2">
        <v>101.51</v>
      </c>
      <c r="K2423" s="2">
        <v>2849</v>
      </c>
      <c r="L2423" s="2">
        <v>2030.2</v>
      </c>
      <c r="M2423" s="2">
        <v>818.8</v>
      </c>
      <c r="N2423">
        <v>17</v>
      </c>
      <c r="P2423" t="str">
        <f>TRIM(Table1[[#This Row],[country]])</f>
        <v>Spain</v>
      </c>
    </row>
    <row r="2424" spans="1:16" x14ac:dyDescent="0.3">
      <c r="A2424" s="1">
        <v>38331</v>
      </c>
      <c r="B2424">
        <v>10358</v>
      </c>
      <c r="C2424">
        <v>141</v>
      </c>
      <c r="D2424" t="s">
        <v>47</v>
      </c>
      <c r="E2424" t="s">
        <v>48</v>
      </c>
      <c r="F2424" t="s">
        <v>32</v>
      </c>
      <c r="G2424" t="s">
        <v>52</v>
      </c>
      <c r="H2424">
        <v>20</v>
      </c>
      <c r="I2424" s="2">
        <v>99.41</v>
      </c>
      <c r="J2424" s="2">
        <v>74.86</v>
      </c>
      <c r="K2424" s="2">
        <v>1988.2</v>
      </c>
      <c r="L2424" s="2">
        <v>1497.2</v>
      </c>
      <c r="M2424" s="2">
        <v>491</v>
      </c>
      <c r="N2424">
        <v>17</v>
      </c>
      <c r="P2424" t="str">
        <f>TRIM(Table1[[#This Row],[country]])</f>
        <v>Spain</v>
      </c>
    </row>
    <row r="2425" spans="1:16" x14ac:dyDescent="0.3">
      <c r="A2425" s="1">
        <v>38331</v>
      </c>
      <c r="B2425">
        <v>10358</v>
      </c>
      <c r="C2425">
        <v>141</v>
      </c>
      <c r="D2425" t="s">
        <v>47</v>
      </c>
      <c r="E2425" t="s">
        <v>48</v>
      </c>
      <c r="F2425" t="s">
        <v>29</v>
      </c>
      <c r="G2425" t="s">
        <v>53</v>
      </c>
      <c r="H2425">
        <v>32</v>
      </c>
      <c r="I2425" s="2">
        <v>137.16999999999999</v>
      </c>
      <c r="J2425" s="2">
        <v>77.900000000000006</v>
      </c>
      <c r="K2425" s="2">
        <v>4389.4399999999996</v>
      </c>
      <c r="L2425" s="2">
        <v>2492.8000000000002</v>
      </c>
      <c r="M2425" s="2">
        <v>1896.64</v>
      </c>
      <c r="N2425">
        <v>17</v>
      </c>
      <c r="P2425" t="str">
        <f>TRIM(Table1[[#This Row],[country]])</f>
        <v>Spain</v>
      </c>
    </row>
    <row r="2426" spans="1:16" x14ac:dyDescent="0.3">
      <c r="A2426" s="1">
        <v>38331</v>
      </c>
      <c r="B2426">
        <v>10358</v>
      </c>
      <c r="C2426">
        <v>141</v>
      </c>
      <c r="D2426" t="s">
        <v>47</v>
      </c>
      <c r="E2426" t="s">
        <v>48</v>
      </c>
      <c r="F2426" t="s">
        <v>29</v>
      </c>
      <c r="G2426" t="s">
        <v>54</v>
      </c>
      <c r="H2426">
        <v>25</v>
      </c>
      <c r="I2426" s="2">
        <v>117.77</v>
      </c>
      <c r="J2426" s="2">
        <v>91.92</v>
      </c>
      <c r="K2426" s="2">
        <v>2944.25</v>
      </c>
      <c r="L2426" s="2">
        <v>2298</v>
      </c>
      <c r="M2426" s="2">
        <v>646.25</v>
      </c>
      <c r="N2426">
        <v>17</v>
      </c>
      <c r="P2426" t="str">
        <f>TRIM(Table1[[#This Row],[country]])</f>
        <v>Spain</v>
      </c>
    </row>
    <row r="2427" spans="1:16" x14ac:dyDescent="0.3">
      <c r="A2427" s="1">
        <v>38331</v>
      </c>
      <c r="B2427">
        <v>10358</v>
      </c>
      <c r="C2427">
        <v>141</v>
      </c>
      <c r="D2427" t="s">
        <v>47</v>
      </c>
      <c r="E2427" t="s">
        <v>48</v>
      </c>
      <c r="F2427" t="s">
        <v>15</v>
      </c>
      <c r="G2427" t="s">
        <v>41</v>
      </c>
      <c r="H2427">
        <v>30</v>
      </c>
      <c r="I2427" s="2">
        <v>46.29</v>
      </c>
      <c r="J2427" s="2">
        <v>23.14</v>
      </c>
      <c r="K2427" s="2">
        <v>1388.7</v>
      </c>
      <c r="L2427" s="2">
        <v>694.2</v>
      </c>
      <c r="M2427" s="2">
        <v>694.5</v>
      </c>
      <c r="N2427">
        <v>17</v>
      </c>
      <c r="P2427" t="str">
        <f>TRIM(Table1[[#This Row],[country]])</f>
        <v>Spain</v>
      </c>
    </row>
    <row r="2428" spans="1:16" x14ac:dyDescent="0.3">
      <c r="A2428" s="1">
        <v>38331</v>
      </c>
      <c r="B2428">
        <v>10358</v>
      </c>
      <c r="C2428">
        <v>141</v>
      </c>
      <c r="D2428" t="s">
        <v>47</v>
      </c>
      <c r="E2428" t="s">
        <v>48</v>
      </c>
      <c r="F2428" t="s">
        <v>29</v>
      </c>
      <c r="G2428" t="s">
        <v>55</v>
      </c>
      <c r="H2428">
        <v>44</v>
      </c>
      <c r="I2428" s="2">
        <v>56.07</v>
      </c>
      <c r="J2428" s="2">
        <v>32.369999999999997</v>
      </c>
      <c r="K2428" s="2">
        <v>2467.08</v>
      </c>
      <c r="L2428" s="2">
        <v>1424.28</v>
      </c>
      <c r="M2428" s="2">
        <v>1042.8</v>
      </c>
      <c r="N2428">
        <v>17</v>
      </c>
      <c r="P2428" t="str">
        <f>TRIM(Table1[[#This Row],[country]])</f>
        <v>Spain</v>
      </c>
    </row>
    <row r="2429" spans="1:16" x14ac:dyDescent="0.3">
      <c r="A2429" s="1">
        <v>38331</v>
      </c>
      <c r="B2429">
        <v>10358</v>
      </c>
      <c r="C2429">
        <v>141</v>
      </c>
      <c r="D2429" t="s">
        <v>47</v>
      </c>
      <c r="E2429" t="s">
        <v>48</v>
      </c>
      <c r="F2429" t="s">
        <v>32</v>
      </c>
      <c r="G2429" t="s">
        <v>42</v>
      </c>
      <c r="H2429">
        <v>41</v>
      </c>
      <c r="I2429" s="2">
        <v>127.79</v>
      </c>
      <c r="J2429" s="2">
        <v>61.34</v>
      </c>
      <c r="K2429" s="2">
        <v>5239.3900000000003</v>
      </c>
      <c r="L2429" s="2">
        <v>2514.94</v>
      </c>
      <c r="M2429" s="2">
        <v>2724.45</v>
      </c>
      <c r="N2429">
        <v>17</v>
      </c>
      <c r="P2429" t="str">
        <f>TRIM(Table1[[#This Row],[country]])</f>
        <v>Spain</v>
      </c>
    </row>
    <row r="2430" spans="1:16" x14ac:dyDescent="0.3">
      <c r="A2430" s="1">
        <v>38331</v>
      </c>
      <c r="B2430">
        <v>10358</v>
      </c>
      <c r="C2430">
        <v>141</v>
      </c>
      <c r="D2430" t="s">
        <v>47</v>
      </c>
      <c r="E2430" t="s">
        <v>48</v>
      </c>
      <c r="F2430" t="s">
        <v>29</v>
      </c>
      <c r="G2430" t="s">
        <v>56</v>
      </c>
      <c r="H2430">
        <v>36</v>
      </c>
      <c r="I2430" s="2">
        <v>33.590000000000003</v>
      </c>
      <c r="J2430" s="2">
        <v>15.91</v>
      </c>
      <c r="K2430" s="2">
        <v>1209.24</v>
      </c>
      <c r="L2430" s="2">
        <v>572.76</v>
      </c>
      <c r="M2430" s="2">
        <v>636.48</v>
      </c>
      <c r="N2430">
        <v>17</v>
      </c>
      <c r="P2430" t="str">
        <f>TRIM(Table1[[#This Row],[country]])</f>
        <v>Spain</v>
      </c>
    </row>
    <row r="2431" spans="1:16" x14ac:dyDescent="0.3">
      <c r="A2431" s="1">
        <v>38331</v>
      </c>
      <c r="B2431">
        <v>10358</v>
      </c>
      <c r="C2431">
        <v>141</v>
      </c>
      <c r="D2431" t="s">
        <v>47</v>
      </c>
      <c r="E2431" t="s">
        <v>48</v>
      </c>
      <c r="F2431" t="s">
        <v>15</v>
      </c>
      <c r="G2431" t="s">
        <v>43</v>
      </c>
      <c r="H2431">
        <v>41</v>
      </c>
      <c r="I2431" s="2">
        <v>88.62</v>
      </c>
      <c r="J2431" s="2">
        <v>57.46</v>
      </c>
      <c r="K2431" s="2">
        <v>3633.42</v>
      </c>
      <c r="L2431" s="2">
        <v>2355.86</v>
      </c>
      <c r="M2431" s="2">
        <v>1277.56</v>
      </c>
      <c r="N2431">
        <v>17</v>
      </c>
      <c r="P2431" t="str">
        <f>TRIM(Table1[[#This Row],[country]])</f>
        <v>Spain</v>
      </c>
    </row>
    <row r="2432" spans="1:16" x14ac:dyDescent="0.3">
      <c r="A2432" s="1">
        <v>38331</v>
      </c>
      <c r="B2432">
        <v>10358</v>
      </c>
      <c r="C2432">
        <v>141</v>
      </c>
      <c r="D2432" t="s">
        <v>47</v>
      </c>
      <c r="E2432" t="s">
        <v>48</v>
      </c>
      <c r="F2432" t="s">
        <v>32</v>
      </c>
      <c r="G2432" t="s">
        <v>44</v>
      </c>
      <c r="H2432">
        <v>41</v>
      </c>
      <c r="I2432" s="2">
        <v>82.83</v>
      </c>
      <c r="J2432" s="2">
        <v>53.93</v>
      </c>
      <c r="K2432" s="2">
        <v>3396.03</v>
      </c>
      <c r="L2432" s="2">
        <v>2211.13</v>
      </c>
      <c r="M2432" s="2">
        <v>1184.9000000000001</v>
      </c>
      <c r="N2432">
        <v>17</v>
      </c>
      <c r="P2432" t="str">
        <f>TRIM(Table1[[#This Row],[country]])</f>
        <v>Spain</v>
      </c>
    </row>
    <row r="2433" spans="1:16" x14ac:dyDescent="0.3">
      <c r="A2433" s="1">
        <v>38331</v>
      </c>
      <c r="B2433">
        <v>10358</v>
      </c>
      <c r="C2433">
        <v>141</v>
      </c>
      <c r="D2433" t="s">
        <v>47</v>
      </c>
      <c r="E2433" t="s">
        <v>48</v>
      </c>
      <c r="F2433" t="s">
        <v>32</v>
      </c>
      <c r="G2433" t="s">
        <v>45</v>
      </c>
      <c r="H2433">
        <v>36</v>
      </c>
      <c r="I2433" s="2">
        <v>51.71</v>
      </c>
      <c r="J2433" s="2">
        <v>33.61</v>
      </c>
      <c r="K2433" s="2">
        <v>1861.56</v>
      </c>
      <c r="L2433" s="2">
        <v>1209.96</v>
      </c>
      <c r="M2433" s="2">
        <v>651.6</v>
      </c>
      <c r="N2433">
        <v>17</v>
      </c>
      <c r="P2433" t="str">
        <f>TRIM(Table1[[#This Row],[country]])</f>
        <v>Spain</v>
      </c>
    </row>
    <row r="2434" spans="1:16" x14ac:dyDescent="0.3">
      <c r="A2434" s="1">
        <v>38331</v>
      </c>
      <c r="B2434">
        <v>10358</v>
      </c>
      <c r="C2434">
        <v>141</v>
      </c>
      <c r="D2434" t="s">
        <v>47</v>
      </c>
      <c r="E2434" t="s">
        <v>48</v>
      </c>
      <c r="F2434" t="s">
        <v>29</v>
      </c>
      <c r="G2434" t="s">
        <v>46</v>
      </c>
      <c r="H2434">
        <v>27</v>
      </c>
      <c r="I2434" s="2">
        <v>85.98</v>
      </c>
      <c r="J2434" s="2">
        <v>46.53</v>
      </c>
      <c r="K2434" s="2">
        <v>2321.46</v>
      </c>
      <c r="L2434" s="2">
        <v>1256.31</v>
      </c>
      <c r="M2434" s="2">
        <v>1065.1500000000001</v>
      </c>
      <c r="N2434">
        <v>17</v>
      </c>
      <c r="P2434" t="str">
        <f>TRIM(Table1[[#This Row],[country]])</f>
        <v>Spain</v>
      </c>
    </row>
    <row r="2435" spans="1:16" x14ac:dyDescent="0.3">
      <c r="A2435" s="1">
        <v>38336</v>
      </c>
      <c r="B2435">
        <v>10359</v>
      </c>
      <c r="C2435">
        <v>353</v>
      </c>
      <c r="D2435" t="s">
        <v>152</v>
      </c>
      <c r="E2435" t="s">
        <v>144</v>
      </c>
      <c r="F2435" t="s">
        <v>29</v>
      </c>
      <c r="G2435" t="s">
        <v>65</v>
      </c>
      <c r="H2435">
        <v>48</v>
      </c>
      <c r="I2435" s="2">
        <v>122.4</v>
      </c>
      <c r="J2435" s="2">
        <v>85.68</v>
      </c>
      <c r="K2435" s="2">
        <v>5875.2</v>
      </c>
      <c r="L2435" s="2">
        <v>4112.6400000000003</v>
      </c>
      <c r="M2435" s="2">
        <v>1762.56</v>
      </c>
      <c r="N2435">
        <v>4</v>
      </c>
      <c r="P2435" t="str">
        <f>TRIM(Table1[[#This Row],[country]])</f>
        <v>France</v>
      </c>
    </row>
    <row r="2436" spans="1:16" x14ac:dyDescent="0.3">
      <c r="A2436" s="1">
        <v>38336</v>
      </c>
      <c r="B2436">
        <v>10359</v>
      </c>
      <c r="C2436">
        <v>353</v>
      </c>
      <c r="D2436" t="s">
        <v>152</v>
      </c>
      <c r="E2436" t="s">
        <v>144</v>
      </c>
      <c r="F2436" t="s">
        <v>29</v>
      </c>
      <c r="G2436" t="s">
        <v>66</v>
      </c>
      <c r="H2436">
        <v>42</v>
      </c>
      <c r="I2436" s="2">
        <v>180.79</v>
      </c>
      <c r="J2436" s="2">
        <v>95.59</v>
      </c>
      <c r="K2436" s="2">
        <v>7593.18</v>
      </c>
      <c r="L2436" s="2">
        <v>4014.78</v>
      </c>
      <c r="M2436" s="2">
        <v>3578.4</v>
      </c>
      <c r="N2436">
        <v>4</v>
      </c>
      <c r="P2436" t="str">
        <f>TRIM(Table1[[#This Row],[country]])</f>
        <v>France</v>
      </c>
    </row>
    <row r="2437" spans="1:16" x14ac:dyDescent="0.3">
      <c r="A2437" s="1">
        <v>38336</v>
      </c>
      <c r="B2437">
        <v>10359</v>
      </c>
      <c r="C2437">
        <v>353</v>
      </c>
      <c r="D2437" t="s">
        <v>152</v>
      </c>
      <c r="E2437" t="s">
        <v>144</v>
      </c>
      <c r="F2437" t="s">
        <v>29</v>
      </c>
      <c r="G2437" t="s">
        <v>67</v>
      </c>
      <c r="H2437">
        <v>49</v>
      </c>
      <c r="I2437" s="2">
        <v>162.63999999999999</v>
      </c>
      <c r="J2437" s="2">
        <v>83.05</v>
      </c>
      <c r="K2437" s="2">
        <v>7969.36</v>
      </c>
      <c r="L2437" s="2">
        <v>4069.45</v>
      </c>
      <c r="M2437" s="2">
        <v>3899.91</v>
      </c>
      <c r="N2437">
        <v>4</v>
      </c>
      <c r="P2437" t="str">
        <f>TRIM(Table1[[#This Row],[country]])</f>
        <v>France</v>
      </c>
    </row>
    <row r="2438" spans="1:16" x14ac:dyDescent="0.3">
      <c r="A2438" s="1">
        <v>38336</v>
      </c>
      <c r="B2438">
        <v>10359</v>
      </c>
      <c r="C2438">
        <v>353</v>
      </c>
      <c r="D2438" t="s">
        <v>152</v>
      </c>
      <c r="E2438" t="s">
        <v>144</v>
      </c>
      <c r="F2438" t="s">
        <v>29</v>
      </c>
      <c r="G2438" t="s">
        <v>57</v>
      </c>
      <c r="H2438">
        <v>22</v>
      </c>
      <c r="I2438" s="2">
        <v>108.82</v>
      </c>
      <c r="J2438" s="2">
        <v>69.78</v>
      </c>
      <c r="K2438" s="2">
        <v>2394.04</v>
      </c>
      <c r="L2438" s="2">
        <v>1535.16</v>
      </c>
      <c r="M2438" s="2">
        <v>858.88</v>
      </c>
      <c r="N2438">
        <v>4</v>
      </c>
      <c r="P2438" t="str">
        <f>TRIM(Table1[[#This Row],[country]])</f>
        <v>France</v>
      </c>
    </row>
    <row r="2439" spans="1:16" x14ac:dyDescent="0.3">
      <c r="A2439" s="1">
        <v>38336</v>
      </c>
      <c r="B2439">
        <v>10359</v>
      </c>
      <c r="C2439">
        <v>353</v>
      </c>
      <c r="D2439" t="s">
        <v>152</v>
      </c>
      <c r="E2439" t="s">
        <v>144</v>
      </c>
      <c r="F2439" t="s">
        <v>32</v>
      </c>
      <c r="G2439" t="s">
        <v>58</v>
      </c>
      <c r="H2439">
        <v>36</v>
      </c>
      <c r="I2439" s="2">
        <v>45.45</v>
      </c>
      <c r="J2439" s="2">
        <v>25.98</v>
      </c>
      <c r="K2439" s="2">
        <v>1636.2</v>
      </c>
      <c r="L2439" s="2">
        <v>935.28</v>
      </c>
      <c r="M2439" s="2">
        <v>700.92</v>
      </c>
      <c r="N2439">
        <v>4</v>
      </c>
      <c r="P2439" t="str">
        <f>TRIM(Table1[[#This Row],[country]])</f>
        <v>France</v>
      </c>
    </row>
    <row r="2440" spans="1:16" x14ac:dyDescent="0.3">
      <c r="A2440" s="1">
        <v>38336</v>
      </c>
      <c r="B2440">
        <v>10359</v>
      </c>
      <c r="C2440">
        <v>353</v>
      </c>
      <c r="D2440" t="s">
        <v>152</v>
      </c>
      <c r="E2440" t="s">
        <v>144</v>
      </c>
      <c r="F2440" t="s">
        <v>59</v>
      </c>
      <c r="G2440" t="s">
        <v>60</v>
      </c>
      <c r="H2440">
        <v>22</v>
      </c>
      <c r="I2440" s="2">
        <v>62.14</v>
      </c>
      <c r="J2440" s="2">
        <v>26.72</v>
      </c>
      <c r="K2440" s="2">
        <v>1367.08</v>
      </c>
      <c r="L2440" s="2">
        <v>587.84</v>
      </c>
      <c r="M2440" s="2">
        <v>779.24</v>
      </c>
      <c r="N2440">
        <v>4</v>
      </c>
      <c r="P2440" t="str">
        <f>TRIM(Table1[[#This Row],[country]])</f>
        <v>France</v>
      </c>
    </row>
    <row r="2441" spans="1:16" x14ac:dyDescent="0.3">
      <c r="A2441" s="1">
        <v>38336</v>
      </c>
      <c r="B2441">
        <v>10359</v>
      </c>
      <c r="C2441">
        <v>353</v>
      </c>
      <c r="D2441" t="s">
        <v>152</v>
      </c>
      <c r="E2441" t="s">
        <v>144</v>
      </c>
      <c r="F2441" t="s">
        <v>32</v>
      </c>
      <c r="G2441" t="s">
        <v>61</v>
      </c>
      <c r="H2441">
        <v>46</v>
      </c>
      <c r="I2441" s="2">
        <v>99.55</v>
      </c>
      <c r="J2441" s="2">
        <v>68.290000000000006</v>
      </c>
      <c r="K2441" s="2">
        <v>4579.3</v>
      </c>
      <c r="L2441" s="2">
        <v>3141.34</v>
      </c>
      <c r="M2441" s="2">
        <v>1437.96</v>
      </c>
      <c r="N2441">
        <v>4</v>
      </c>
      <c r="P2441" t="str">
        <f>TRIM(Table1[[#This Row],[country]])</f>
        <v>France</v>
      </c>
    </row>
    <row r="2442" spans="1:16" x14ac:dyDescent="0.3">
      <c r="A2442" s="1">
        <v>38336</v>
      </c>
      <c r="B2442">
        <v>10359</v>
      </c>
      <c r="C2442">
        <v>353</v>
      </c>
      <c r="D2442" t="s">
        <v>152</v>
      </c>
      <c r="E2442" t="s">
        <v>144</v>
      </c>
      <c r="F2442" t="s">
        <v>59</v>
      </c>
      <c r="G2442" t="s">
        <v>62</v>
      </c>
      <c r="H2442">
        <v>25</v>
      </c>
      <c r="I2442" s="2">
        <v>47.45</v>
      </c>
      <c r="J2442" s="2">
        <v>37.49</v>
      </c>
      <c r="K2442" s="2">
        <v>1186.25</v>
      </c>
      <c r="L2442" s="2">
        <v>937.25</v>
      </c>
      <c r="M2442" s="2">
        <v>249</v>
      </c>
      <c r="N2442">
        <v>4</v>
      </c>
      <c r="P2442" t="str">
        <f>TRIM(Table1[[#This Row],[country]])</f>
        <v>France</v>
      </c>
    </row>
    <row r="2443" spans="1:16" x14ac:dyDescent="0.3">
      <c r="A2443" s="1">
        <v>38337</v>
      </c>
      <c r="B2443">
        <v>10360</v>
      </c>
      <c r="C2443">
        <v>496</v>
      </c>
      <c r="D2443" t="s">
        <v>162</v>
      </c>
      <c r="E2443" t="s">
        <v>159</v>
      </c>
      <c r="F2443" t="s">
        <v>83</v>
      </c>
      <c r="G2443" t="s">
        <v>84</v>
      </c>
      <c r="H2443">
        <v>50</v>
      </c>
      <c r="I2443" s="2">
        <v>126.15</v>
      </c>
      <c r="J2443" s="2">
        <v>77.27</v>
      </c>
      <c r="K2443" s="2">
        <v>6307.5</v>
      </c>
      <c r="L2443" s="2">
        <v>3863.5</v>
      </c>
      <c r="M2443" s="2">
        <v>2444</v>
      </c>
      <c r="N2443">
        <v>3</v>
      </c>
      <c r="P2443" t="str">
        <f>TRIM(Table1[[#This Row],[country]])</f>
        <v>New Zealand</v>
      </c>
    </row>
    <row r="2444" spans="1:16" x14ac:dyDescent="0.3">
      <c r="A2444" s="1">
        <v>38337</v>
      </c>
      <c r="B2444">
        <v>10360</v>
      </c>
      <c r="C2444">
        <v>496</v>
      </c>
      <c r="D2444" t="s">
        <v>162</v>
      </c>
      <c r="E2444" t="s">
        <v>159</v>
      </c>
      <c r="F2444" t="s">
        <v>83</v>
      </c>
      <c r="G2444" t="s">
        <v>85</v>
      </c>
      <c r="H2444">
        <v>41</v>
      </c>
      <c r="I2444" s="2">
        <v>68.430000000000007</v>
      </c>
      <c r="J2444" s="2">
        <v>49</v>
      </c>
      <c r="K2444" s="2">
        <v>2805.63</v>
      </c>
      <c r="L2444" s="2">
        <v>2009</v>
      </c>
      <c r="M2444" s="2">
        <v>796.63</v>
      </c>
      <c r="N2444">
        <v>3</v>
      </c>
      <c r="P2444" t="str">
        <f>TRIM(Table1[[#This Row],[country]])</f>
        <v>New Zealand</v>
      </c>
    </row>
    <row r="2445" spans="1:16" x14ac:dyDescent="0.3">
      <c r="A2445" s="1">
        <v>38337</v>
      </c>
      <c r="B2445">
        <v>10360</v>
      </c>
      <c r="C2445">
        <v>496</v>
      </c>
      <c r="D2445" t="s">
        <v>162</v>
      </c>
      <c r="E2445" t="s">
        <v>159</v>
      </c>
      <c r="F2445" t="s">
        <v>71</v>
      </c>
      <c r="G2445" t="s">
        <v>86</v>
      </c>
      <c r="H2445">
        <v>46</v>
      </c>
      <c r="I2445" s="2">
        <v>71.400000000000006</v>
      </c>
      <c r="J2445" s="2">
        <v>51.61</v>
      </c>
      <c r="K2445" s="2">
        <v>3284.4</v>
      </c>
      <c r="L2445" s="2">
        <v>2374.06</v>
      </c>
      <c r="M2445" s="2">
        <v>910.34</v>
      </c>
      <c r="N2445">
        <v>3</v>
      </c>
      <c r="P2445" t="str">
        <f>TRIM(Table1[[#This Row],[country]])</f>
        <v>New Zealand</v>
      </c>
    </row>
    <row r="2446" spans="1:16" x14ac:dyDescent="0.3">
      <c r="A2446" s="1">
        <v>38337</v>
      </c>
      <c r="B2446">
        <v>10360</v>
      </c>
      <c r="C2446">
        <v>496</v>
      </c>
      <c r="D2446" t="s">
        <v>162</v>
      </c>
      <c r="E2446" t="s">
        <v>159</v>
      </c>
      <c r="F2446" t="s">
        <v>15</v>
      </c>
      <c r="G2446" t="s">
        <v>68</v>
      </c>
      <c r="H2446">
        <v>29</v>
      </c>
      <c r="I2446" s="2">
        <v>122.93</v>
      </c>
      <c r="J2446" s="2">
        <v>68.3</v>
      </c>
      <c r="K2446" s="2">
        <v>3564.97</v>
      </c>
      <c r="L2446" s="2">
        <v>1980.7</v>
      </c>
      <c r="M2446" s="2">
        <v>1584.27</v>
      </c>
      <c r="N2446">
        <v>3</v>
      </c>
      <c r="P2446" t="str">
        <f>TRIM(Table1[[#This Row],[country]])</f>
        <v>New Zealand</v>
      </c>
    </row>
    <row r="2447" spans="1:16" x14ac:dyDescent="0.3">
      <c r="A2447" s="1">
        <v>38337</v>
      </c>
      <c r="B2447">
        <v>10360</v>
      </c>
      <c r="C2447">
        <v>496</v>
      </c>
      <c r="D2447" t="s">
        <v>162</v>
      </c>
      <c r="E2447" t="s">
        <v>159</v>
      </c>
      <c r="F2447" t="s">
        <v>59</v>
      </c>
      <c r="G2447" t="s">
        <v>69</v>
      </c>
      <c r="H2447">
        <v>29</v>
      </c>
      <c r="I2447" s="2">
        <v>94.79</v>
      </c>
      <c r="J2447" s="2">
        <v>67.56</v>
      </c>
      <c r="K2447" s="2">
        <v>2748.91</v>
      </c>
      <c r="L2447" s="2">
        <v>1959.24</v>
      </c>
      <c r="M2447" s="2">
        <v>789.67</v>
      </c>
      <c r="N2447">
        <v>3</v>
      </c>
      <c r="P2447" t="str">
        <f>TRIM(Table1[[#This Row],[country]])</f>
        <v>New Zealand</v>
      </c>
    </row>
    <row r="2448" spans="1:16" x14ac:dyDescent="0.3">
      <c r="A2448" s="1">
        <v>38337</v>
      </c>
      <c r="B2448">
        <v>10360</v>
      </c>
      <c r="C2448">
        <v>496</v>
      </c>
      <c r="D2448" t="s">
        <v>162</v>
      </c>
      <c r="E2448" t="s">
        <v>159</v>
      </c>
      <c r="F2448" t="s">
        <v>15</v>
      </c>
      <c r="G2448" t="s">
        <v>87</v>
      </c>
      <c r="H2448">
        <v>40</v>
      </c>
      <c r="I2448" s="2">
        <v>101.64</v>
      </c>
      <c r="J2448" s="2">
        <v>64.58</v>
      </c>
      <c r="K2448" s="2">
        <v>4065.6</v>
      </c>
      <c r="L2448" s="2">
        <v>2583.1999999999998</v>
      </c>
      <c r="M2448" s="2">
        <v>1482.4</v>
      </c>
      <c r="N2448">
        <v>3</v>
      </c>
      <c r="P2448" t="str">
        <f>TRIM(Table1[[#This Row],[country]])</f>
        <v>New Zealand</v>
      </c>
    </row>
    <row r="2449" spans="1:16" x14ac:dyDescent="0.3">
      <c r="A2449" s="1">
        <v>38337</v>
      </c>
      <c r="B2449">
        <v>10360</v>
      </c>
      <c r="C2449">
        <v>496</v>
      </c>
      <c r="D2449" t="s">
        <v>162</v>
      </c>
      <c r="E2449" t="s">
        <v>159</v>
      </c>
      <c r="F2449" t="s">
        <v>15</v>
      </c>
      <c r="G2449" t="s">
        <v>70</v>
      </c>
      <c r="H2449">
        <v>40</v>
      </c>
      <c r="I2449" s="2">
        <v>76.36</v>
      </c>
      <c r="J2449" s="2">
        <v>52.66</v>
      </c>
      <c r="K2449" s="2">
        <v>3054.4</v>
      </c>
      <c r="L2449" s="2">
        <v>2106.4</v>
      </c>
      <c r="M2449" s="2">
        <v>948</v>
      </c>
      <c r="N2449">
        <v>3</v>
      </c>
      <c r="P2449" t="str">
        <f>TRIM(Table1[[#This Row],[country]])</f>
        <v>New Zealand</v>
      </c>
    </row>
    <row r="2450" spans="1:16" x14ac:dyDescent="0.3">
      <c r="A2450" s="1">
        <v>38337</v>
      </c>
      <c r="B2450">
        <v>10360</v>
      </c>
      <c r="C2450">
        <v>496</v>
      </c>
      <c r="D2450" t="s">
        <v>162</v>
      </c>
      <c r="E2450" t="s">
        <v>159</v>
      </c>
      <c r="F2450" t="s">
        <v>83</v>
      </c>
      <c r="G2450" t="s">
        <v>88</v>
      </c>
      <c r="H2450">
        <v>22</v>
      </c>
      <c r="I2450" s="2">
        <v>106.14</v>
      </c>
      <c r="J2450" s="2">
        <v>66.739999999999995</v>
      </c>
      <c r="K2450" s="2">
        <v>2335.08</v>
      </c>
      <c r="L2450" s="2">
        <v>1468.28</v>
      </c>
      <c r="M2450" s="2">
        <v>866.8</v>
      </c>
      <c r="N2450">
        <v>3</v>
      </c>
      <c r="P2450" t="str">
        <f>TRIM(Table1[[#This Row],[country]])</f>
        <v>New Zealand</v>
      </c>
    </row>
    <row r="2451" spans="1:16" x14ac:dyDescent="0.3">
      <c r="A2451" s="1">
        <v>38337</v>
      </c>
      <c r="B2451">
        <v>10360</v>
      </c>
      <c r="C2451">
        <v>496</v>
      </c>
      <c r="D2451" t="s">
        <v>162</v>
      </c>
      <c r="E2451" t="s">
        <v>159</v>
      </c>
      <c r="F2451" t="s">
        <v>71</v>
      </c>
      <c r="G2451" t="s">
        <v>72</v>
      </c>
      <c r="H2451">
        <v>31</v>
      </c>
      <c r="I2451" s="2">
        <v>100.77</v>
      </c>
      <c r="J2451" s="2">
        <v>82.34</v>
      </c>
      <c r="K2451" s="2">
        <v>3123.87</v>
      </c>
      <c r="L2451" s="2">
        <v>2552.54</v>
      </c>
      <c r="M2451" s="2">
        <v>571.33000000000004</v>
      </c>
      <c r="N2451">
        <v>3</v>
      </c>
      <c r="P2451" t="str">
        <f>TRIM(Table1[[#This Row],[country]])</f>
        <v>New Zealand</v>
      </c>
    </row>
    <row r="2452" spans="1:16" x14ac:dyDescent="0.3">
      <c r="A2452" s="1">
        <v>38337</v>
      </c>
      <c r="B2452">
        <v>10360</v>
      </c>
      <c r="C2452">
        <v>496</v>
      </c>
      <c r="D2452" t="s">
        <v>162</v>
      </c>
      <c r="E2452" t="s">
        <v>159</v>
      </c>
      <c r="F2452" t="s">
        <v>83</v>
      </c>
      <c r="G2452" t="s">
        <v>89</v>
      </c>
      <c r="H2452">
        <v>49</v>
      </c>
      <c r="I2452" s="2">
        <v>55.49</v>
      </c>
      <c r="J2452" s="2">
        <v>34.25</v>
      </c>
      <c r="K2452" s="2">
        <v>2719.01</v>
      </c>
      <c r="L2452" s="2">
        <v>1678.25</v>
      </c>
      <c r="M2452" s="2">
        <v>1040.76</v>
      </c>
      <c r="N2452">
        <v>3</v>
      </c>
      <c r="P2452" t="str">
        <f>TRIM(Table1[[#This Row],[country]])</f>
        <v>New Zealand</v>
      </c>
    </row>
    <row r="2453" spans="1:16" x14ac:dyDescent="0.3">
      <c r="A2453" s="1">
        <v>38337</v>
      </c>
      <c r="B2453">
        <v>10360</v>
      </c>
      <c r="C2453">
        <v>496</v>
      </c>
      <c r="D2453" t="s">
        <v>162</v>
      </c>
      <c r="E2453" t="s">
        <v>159</v>
      </c>
      <c r="F2453" t="s">
        <v>15</v>
      </c>
      <c r="G2453" t="s">
        <v>73</v>
      </c>
      <c r="H2453">
        <v>36</v>
      </c>
      <c r="I2453" s="2">
        <v>70.81</v>
      </c>
      <c r="J2453" s="2">
        <v>46.91</v>
      </c>
      <c r="K2453" s="2">
        <v>2549.16</v>
      </c>
      <c r="L2453" s="2">
        <v>1688.76</v>
      </c>
      <c r="M2453" s="2">
        <v>860.4</v>
      </c>
      <c r="N2453">
        <v>3</v>
      </c>
      <c r="P2453" t="str">
        <f>TRIM(Table1[[#This Row],[country]])</f>
        <v>New Zealand</v>
      </c>
    </row>
    <row r="2454" spans="1:16" x14ac:dyDescent="0.3">
      <c r="A2454" s="1">
        <v>38337</v>
      </c>
      <c r="B2454">
        <v>10360</v>
      </c>
      <c r="C2454">
        <v>496</v>
      </c>
      <c r="D2454" t="s">
        <v>162</v>
      </c>
      <c r="E2454" t="s">
        <v>159</v>
      </c>
      <c r="F2454" t="s">
        <v>15</v>
      </c>
      <c r="G2454" t="s">
        <v>74</v>
      </c>
      <c r="H2454">
        <v>22</v>
      </c>
      <c r="I2454" s="2">
        <v>78.83</v>
      </c>
      <c r="J2454" s="2">
        <v>48.64</v>
      </c>
      <c r="K2454" s="2">
        <v>1734.26</v>
      </c>
      <c r="L2454" s="2">
        <v>1070.08</v>
      </c>
      <c r="M2454" s="2">
        <v>664.18</v>
      </c>
      <c r="N2454">
        <v>3</v>
      </c>
      <c r="P2454" t="str">
        <f>TRIM(Table1[[#This Row],[country]])</f>
        <v>New Zealand</v>
      </c>
    </row>
    <row r="2455" spans="1:16" x14ac:dyDescent="0.3">
      <c r="A2455" s="1">
        <v>38337</v>
      </c>
      <c r="B2455">
        <v>10360</v>
      </c>
      <c r="C2455">
        <v>496</v>
      </c>
      <c r="D2455" t="s">
        <v>162</v>
      </c>
      <c r="E2455" t="s">
        <v>159</v>
      </c>
      <c r="F2455" t="s">
        <v>71</v>
      </c>
      <c r="G2455" t="s">
        <v>75</v>
      </c>
      <c r="H2455">
        <v>32</v>
      </c>
      <c r="I2455" s="2">
        <v>64.67</v>
      </c>
      <c r="J2455" s="2">
        <v>34</v>
      </c>
      <c r="K2455" s="2">
        <v>2069.44</v>
      </c>
      <c r="L2455" s="2">
        <v>1088</v>
      </c>
      <c r="M2455" s="2">
        <v>981.44</v>
      </c>
      <c r="N2455">
        <v>3</v>
      </c>
      <c r="P2455" t="str">
        <f>TRIM(Table1[[#This Row],[country]])</f>
        <v>New Zealand</v>
      </c>
    </row>
    <row r="2456" spans="1:16" x14ac:dyDescent="0.3">
      <c r="A2456" s="1">
        <v>38337</v>
      </c>
      <c r="B2456">
        <v>10360</v>
      </c>
      <c r="C2456">
        <v>496</v>
      </c>
      <c r="D2456" t="s">
        <v>162</v>
      </c>
      <c r="E2456" t="s">
        <v>159</v>
      </c>
      <c r="F2456" t="s">
        <v>71</v>
      </c>
      <c r="G2456" t="s">
        <v>76</v>
      </c>
      <c r="H2456">
        <v>26</v>
      </c>
      <c r="I2456" s="2">
        <v>86.61</v>
      </c>
      <c r="J2456" s="2">
        <v>43.3</v>
      </c>
      <c r="K2456" s="2">
        <v>2251.86</v>
      </c>
      <c r="L2456" s="2">
        <v>1125.8</v>
      </c>
      <c r="M2456" s="2">
        <v>1126.06</v>
      </c>
      <c r="N2456">
        <v>3</v>
      </c>
      <c r="P2456" t="str">
        <f>TRIM(Table1[[#This Row],[country]])</f>
        <v>New Zealand</v>
      </c>
    </row>
    <row r="2457" spans="1:16" x14ac:dyDescent="0.3">
      <c r="A2457" s="1">
        <v>38337</v>
      </c>
      <c r="B2457">
        <v>10360</v>
      </c>
      <c r="C2457">
        <v>496</v>
      </c>
      <c r="D2457" t="s">
        <v>162</v>
      </c>
      <c r="E2457" t="s">
        <v>159</v>
      </c>
      <c r="F2457" t="s">
        <v>71</v>
      </c>
      <c r="G2457" t="s">
        <v>77</v>
      </c>
      <c r="H2457">
        <v>30</v>
      </c>
      <c r="I2457" s="2">
        <v>70.11</v>
      </c>
      <c r="J2457" s="2">
        <v>33.97</v>
      </c>
      <c r="K2457" s="2">
        <v>2103.3000000000002</v>
      </c>
      <c r="L2457" s="2">
        <v>1019.1</v>
      </c>
      <c r="M2457" s="2">
        <v>1084.2</v>
      </c>
      <c r="N2457">
        <v>3</v>
      </c>
      <c r="P2457" t="str">
        <f>TRIM(Table1[[#This Row],[country]])</f>
        <v>New Zealand</v>
      </c>
    </row>
    <row r="2458" spans="1:16" x14ac:dyDescent="0.3">
      <c r="A2458" s="1">
        <v>38337</v>
      </c>
      <c r="B2458">
        <v>10360</v>
      </c>
      <c r="C2458">
        <v>496</v>
      </c>
      <c r="D2458" t="s">
        <v>162</v>
      </c>
      <c r="E2458" t="s">
        <v>159</v>
      </c>
      <c r="F2458" t="s">
        <v>71</v>
      </c>
      <c r="G2458" t="s">
        <v>78</v>
      </c>
      <c r="H2458">
        <v>35</v>
      </c>
      <c r="I2458" s="2">
        <v>83.14</v>
      </c>
      <c r="J2458" s="2">
        <v>51.09</v>
      </c>
      <c r="K2458" s="2">
        <v>2909.9</v>
      </c>
      <c r="L2458" s="2">
        <v>1788.15</v>
      </c>
      <c r="M2458" s="2">
        <v>1121.75</v>
      </c>
      <c r="N2458">
        <v>3</v>
      </c>
      <c r="P2458" t="str">
        <f>TRIM(Table1[[#This Row],[country]])</f>
        <v>New Zealand</v>
      </c>
    </row>
    <row r="2459" spans="1:16" x14ac:dyDescent="0.3">
      <c r="A2459" s="1">
        <v>38337</v>
      </c>
      <c r="B2459">
        <v>10360</v>
      </c>
      <c r="C2459">
        <v>496</v>
      </c>
      <c r="D2459" t="s">
        <v>162</v>
      </c>
      <c r="E2459" t="s">
        <v>159</v>
      </c>
      <c r="F2459" t="s">
        <v>71</v>
      </c>
      <c r="G2459" t="s">
        <v>79</v>
      </c>
      <c r="H2459">
        <v>31</v>
      </c>
      <c r="I2459" s="2">
        <v>92.36</v>
      </c>
      <c r="J2459" s="2">
        <v>53.63</v>
      </c>
      <c r="K2459" s="2">
        <v>2863.16</v>
      </c>
      <c r="L2459" s="2">
        <v>1662.53</v>
      </c>
      <c r="M2459" s="2">
        <v>1200.6300000000001</v>
      </c>
      <c r="N2459">
        <v>3</v>
      </c>
      <c r="P2459" t="str">
        <f>TRIM(Table1[[#This Row],[country]])</f>
        <v>New Zealand</v>
      </c>
    </row>
    <row r="2460" spans="1:16" x14ac:dyDescent="0.3">
      <c r="A2460" s="1">
        <v>38337</v>
      </c>
      <c r="B2460">
        <v>10360</v>
      </c>
      <c r="C2460">
        <v>496</v>
      </c>
      <c r="D2460" t="s">
        <v>162</v>
      </c>
      <c r="E2460" t="s">
        <v>159</v>
      </c>
      <c r="F2460" t="s">
        <v>71</v>
      </c>
      <c r="G2460" t="s">
        <v>80</v>
      </c>
      <c r="H2460">
        <v>31</v>
      </c>
      <c r="I2460" s="2">
        <v>54.05</v>
      </c>
      <c r="J2460" s="2">
        <v>33.299999999999997</v>
      </c>
      <c r="K2460" s="2">
        <v>1675.55</v>
      </c>
      <c r="L2460" s="2">
        <v>1032.3</v>
      </c>
      <c r="M2460" s="2">
        <v>643.25</v>
      </c>
      <c r="N2460">
        <v>3</v>
      </c>
      <c r="P2460" t="str">
        <f>TRIM(Table1[[#This Row],[country]])</f>
        <v>New Zealand</v>
      </c>
    </row>
    <row r="2461" spans="1:16" x14ac:dyDescent="0.3">
      <c r="A2461" s="1">
        <v>38338</v>
      </c>
      <c r="B2461">
        <v>10361</v>
      </c>
      <c r="C2461">
        <v>282</v>
      </c>
      <c r="D2461" t="s">
        <v>214</v>
      </c>
      <c r="E2461" t="s">
        <v>151</v>
      </c>
      <c r="F2461" t="s">
        <v>83</v>
      </c>
      <c r="G2461" t="s">
        <v>99</v>
      </c>
      <c r="H2461">
        <v>44</v>
      </c>
      <c r="I2461" s="2">
        <v>76.8</v>
      </c>
      <c r="J2461" s="2">
        <v>54.4</v>
      </c>
      <c r="K2461" s="2">
        <v>3379.2</v>
      </c>
      <c r="L2461" s="2">
        <v>2393.6</v>
      </c>
      <c r="M2461" s="2">
        <v>985.6</v>
      </c>
      <c r="N2461">
        <v>3</v>
      </c>
      <c r="P2461" t="str">
        <f>TRIM(Table1[[#This Row],[country]])</f>
        <v>Australia</v>
      </c>
    </row>
    <row r="2462" spans="1:16" x14ac:dyDescent="0.3">
      <c r="A2462" s="1">
        <v>38338</v>
      </c>
      <c r="B2462">
        <v>10361</v>
      </c>
      <c r="C2462">
        <v>282</v>
      </c>
      <c r="D2462" t="s">
        <v>214</v>
      </c>
      <c r="E2462" t="s">
        <v>151</v>
      </c>
      <c r="F2462" t="s">
        <v>83</v>
      </c>
      <c r="G2462" t="s">
        <v>100</v>
      </c>
      <c r="H2462">
        <v>35</v>
      </c>
      <c r="I2462" s="2">
        <v>62.19</v>
      </c>
      <c r="J2462" s="2">
        <v>36.270000000000003</v>
      </c>
      <c r="K2462" s="2">
        <v>2176.65</v>
      </c>
      <c r="L2462" s="2">
        <v>1269.45</v>
      </c>
      <c r="M2462" s="2">
        <v>907.2</v>
      </c>
      <c r="N2462">
        <v>3</v>
      </c>
      <c r="P2462" t="str">
        <f>TRIM(Table1[[#This Row],[country]])</f>
        <v>Australia</v>
      </c>
    </row>
    <row r="2463" spans="1:16" x14ac:dyDescent="0.3">
      <c r="A2463" s="1">
        <v>38338</v>
      </c>
      <c r="B2463">
        <v>10361</v>
      </c>
      <c r="C2463">
        <v>282</v>
      </c>
      <c r="D2463" t="s">
        <v>214</v>
      </c>
      <c r="E2463" t="s">
        <v>151</v>
      </c>
      <c r="F2463" t="s">
        <v>83</v>
      </c>
      <c r="G2463" t="s">
        <v>101</v>
      </c>
      <c r="H2463">
        <v>23</v>
      </c>
      <c r="I2463" s="2">
        <v>47.67</v>
      </c>
      <c r="J2463" s="2">
        <v>32.770000000000003</v>
      </c>
      <c r="K2463" s="2">
        <v>1096.4100000000001</v>
      </c>
      <c r="L2463" s="2">
        <v>753.71</v>
      </c>
      <c r="M2463" s="2">
        <v>342.7</v>
      </c>
      <c r="N2463">
        <v>3</v>
      </c>
      <c r="P2463" t="str">
        <f>TRIM(Table1[[#This Row],[country]])</f>
        <v>Australia</v>
      </c>
    </row>
    <row r="2464" spans="1:16" x14ac:dyDescent="0.3">
      <c r="A2464" s="1">
        <v>38338</v>
      </c>
      <c r="B2464">
        <v>10361</v>
      </c>
      <c r="C2464">
        <v>282</v>
      </c>
      <c r="D2464" t="s">
        <v>214</v>
      </c>
      <c r="E2464" t="s">
        <v>151</v>
      </c>
      <c r="F2464" t="s">
        <v>102</v>
      </c>
      <c r="G2464" t="s">
        <v>103</v>
      </c>
      <c r="H2464">
        <v>20</v>
      </c>
      <c r="I2464" s="2">
        <v>92.83</v>
      </c>
      <c r="J2464" s="2">
        <v>48.81</v>
      </c>
      <c r="K2464" s="2">
        <v>1856.6</v>
      </c>
      <c r="L2464" s="2">
        <v>976.2</v>
      </c>
      <c r="M2464" s="2">
        <v>880.4</v>
      </c>
      <c r="N2464">
        <v>3</v>
      </c>
      <c r="P2464" t="str">
        <f>TRIM(Table1[[#This Row],[country]])</f>
        <v>Australia</v>
      </c>
    </row>
    <row r="2465" spans="1:16" x14ac:dyDescent="0.3">
      <c r="A2465" s="1">
        <v>38338</v>
      </c>
      <c r="B2465">
        <v>10361</v>
      </c>
      <c r="C2465">
        <v>282</v>
      </c>
      <c r="D2465" t="s">
        <v>214</v>
      </c>
      <c r="E2465" t="s">
        <v>151</v>
      </c>
      <c r="F2465" t="s">
        <v>102</v>
      </c>
      <c r="G2465" t="s">
        <v>104</v>
      </c>
      <c r="H2465">
        <v>26</v>
      </c>
      <c r="I2465" s="2">
        <v>114.18</v>
      </c>
      <c r="J2465" s="2">
        <v>68.989999999999995</v>
      </c>
      <c r="K2465" s="2">
        <v>2968.68</v>
      </c>
      <c r="L2465" s="2">
        <v>1793.74</v>
      </c>
      <c r="M2465" s="2">
        <v>1174.94</v>
      </c>
      <c r="N2465">
        <v>3</v>
      </c>
      <c r="P2465" t="str">
        <f>TRIM(Table1[[#This Row],[country]])</f>
        <v>Australia</v>
      </c>
    </row>
    <row r="2466" spans="1:16" x14ac:dyDescent="0.3">
      <c r="A2466" s="1">
        <v>38338</v>
      </c>
      <c r="B2466">
        <v>10361</v>
      </c>
      <c r="C2466">
        <v>282</v>
      </c>
      <c r="D2466" t="s">
        <v>214</v>
      </c>
      <c r="E2466" t="s">
        <v>151</v>
      </c>
      <c r="F2466" t="s">
        <v>15</v>
      </c>
      <c r="G2466" t="s">
        <v>90</v>
      </c>
      <c r="H2466">
        <v>34</v>
      </c>
      <c r="I2466" s="2">
        <v>62.46</v>
      </c>
      <c r="J2466" s="2">
        <v>26.3</v>
      </c>
      <c r="K2466" s="2">
        <v>2123.64</v>
      </c>
      <c r="L2466" s="2">
        <v>894.2</v>
      </c>
      <c r="M2466" s="2">
        <v>1229.44</v>
      </c>
      <c r="N2466">
        <v>3</v>
      </c>
      <c r="P2466" t="str">
        <f>TRIM(Table1[[#This Row],[country]])</f>
        <v>Australia</v>
      </c>
    </row>
    <row r="2467" spans="1:16" x14ac:dyDescent="0.3">
      <c r="A2467" s="1">
        <v>38338</v>
      </c>
      <c r="B2467">
        <v>10361</v>
      </c>
      <c r="C2467">
        <v>282</v>
      </c>
      <c r="D2467" t="s">
        <v>214</v>
      </c>
      <c r="E2467" t="s">
        <v>151</v>
      </c>
      <c r="F2467" t="s">
        <v>83</v>
      </c>
      <c r="G2467" t="s">
        <v>91</v>
      </c>
      <c r="H2467">
        <v>26</v>
      </c>
      <c r="I2467" s="2">
        <v>61.42</v>
      </c>
      <c r="J2467" s="2">
        <v>29.34</v>
      </c>
      <c r="K2467" s="2">
        <v>1596.92</v>
      </c>
      <c r="L2467" s="2">
        <v>762.84</v>
      </c>
      <c r="M2467" s="2">
        <v>834.08</v>
      </c>
      <c r="N2467">
        <v>3</v>
      </c>
      <c r="P2467" t="str">
        <f>TRIM(Table1[[#This Row],[country]])</f>
        <v>Australia</v>
      </c>
    </row>
    <row r="2468" spans="1:16" x14ac:dyDescent="0.3">
      <c r="A2468" s="1">
        <v>38338</v>
      </c>
      <c r="B2468">
        <v>10361</v>
      </c>
      <c r="C2468">
        <v>282</v>
      </c>
      <c r="D2468" t="s">
        <v>214</v>
      </c>
      <c r="E2468" t="s">
        <v>151</v>
      </c>
      <c r="F2468" t="s">
        <v>83</v>
      </c>
      <c r="G2468" t="s">
        <v>92</v>
      </c>
      <c r="H2468">
        <v>25</v>
      </c>
      <c r="I2468" s="2">
        <v>68.83</v>
      </c>
      <c r="J2468" s="2">
        <v>36.229999999999997</v>
      </c>
      <c r="K2468" s="2">
        <v>1720.75</v>
      </c>
      <c r="L2468" s="2">
        <v>905.75</v>
      </c>
      <c r="M2468" s="2">
        <v>815</v>
      </c>
      <c r="N2468">
        <v>3</v>
      </c>
      <c r="P2468" t="str">
        <f>TRIM(Table1[[#This Row],[country]])</f>
        <v>Australia</v>
      </c>
    </row>
    <row r="2469" spans="1:16" x14ac:dyDescent="0.3">
      <c r="A2469" s="1">
        <v>38338</v>
      </c>
      <c r="B2469">
        <v>10361</v>
      </c>
      <c r="C2469">
        <v>282</v>
      </c>
      <c r="D2469" t="s">
        <v>214</v>
      </c>
      <c r="E2469" t="s">
        <v>151</v>
      </c>
      <c r="F2469" t="s">
        <v>15</v>
      </c>
      <c r="G2469" t="s">
        <v>93</v>
      </c>
      <c r="H2469">
        <v>49</v>
      </c>
      <c r="I2469" s="2">
        <v>56.41</v>
      </c>
      <c r="J2469" s="2">
        <v>33.020000000000003</v>
      </c>
      <c r="K2469" s="2">
        <v>2764.09</v>
      </c>
      <c r="L2469" s="2">
        <v>1617.98</v>
      </c>
      <c r="M2469" s="2">
        <v>1146.1099999999999</v>
      </c>
      <c r="N2469">
        <v>3</v>
      </c>
      <c r="P2469" t="str">
        <f>TRIM(Table1[[#This Row],[country]])</f>
        <v>Australia</v>
      </c>
    </row>
    <row r="2470" spans="1:16" x14ac:dyDescent="0.3">
      <c r="A2470" s="1">
        <v>38338</v>
      </c>
      <c r="B2470">
        <v>10361</v>
      </c>
      <c r="C2470">
        <v>282</v>
      </c>
      <c r="D2470" t="s">
        <v>214</v>
      </c>
      <c r="E2470" t="s">
        <v>151</v>
      </c>
      <c r="F2470" t="s">
        <v>15</v>
      </c>
      <c r="G2470" t="s">
        <v>94</v>
      </c>
      <c r="H2470">
        <v>33</v>
      </c>
      <c r="I2470" s="2">
        <v>35.78</v>
      </c>
      <c r="J2470" s="2">
        <v>27.06</v>
      </c>
      <c r="K2470" s="2">
        <v>1180.74</v>
      </c>
      <c r="L2470" s="2">
        <v>892.98</v>
      </c>
      <c r="M2470" s="2">
        <v>287.76</v>
      </c>
      <c r="N2470">
        <v>3</v>
      </c>
      <c r="P2470" t="str">
        <f>TRIM(Table1[[#This Row],[country]])</f>
        <v>Australia</v>
      </c>
    </row>
    <row r="2471" spans="1:16" x14ac:dyDescent="0.3">
      <c r="A2471" s="1">
        <v>38338</v>
      </c>
      <c r="B2471">
        <v>10361</v>
      </c>
      <c r="C2471">
        <v>282</v>
      </c>
      <c r="D2471" t="s">
        <v>214</v>
      </c>
      <c r="E2471" t="s">
        <v>151</v>
      </c>
      <c r="F2471" t="s">
        <v>83</v>
      </c>
      <c r="G2471" t="s">
        <v>95</v>
      </c>
      <c r="H2471">
        <v>20</v>
      </c>
      <c r="I2471" s="2">
        <v>88.6</v>
      </c>
      <c r="J2471" s="2">
        <v>51.15</v>
      </c>
      <c r="K2471" s="2">
        <v>1772</v>
      </c>
      <c r="L2471" s="2">
        <v>1023</v>
      </c>
      <c r="M2471" s="2">
        <v>749</v>
      </c>
      <c r="N2471">
        <v>3</v>
      </c>
      <c r="P2471" t="str">
        <f>TRIM(Table1[[#This Row],[country]])</f>
        <v>Australia</v>
      </c>
    </row>
    <row r="2472" spans="1:16" x14ac:dyDescent="0.3">
      <c r="A2472" s="1">
        <v>38338</v>
      </c>
      <c r="B2472">
        <v>10361</v>
      </c>
      <c r="C2472">
        <v>282</v>
      </c>
      <c r="D2472" t="s">
        <v>214</v>
      </c>
      <c r="E2472" t="s">
        <v>151</v>
      </c>
      <c r="F2472" t="s">
        <v>71</v>
      </c>
      <c r="G2472" t="s">
        <v>96</v>
      </c>
      <c r="H2472">
        <v>24</v>
      </c>
      <c r="I2472" s="2">
        <v>85.99</v>
      </c>
      <c r="J2472" s="2">
        <v>39.83</v>
      </c>
      <c r="K2472" s="2">
        <v>2063.7600000000002</v>
      </c>
      <c r="L2472" s="2">
        <v>955.92</v>
      </c>
      <c r="M2472" s="2">
        <v>1107.8399999999999</v>
      </c>
      <c r="N2472">
        <v>3</v>
      </c>
      <c r="P2472" t="str">
        <f>TRIM(Table1[[#This Row],[country]])</f>
        <v>Australia</v>
      </c>
    </row>
    <row r="2473" spans="1:16" x14ac:dyDescent="0.3">
      <c r="A2473" s="1">
        <v>38338</v>
      </c>
      <c r="B2473">
        <v>10361</v>
      </c>
      <c r="C2473">
        <v>282</v>
      </c>
      <c r="D2473" t="s">
        <v>214</v>
      </c>
      <c r="E2473" t="s">
        <v>151</v>
      </c>
      <c r="F2473" t="s">
        <v>83</v>
      </c>
      <c r="G2473" t="s">
        <v>97</v>
      </c>
      <c r="H2473">
        <v>26</v>
      </c>
      <c r="I2473" s="2">
        <v>91.74</v>
      </c>
      <c r="J2473" s="2">
        <v>68.8</v>
      </c>
      <c r="K2473" s="2">
        <v>2385.2399999999998</v>
      </c>
      <c r="L2473" s="2">
        <v>1788.8</v>
      </c>
      <c r="M2473" s="2">
        <v>596.44000000000005</v>
      </c>
      <c r="N2473">
        <v>3</v>
      </c>
      <c r="P2473" t="str">
        <f>TRIM(Table1[[#This Row],[country]])</f>
        <v>Australia</v>
      </c>
    </row>
    <row r="2474" spans="1:16" x14ac:dyDescent="0.3">
      <c r="A2474" s="1">
        <v>38338</v>
      </c>
      <c r="B2474">
        <v>10361</v>
      </c>
      <c r="C2474">
        <v>282</v>
      </c>
      <c r="D2474" t="s">
        <v>214</v>
      </c>
      <c r="E2474" t="s">
        <v>151</v>
      </c>
      <c r="F2474" t="s">
        <v>83</v>
      </c>
      <c r="G2474" t="s">
        <v>98</v>
      </c>
      <c r="H2474">
        <v>44</v>
      </c>
      <c r="I2474" s="2">
        <v>107.97</v>
      </c>
      <c r="J2474" s="2">
        <v>59.33</v>
      </c>
      <c r="K2474" s="2">
        <v>4750.68</v>
      </c>
      <c r="L2474" s="2">
        <v>2610.52</v>
      </c>
      <c r="M2474" s="2">
        <v>2140.16</v>
      </c>
      <c r="N2474">
        <v>3</v>
      </c>
      <c r="P2474" t="str">
        <f>TRIM(Table1[[#This Row],[country]])</f>
        <v>Australia</v>
      </c>
    </row>
    <row r="2475" spans="1:16" x14ac:dyDescent="0.3">
      <c r="A2475" s="1">
        <v>38357</v>
      </c>
      <c r="B2475">
        <v>10362</v>
      </c>
      <c r="C2475">
        <v>161</v>
      </c>
      <c r="D2475" t="s">
        <v>215</v>
      </c>
      <c r="E2475" t="s">
        <v>14</v>
      </c>
      <c r="F2475" t="s">
        <v>102</v>
      </c>
      <c r="G2475" t="s">
        <v>105</v>
      </c>
      <c r="H2475">
        <v>22</v>
      </c>
      <c r="I2475" s="2">
        <v>182.04</v>
      </c>
      <c r="J2475" s="2">
        <v>91.02</v>
      </c>
      <c r="K2475" s="2">
        <v>4004.88</v>
      </c>
      <c r="L2475" s="2">
        <v>2002.44</v>
      </c>
      <c r="M2475" s="2">
        <v>2002.44</v>
      </c>
      <c r="N2475">
        <v>4</v>
      </c>
      <c r="P2475" t="str">
        <f>TRIM(Table1[[#This Row],[country]])</f>
        <v>USA</v>
      </c>
    </row>
    <row r="2476" spans="1:16" x14ac:dyDescent="0.3">
      <c r="A2476" s="1">
        <v>38357</v>
      </c>
      <c r="B2476">
        <v>10362</v>
      </c>
      <c r="C2476">
        <v>161</v>
      </c>
      <c r="D2476" t="s">
        <v>215</v>
      </c>
      <c r="E2476" t="s">
        <v>14</v>
      </c>
      <c r="F2476" t="s">
        <v>102</v>
      </c>
      <c r="G2476" t="s">
        <v>106</v>
      </c>
      <c r="H2476">
        <v>22</v>
      </c>
      <c r="I2476" s="2">
        <v>131.04</v>
      </c>
      <c r="J2476" s="2">
        <v>66.27</v>
      </c>
      <c r="K2476" s="2">
        <v>2882.88</v>
      </c>
      <c r="L2476" s="2">
        <v>1457.94</v>
      </c>
      <c r="M2476" s="2">
        <v>1424.94</v>
      </c>
      <c r="N2476">
        <v>4</v>
      </c>
      <c r="P2476" t="str">
        <f>TRIM(Table1[[#This Row],[country]])</f>
        <v>USA</v>
      </c>
    </row>
    <row r="2477" spans="1:16" x14ac:dyDescent="0.3">
      <c r="A2477" s="1">
        <v>38357</v>
      </c>
      <c r="B2477">
        <v>10362</v>
      </c>
      <c r="C2477">
        <v>161</v>
      </c>
      <c r="D2477" t="s">
        <v>215</v>
      </c>
      <c r="E2477" t="s">
        <v>14</v>
      </c>
      <c r="F2477" t="s">
        <v>102</v>
      </c>
      <c r="G2477" t="s">
        <v>107</v>
      </c>
      <c r="H2477">
        <v>23</v>
      </c>
      <c r="I2477" s="2">
        <v>53.91</v>
      </c>
      <c r="J2477" s="2">
        <v>24.23</v>
      </c>
      <c r="K2477" s="2">
        <v>1239.93</v>
      </c>
      <c r="L2477" s="2">
        <v>557.29</v>
      </c>
      <c r="M2477" s="2">
        <v>682.64</v>
      </c>
      <c r="N2477">
        <v>4</v>
      </c>
      <c r="P2477" t="str">
        <f>TRIM(Table1[[#This Row],[country]])</f>
        <v>USA</v>
      </c>
    </row>
    <row r="2478" spans="1:16" x14ac:dyDescent="0.3">
      <c r="A2478" s="1">
        <v>38357</v>
      </c>
      <c r="B2478">
        <v>10362</v>
      </c>
      <c r="C2478">
        <v>161</v>
      </c>
      <c r="D2478" t="s">
        <v>215</v>
      </c>
      <c r="E2478" t="s">
        <v>14</v>
      </c>
      <c r="F2478" t="s">
        <v>102</v>
      </c>
      <c r="G2478" t="s">
        <v>108</v>
      </c>
      <c r="H2478">
        <v>50</v>
      </c>
      <c r="I2478" s="2">
        <v>91.29</v>
      </c>
      <c r="J2478" s="2">
        <v>60.86</v>
      </c>
      <c r="K2478" s="2">
        <v>4564.5</v>
      </c>
      <c r="L2478" s="2">
        <v>3043</v>
      </c>
      <c r="M2478" s="2">
        <v>1521.5</v>
      </c>
      <c r="N2478">
        <v>4</v>
      </c>
      <c r="P2478" t="str">
        <f>TRIM(Table1[[#This Row],[country]])</f>
        <v>USA</v>
      </c>
    </row>
    <row r="2479" spans="1:16" x14ac:dyDescent="0.3">
      <c r="A2479" s="1">
        <v>38358</v>
      </c>
      <c r="B2479">
        <v>10363</v>
      </c>
      <c r="C2479">
        <v>334</v>
      </c>
      <c r="D2479" t="s">
        <v>163</v>
      </c>
      <c r="E2479" t="s">
        <v>164</v>
      </c>
      <c r="F2479" t="s">
        <v>29</v>
      </c>
      <c r="G2479" t="s">
        <v>112</v>
      </c>
      <c r="H2479">
        <v>33</v>
      </c>
      <c r="I2479" s="2">
        <v>180.95</v>
      </c>
      <c r="J2479" s="2">
        <v>95.34</v>
      </c>
      <c r="K2479" s="2">
        <v>5971.35</v>
      </c>
      <c r="L2479" s="2">
        <v>3146.22</v>
      </c>
      <c r="M2479" s="2">
        <v>2825.13</v>
      </c>
      <c r="N2479">
        <v>3</v>
      </c>
      <c r="P2479" t="str">
        <f>TRIM(Table1[[#This Row],[country]])</f>
        <v>Finland</v>
      </c>
    </row>
    <row r="2480" spans="1:16" x14ac:dyDescent="0.3">
      <c r="A2480" s="1">
        <v>38358</v>
      </c>
      <c r="B2480">
        <v>10363</v>
      </c>
      <c r="C2480">
        <v>334</v>
      </c>
      <c r="D2480" t="s">
        <v>163</v>
      </c>
      <c r="E2480" t="s">
        <v>164</v>
      </c>
      <c r="F2480" t="s">
        <v>29</v>
      </c>
      <c r="G2480" t="s">
        <v>113</v>
      </c>
      <c r="H2480">
        <v>34</v>
      </c>
      <c r="I2480" s="2">
        <v>106.87</v>
      </c>
      <c r="J2480" s="2">
        <v>75.16</v>
      </c>
      <c r="K2480" s="2">
        <v>3633.58</v>
      </c>
      <c r="L2480" s="2">
        <v>2555.44</v>
      </c>
      <c r="M2480" s="2">
        <v>1078.1400000000001</v>
      </c>
      <c r="N2480">
        <v>3</v>
      </c>
      <c r="P2480" t="str">
        <f>TRIM(Table1[[#This Row],[country]])</f>
        <v>Finland</v>
      </c>
    </row>
    <row r="2481" spans="1:16" x14ac:dyDescent="0.3">
      <c r="A2481" s="1">
        <v>38358</v>
      </c>
      <c r="B2481">
        <v>10363</v>
      </c>
      <c r="C2481">
        <v>334</v>
      </c>
      <c r="D2481" t="s">
        <v>163</v>
      </c>
      <c r="E2481" t="s">
        <v>164</v>
      </c>
      <c r="F2481" t="s">
        <v>29</v>
      </c>
      <c r="G2481" t="s">
        <v>114</v>
      </c>
      <c r="H2481">
        <v>34</v>
      </c>
      <c r="I2481" s="2">
        <v>68.63</v>
      </c>
      <c r="J2481" s="2">
        <v>31.92</v>
      </c>
      <c r="K2481" s="2">
        <v>2333.42</v>
      </c>
      <c r="L2481" s="2">
        <v>1085.28</v>
      </c>
      <c r="M2481" s="2">
        <v>1248.1400000000001</v>
      </c>
      <c r="N2481">
        <v>3</v>
      </c>
      <c r="P2481" t="str">
        <f>TRIM(Table1[[#This Row],[country]])</f>
        <v>Finland</v>
      </c>
    </row>
    <row r="2482" spans="1:16" x14ac:dyDescent="0.3">
      <c r="A2482" s="1">
        <v>38358</v>
      </c>
      <c r="B2482">
        <v>10363</v>
      </c>
      <c r="C2482">
        <v>334</v>
      </c>
      <c r="D2482" t="s">
        <v>163</v>
      </c>
      <c r="E2482" t="s">
        <v>164</v>
      </c>
      <c r="F2482" t="s">
        <v>29</v>
      </c>
      <c r="G2482" t="s">
        <v>115</v>
      </c>
      <c r="H2482">
        <v>46</v>
      </c>
      <c r="I2482" s="2">
        <v>103.64</v>
      </c>
      <c r="J2482" s="2">
        <v>58.73</v>
      </c>
      <c r="K2482" s="2">
        <v>4767.4399999999996</v>
      </c>
      <c r="L2482" s="2">
        <v>2701.58</v>
      </c>
      <c r="M2482" s="2">
        <v>2065.86</v>
      </c>
      <c r="N2482">
        <v>3</v>
      </c>
      <c r="P2482" t="str">
        <f>TRIM(Table1[[#This Row],[country]])</f>
        <v>Finland</v>
      </c>
    </row>
    <row r="2483" spans="1:16" x14ac:dyDescent="0.3">
      <c r="A2483" s="1">
        <v>38358</v>
      </c>
      <c r="B2483">
        <v>10363</v>
      </c>
      <c r="C2483">
        <v>334</v>
      </c>
      <c r="D2483" t="s">
        <v>163</v>
      </c>
      <c r="E2483" t="s">
        <v>164</v>
      </c>
      <c r="F2483" t="s">
        <v>29</v>
      </c>
      <c r="G2483" t="s">
        <v>116</v>
      </c>
      <c r="H2483">
        <v>22</v>
      </c>
      <c r="I2483" s="2">
        <v>61.6</v>
      </c>
      <c r="J2483" s="2">
        <v>53.9</v>
      </c>
      <c r="K2483" s="2">
        <v>1355.2</v>
      </c>
      <c r="L2483" s="2">
        <v>1185.8</v>
      </c>
      <c r="M2483" s="2">
        <v>169.4</v>
      </c>
      <c r="N2483">
        <v>3</v>
      </c>
      <c r="P2483" t="str">
        <f>TRIM(Table1[[#This Row],[country]])</f>
        <v>Finland</v>
      </c>
    </row>
    <row r="2484" spans="1:16" x14ac:dyDescent="0.3">
      <c r="A2484" s="1">
        <v>38358</v>
      </c>
      <c r="B2484">
        <v>10363</v>
      </c>
      <c r="C2484">
        <v>334</v>
      </c>
      <c r="D2484" t="s">
        <v>163</v>
      </c>
      <c r="E2484" t="s">
        <v>164</v>
      </c>
      <c r="F2484" t="s">
        <v>29</v>
      </c>
      <c r="G2484" t="s">
        <v>117</v>
      </c>
      <c r="H2484">
        <v>46</v>
      </c>
      <c r="I2484" s="2">
        <v>69.150000000000006</v>
      </c>
      <c r="J2484" s="2">
        <v>49.05</v>
      </c>
      <c r="K2484" s="2">
        <v>3180.9</v>
      </c>
      <c r="L2484" s="2">
        <v>2256.3000000000002</v>
      </c>
      <c r="M2484" s="2">
        <v>924.6</v>
      </c>
      <c r="N2484">
        <v>3</v>
      </c>
      <c r="P2484" t="str">
        <f>TRIM(Table1[[#This Row],[country]])</f>
        <v>Finland</v>
      </c>
    </row>
    <row r="2485" spans="1:16" x14ac:dyDescent="0.3">
      <c r="A2485" s="1">
        <v>38358</v>
      </c>
      <c r="B2485">
        <v>10363</v>
      </c>
      <c r="C2485">
        <v>334</v>
      </c>
      <c r="D2485" t="s">
        <v>163</v>
      </c>
      <c r="E2485" t="s">
        <v>164</v>
      </c>
      <c r="F2485" t="s">
        <v>29</v>
      </c>
      <c r="G2485" t="s">
        <v>118</v>
      </c>
      <c r="H2485">
        <v>24</v>
      </c>
      <c r="I2485" s="2">
        <v>124.94</v>
      </c>
      <c r="J2485" s="2">
        <v>73.489999999999995</v>
      </c>
      <c r="K2485" s="2">
        <v>2998.56</v>
      </c>
      <c r="L2485" s="2">
        <v>1763.76</v>
      </c>
      <c r="M2485" s="2">
        <v>1234.8</v>
      </c>
      <c r="N2485">
        <v>3</v>
      </c>
      <c r="P2485" t="str">
        <f>TRIM(Table1[[#This Row],[country]])</f>
        <v>Finland</v>
      </c>
    </row>
    <row r="2486" spans="1:16" x14ac:dyDescent="0.3">
      <c r="A2486" s="1">
        <v>38358</v>
      </c>
      <c r="B2486">
        <v>10363</v>
      </c>
      <c r="C2486">
        <v>334</v>
      </c>
      <c r="D2486" t="s">
        <v>163</v>
      </c>
      <c r="E2486" t="s">
        <v>164</v>
      </c>
      <c r="F2486" t="s">
        <v>102</v>
      </c>
      <c r="G2486" t="s">
        <v>119</v>
      </c>
      <c r="H2486">
        <v>32</v>
      </c>
      <c r="I2486" s="2">
        <v>52.22</v>
      </c>
      <c r="J2486" s="2">
        <v>32.950000000000003</v>
      </c>
      <c r="K2486" s="2">
        <v>1671.04</v>
      </c>
      <c r="L2486" s="2">
        <v>1054.4000000000001</v>
      </c>
      <c r="M2486" s="2">
        <v>616.64</v>
      </c>
      <c r="N2486">
        <v>3</v>
      </c>
      <c r="P2486" t="str">
        <f>TRIM(Table1[[#This Row],[country]])</f>
        <v>Finland</v>
      </c>
    </row>
    <row r="2487" spans="1:16" x14ac:dyDescent="0.3">
      <c r="A2487" s="1">
        <v>38358</v>
      </c>
      <c r="B2487">
        <v>10363</v>
      </c>
      <c r="C2487">
        <v>334</v>
      </c>
      <c r="D2487" t="s">
        <v>163</v>
      </c>
      <c r="E2487" t="s">
        <v>164</v>
      </c>
      <c r="F2487" t="s">
        <v>29</v>
      </c>
      <c r="G2487" t="s">
        <v>120</v>
      </c>
      <c r="H2487">
        <v>28</v>
      </c>
      <c r="I2487" s="2">
        <v>123.5</v>
      </c>
      <c r="J2487" s="2">
        <v>69.930000000000007</v>
      </c>
      <c r="K2487" s="2">
        <v>3458</v>
      </c>
      <c r="L2487" s="2">
        <v>1958.04</v>
      </c>
      <c r="M2487" s="2">
        <v>1499.96</v>
      </c>
      <c r="N2487">
        <v>3</v>
      </c>
      <c r="P2487" t="str">
        <f>TRIM(Table1[[#This Row],[country]])</f>
        <v>Finland</v>
      </c>
    </row>
    <row r="2488" spans="1:16" x14ac:dyDescent="0.3">
      <c r="A2488" s="1">
        <v>38358</v>
      </c>
      <c r="B2488">
        <v>10363</v>
      </c>
      <c r="C2488">
        <v>334</v>
      </c>
      <c r="D2488" t="s">
        <v>163</v>
      </c>
      <c r="E2488" t="s">
        <v>164</v>
      </c>
      <c r="F2488" t="s">
        <v>102</v>
      </c>
      <c r="G2488" t="s">
        <v>109</v>
      </c>
      <c r="H2488">
        <v>21</v>
      </c>
      <c r="I2488" s="2">
        <v>70.08</v>
      </c>
      <c r="J2488" s="2">
        <v>37.32</v>
      </c>
      <c r="K2488" s="2">
        <v>1471.68</v>
      </c>
      <c r="L2488" s="2">
        <v>783.72</v>
      </c>
      <c r="M2488" s="2">
        <v>687.96</v>
      </c>
      <c r="N2488">
        <v>3</v>
      </c>
      <c r="P2488" t="str">
        <f>TRIM(Table1[[#This Row],[country]])</f>
        <v>Finland</v>
      </c>
    </row>
    <row r="2489" spans="1:16" x14ac:dyDescent="0.3">
      <c r="A2489" s="1">
        <v>38358</v>
      </c>
      <c r="B2489">
        <v>10363</v>
      </c>
      <c r="C2489">
        <v>334</v>
      </c>
      <c r="D2489" t="s">
        <v>163</v>
      </c>
      <c r="E2489" t="s">
        <v>164</v>
      </c>
      <c r="F2489" t="s">
        <v>102</v>
      </c>
      <c r="G2489" t="s">
        <v>121</v>
      </c>
      <c r="H2489">
        <v>43</v>
      </c>
      <c r="I2489" s="2">
        <v>56.1</v>
      </c>
      <c r="J2489" s="2">
        <v>47.1</v>
      </c>
      <c r="K2489" s="2">
        <v>2412.3000000000002</v>
      </c>
      <c r="L2489" s="2">
        <v>2025.3</v>
      </c>
      <c r="M2489" s="2">
        <v>387</v>
      </c>
      <c r="N2489">
        <v>3</v>
      </c>
      <c r="P2489" t="str">
        <f>TRIM(Table1[[#This Row],[country]])</f>
        <v>Finland</v>
      </c>
    </row>
    <row r="2490" spans="1:16" x14ac:dyDescent="0.3">
      <c r="A2490" s="1">
        <v>38358</v>
      </c>
      <c r="B2490">
        <v>10363</v>
      </c>
      <c r="C2490">
        <v>334</v>
      </c>
      <c r="D2490" t="s">
        <v>163</v>
      </c>
      <c r="E2490" t="s">
        <v>164</v>
      </c>
      <c r="F2490" t="s">
        <v>29</v>
      </c>
      <c r="G2490" t="s">
        <v>122</v>
      </c>
      <c r="H2490">
        <v>21</v>
      </c>
      <c r="I2490" s="2">
        <v>52.05</v>
      </c>
      <c r="J2490" s="2">
        <v>38.58</v>
      </c>
      <c r="K2490" s="2">
        <v>1093.05</v>
      </c>
      <c r="L2490" s="2">
        <v>810.18</v>
      </c>
      <c r="M2490" s="2">
        <v>282.87</v>
      </c>
      <c r="N2490">
        <v>3</v>
      </c>
      <c r="P2490" t="str">
        <f>TRIM(Table1[[#This Row],[country]])</f>
        <v>Finland</v>
      </c>
    </row>
    <row r="2491" spans="1:16" x14ac:dyDescent="0.3">
      <c r="A2491" s="1">
        <v>38358</v>
      </c>
      <c r="B2491">
        <v>10363</v>
      </c>
      <c r="C2491">
        <v>334</v>
      </c>
      <c r="D2491" t="s">
        <v>163</v>
      </c>
      <c r="E2491" t="s">
        <v>164</v>
      </c>
      <c r="F2491" t="s">
        <v>29</v>
      </c>
      <c r="G2491" t="s">
        <v>123</v>
      </c>
      <c r="H2491">
        <v>31</v>
      </c>
      <c r="I2491" s="2">
        <v>113.75</v>
      </c>
      <c r="J2491" s="2">
        <v>98.3</v>
      </c>
      <c r="K2491" s="2">
        <v>3526.25</v>
      </c>
      <c r="L2491" s="2">
        <v>3047.3</v>
      </c>
      <c r="M2491" s="2">
        <v>478.95</v>
      </c>
      <c r="N2491">
        <v>3</v>
      </c>
      <c r="P2491" t="str">
        <f>TRIM(Table1[[#This Row],[country]])</f>
        <v>Finland</v>
      </c>
    </row>
    <row r="2492" spans="1:16" x14ac:dyDescent="0.3">
      <c r="A2492" s="1">
        <v>38358</v>
      </c>
      <c r="B2492">
        <v>10363</v>
      </c>
      <c r="C2492">
        <v>334</v>
      </c>
      <c r="D2492" t="s">
        <v>163</v>
      </c>
      <c r="E2492" t="s">
        <v>164</v>
      </c>
      <c r="F2492" t="s">
        <v>29</v>
      </c>
      <c r="G2492" t="s">
        <v>124</v>
      </c>
      <c r="H2492">
        <v>43</v>
      </c>
      <c r="I2492" s="2">
        <v>75.989999999999995</v>
      </c>
      <c r="J2492" s="2">
        <v>32.33</v>
      </c>
      <c r="K2492" s="2">
        <v>3267.57</v>
      </c>
      <c r="L2492" s="2">
        <v>1390.19</v>
      </c>
      <c r="M2492" s="2">
        <v>1877.38</v>
      </c>
      <c r="N2492">
        <v>3</v>
      </c>
      <c r="P2492" t="str">
        <f>TRIM(Table1[[#This Row],[country]])</f>
        <v>Finland</v>
      </c>
    </row>
    <row r="2493" spans="1:16" x14ac:dyDescent="0.3">
      <c r="A2493" s="1">
        <v>38358</v>
      </c>
      <c r="B2493">
        <v>10363</v>
      </c>
      <c r="C2493">
        <v>334</v>
      </c>
      <c r="D2493" t="s">
        <v>163</v>
      </c>
      <c r="E2493" t="s">
        <v>164</v>
      </c>
      <c r="F2493" t="s">
        <v>102</v>
      </c>
      <c r="G2493" t="s">
        <v>110</v>
      </c>
      <c r="H2493">
        <v>50</v>
      </c>
      <c r="I2493" s="2">
        <v>92.9</v>
      </c>
      <c r="J2493" s="2">
        <v>66.92</v>
      </c>
      <c r="K2493" s="2">
        <v>4645</v>
      </c>
      <c r="L2493" s="2">
        <v>3346</v>
      </c>
      <c r="M2493" s="2">
        <v>1299</v>
      </c>
      <c r="N2493">
        <v>3</v>
      </c>
      <c r="P2493" t="str">
        <f>TRIM(Table1[[#This Row],[country]])</f>
        <v>Finland</v>
      </c>
    </row>
    <row r="2494" spans="1:16" x14ac:dyDescent="0.3">
      <c r="A2494" s="1">
        <v>38358</v>
      </c>
      <c r="B2494">
        <v>10364</v>
      </c>
      <c r="C2494">
        <v>350</v>
      </c>
      <c r="D2494" t="s">
        <v>153</v>
      </c>
      <c r="E2494" t="s">
        <v>144</v>
      </c>
      <c r="F2494" t="s">
        <v>102</v>
      </c>
      <c r="G2494" t="s">
        <v>125</v>
      </c>
      <c r="H2494">
        <v>48</v>
      </c>
      <c r="I2494" s="2">
        <v>38.22</v>
      </c>
      <c r="J2494" s="2">
        <v>24.14</v>
      </c>
      <c r="K2494" s="2">
        <v>1834.56</v>
      </c>
      <c r="L2494" s="2">
        <v>1158.72</v>
      </c>
      <c r="M2494" s="2">
        <v>675.84</v>
      </c>
      <c r="N2494">
        <v>3</v>
      </c>
      <c r="P2494" t="str">
        <f>TRIM(Table1[[#This Row],[country]])</f>
        <v>France</v>
      </c>
    </row>
    <row r="2495" spans="1:16" x14ac:dyDescent="0.3">
      <c r="A2495" s="1">
        <v>38359</v>
      </c>
      <c r="B2495">
        <v>10365</v>
      </c>
      <c r="C2495">
        <v>320</v>
      </c>
      <c r="D2495" t="s">
        <v>216</v>
      </c>
      <c r="E2495" t="s">
        <v>14</v>
      </c>
      <c r="F2495" t="s">
        <v>29</v>
      </c>
      <c r="G2495" t="s">
        <v>128</v>
      </c>
      <c r="H2495">
        <v>30</v>
      </c>
      <c r="I2495" s="2">
        <v>116.06</v>
      </c>
      <c r="J2495" s="2">
        <v>83.51</v>
      </c>
      <c r="K2495" s="2">
        <v>3481.8</v>
      </c>
      <c r="L2495" s="2">
        <v>2505.3000000000002</v>
      </c>
      <c r="M2495" s="2">
        <v>976.5</v>
      </c>
      <c r="N2495">
        <v>3</v>
      </c>
      <c r="P2495" t="str">
        <f>TRIM(Table1[[#This Row],[country]])</f>
        <v>USA</v>
      </c>
    </row>
    <row r="2496" spans="1:16" x14ac:dyDescent="0.3">
      <c r="A2496" s="1">
        <v>38359</v>
      </c>
      <c r="B2496">
        <v>10365</v>
      </c>
      <c r="C2496">
        <v>320</v>
      </c>
      <c r="D2496" t="s">
        <v>216</v>
      </c>
      <c r="E2496" t="s">
        <v>14</v>
      </c>
      <c r="F2496" t="s">
        <v>102</v>
      </c>
      <c r="G2496" t="s">
        <v>126</v>
      </c>
      <c r="H2496">
        <v>22</v>
      </c>
      <c r="I2496" s="2">
        <v>82.66</v>
      </c>
      <c r="J2496" s="2">
        <v>56.13</v>
      </c>
      <c r="K2496" s="2">
        <v>1818.52</v>
      </c>
      <c r="L2496" s="2">
        <v>1234.8599999999999</v>
      </c>
      <c r="M2496" s="2">
        <v>583.66</v>
      </c>
      <c r="N2496">
        <v>3</v>
      </c>
      <c r="P2496" t="str">
        <f>TRIM(Table1[[#This Row],[country]])</f>
        <v>USA</v>
      </c>
    </row>
    <row r="2497" spans="1:16" x14ac:dyDescent="0.3">
      <c r="A2497" s="1">
        <v>38359</v>
      </c>
      <c r="B2497">
        <v>10365</v>
      </c>
      <c r="C2497">
        <v>320</v>
      </c>
      <c r="D2497" t="s">
        <v>216</v>
      </c>
      <c r="E2497" t="s">
        <v>14</v>
      </c>
      <c r="F2497" t="s">
        <v>102</v>
      </c>
      <c r="G2497" t="s">
        <v>127</v>
      </c>
      <c r="H2497">
        <v>44</v>
      </c>
      <c r="I2497" s="2">
        <v>68.34</v>
      </c>
      <c r="J2497" s="2">
        <v>34.17</v>
      </c>
      <c r="K2497" s="2">
        <v>3006.96</v>
      </c>
      <c r="L2497" s="2">
        <v>1503.48</v>
      </c>
      <c r="M2497" s="2">
        <v>1503.48</v>
      </c>
      <c r="N2497">
        <v>3</v>
      </c>
      <c r="P2497" t="str">
        <f>TRIM(Table1[[#This Row],[country]])</f>
        <v>USA</v>
      </c>
    </row>
    <row r="2498" spans="1:16" x14ac:dyDescent="0.3">
      <c r="A2498" s="1">
        <v>38362</v>
      </c>
      <c r="B2498">
        <v>10366</v>
      </c>
      <c r="C2498">
        <v>381</v>
      </c>
      <c r="D2498" t="s">
        <v>145</v>
      </c>
      <c r="E2498" t="s">
        <v>146</v>
      </c>
      <c r="F2498" t="s">
        <v>29</v>
      </c>
      <c r="G2498" t="s">
        <v>129</v>
      </c>
      <c r="H2498">
        <v>34</v>
      </c>
      <c r="I2498" s="2">
        <v>116.65</v>
      </c>
      <c r="J2498" s="2">
        <v>93.89</v>
      </c>
      <c r="K2498" s="2">
        <v>3966.1</v>
      </c>
      <c r="L2498" s="2">
        <v>3192.26</v>
      </c>
      <c r="M2498" s="2">
        <v>773.84</v>
      </c>
      <c r="N2498">
        <v>4</v>
      </c>
      <c r="P2498" t="str">
        <f>TRIM(Table1[[#This Row],[country]])</f>
        <v>Belgium</v>
      </c>
    </row>
    <row r="2499" spans="1:16" x14ac:dyDescent="0.3">
      <c r="A2499" s="1">
        <v>38362</v>
      </c>
      <c r="B2499">
        <v>10366</v>
      </c>
      <c r="C2499">
        <v>381</v>
      </c>
      <c r="D2499" t="s">
        <v>145</v>
      </c>
      <c r="E2499" t="s">
        <v>146</v>
      </c>
      <c r="F2499" t="s">
        <v>29</v>
      </c>
      <c r="G2499" t="s">
        <v>130</v>
      </c>
      <c r="H2499">
        <v>49</v>
      </c>
      <c r="I2499" s="2">
        <v>105.6</v>
      </c>
      <c r="J2499" s="2">
        <v>56.76</v>
      </c>
      <c r="K2499" s="2">
        <v>5174.3999999999996</v>
      </c>
      <c r="L2499" s="2">
        <v>2781.24</v>
      </c>
      <c r="M2499" s="2">
        <v>2393.16</v>
      </c>
      <c r="N2499">
        <v>4</v>
      </c>
      <c r="P2499" t="str">
        <f>TRIM(Table1[[#This Row],[country]])</f>
        <v>Belgium</v>
      </c>
    </row>
    <row r="2500" spans="1:16" x14ac:dyDescent="0.3">
      <c r="A2500" s="1">
        <v>38362</v>
      </c>
      <c r="B2500">
        <v>10366</v>
      </c>
      <c r="C2500">
        <v>381</v>
      </c>
      <c r="D2500" t="s">
        <v>145</v>
      </c>
      <c r="E2500" t="s">
        <v>146</v>
      </c>
      <c r="F2500" t="s">
        <v>29</v>
      </c>
      <c r="G2500" t="s">
        <v>53</v>
      </c>
      <c r="H2500">
        <v>34</v>
      </c>
      <c r="I2500" s="2">
        <v>154.1</v>
      </c>
      <c r="J2500" s="2">
        <v>77.900000000000006</v>
      </c>
      <c r="K2500" s="2">
        <v>5239.3999999999996</v>
      </c>
      <c r="L2500" s="2">
        <v>2648.6</v>
      </c>
      <c r="M2500" s="2">
        <v>2590.8000000000002</v>
      </c>
      <c r="N2500">
        <v>4</v>
      </c>
      <c r="P2500" t="str">
        <f>TRIM(Table1[[#This Row],[country]])</f>
        <v>Belgium</v>
      </c>
    </row>
    <row r="2501" spans="1:16" x14ac:dyDescent="0.3">
      <c r="A2501" s="1">
        <v>38364</v>
      </c>
      <c r="B2501">
        <v>10367</v>
      </c>
      <c r="C2501">
        <v>205</v>
      </c>
      <c r="D2501" t="s">
        <v>217</v>
      </c>
      <c r="E2501" t="s">
        <v>14</v>
      </c>
      <c r="F2501" t="s">
        <v>29</v>
      </c>
      <c r="G2501" t="s">
        <v>134</v>
      </c>
      <c r="H2501">
        <v>49</v>
      </c>
      <c r="I2501" s="2">
        <v>105.77</v>
      </c>
      <c r="J2501" s="2">
        <v>65.959999999999994</v>
      </c>
      <c r="K2501" s="2">
        <v>5182.7299999999996</v>
      </c>
      <c r="L2501" s="2">
        <v>3232.04</v>
      </c>
      <c r="M2501" s="2">
        <v>1950.69</v>
      </c>
      <c r="N2501">
        <v>3</v>
      </c>
      <c r="P2501" t="str">
        <f>TRIM(Table1[[#This Row],[country]])</f>
        <v>USA</v>
      </c>
    </row>
    <row r="2502" spans="1:16" x14ac:dyDescent="0.3">
      <c r="A2502" s="1">
        <v>38364</v>
      </c>
      <c r="B2502">
        <v>10367</v>
      </c>
      <c r="C2502">
        <v>205</v>
      </c>
      <c r="D2502" t="s">
        <v>217</v>
      </c>
      <c r="E2502" t="s">
        <v>14</v>
      </c>
      <c r="F2502" t="s">
        <v>15</v>
      </c>
      <c r="G2502" t="s">
        <v>16</v>
      </c>
      <c r="H2502">
        <v>37</v>
      </c>
      <c r="I2502" s="2">
        <v>144.5</v>
      </c>
      <c r="J2502" s="2">
        <v>86.7</v>
      </c>
      <c r="K2502" s="2">
        <v>5346.5</v>
      </c>
      <c r="L2502" s="2">
        <v>3207.9</v>
      </c>
      <c r="M2502" s="2">
        <v>2138.6</v>
      </c>
      <c r="N2502">
        <v>3</v>
      </c>
      <c r="P2502" t="str">
        <f>TRIM(Table1[[#This Row],[country]])</f>
        <v>USA</v>
      </c>
    </row>
    <row r="2503" spans="1:16" x14ac:dyDescent="0.3">
      <c r="A2503" s="1">
        <v>38364</v>
      </c>
      <c r="B2503">
        <v>10367</v>
      </c>
      <c r="C2503">
        <v>205</v>
      </c>
      <c r="D2503" t="s">
        <v>217</v>
      </c>
      <c r="E2503" t="s">
        <v>14</v>
      </c>
      <c r="F2503" t="s">
        <v>15</v>
      </c>
      <c r="G2503" t="s">
        <v>17</v>
      </c>
      <c r="H2503">
        <v>45</v>
      </c>
      <c r="I2503" s="2">
        <v>50.25</v>
      </c>
      <c r="J2503" s="2">
        <v>33.299999999999997</v>
      </c>
      <c r="K2503" s="2">
        <v>2261.25</v>
      </c>
      <c r="L2503" s="2">
        <v>1498.5</v>
      </c>
      <c r="M2503" s="2">
        <v>762.75</v>
      </c>
      <c r="N2503">
        <v>3</v>
      </c>
      <c r="P2503" t="str">
        <f>TRIM(Table1[[#This Row],[country]])</f>
        <v>USA</v>
      </c>
    </row>
    <row r="2504" spans="1:16" x14ac:dyDescent="0.3">
      <c r="A2504" s="1">
        <v>38364</v>
      </c>
      <c r="B2504">
        <v>10367</v>
      </c>
      <c r="C2504">
        <v>205</v>
      </c>
      <c r="D2504" t="s">
        <v>217</v>
      </c>
      <c r="E2504" t="s">
        <v>14</v>
      </c>
      <c r="F2504" t="s">
        <v>15</v>
      </c>
      <c r="G2504" t="s">
        <v>21</v>
      </c>
      <c r="H2504">
        <v>27</v>
      </c>
      <c r="I2504" s="2">
        <v>124.59</v>
      </c>
      <c r="J2504" s="2">
        <v>58.48</v>
      </c>
      <c r="K2504" s="2">
        <v>3363.93</v>
      </c>
      <c r="L2504" s="2">
        <v>1578.96</v>
      </c>
      <c r="M2504" s="2">
        <v>1784.97</v>
      </c>
      <c r="N2504">
        <v>3</v>
      </c>
      <c r="P2504" t="str">
        <f>TRIM(Table1[[#This Row],[country]])</f>
        <v>USA</v>
      </c>
    </row>
    <row r="2505" spans="1:16" x14ac:dyDescent="0.3">
      <c r="A2505" s="1">
        <v>38364</v>
      </c>
      <c r="B2505">
        <v>10367</v>
      </c>
      <c r="C2505">
        <v>205</v>
      </c>
      <c r="D2505" t="s">
        <v>217</v>
      </c>
      <c r="E2505" t="s">
        <v>14</v>
      </c>
      <c r="F2505" t="s">
        <v>15</v>
      </c>
      <c r="G2505" t="s">
        <v>22</v>
      </c>
      <c r="H2505">
        <v>32</v>
      </c>
      <c r="I2505" s="2">
        <v>140.06</v>
      </c>
      <c r="J2505" s="2">
        <v>72.56</v>
      </c>
      <c r="K2505" s="2">
        <v>4481.92</v>
      </c>
      <c r="L2505" s="2">
        <v>2321.92</v>
      </c>
      <c r="M2505" s="2">
        <v>2160</v>
      </c>
      <c r="N2505">
        <v>3</v>
      </c>
      <c r="P2505" t="str">
        <f>TRIM(Table1[[#This Row],[country]])</f>
        <v>USA</v>
      </c>
    </row>
    <row r="2506" spans="1:16" x14ac:dyDescent="0.3">
      <c r="A2506" s="1">
        <v>38364</v>
      </c>
      <c r="B2506">
        <v>10367</v>
      </c>
      <c r="C2506">
        <v>205</v>
      </c>
      <c r="D2506" t="s">
        <v>217</v>
      </c>
      <c r="E2506" t="s">
        <v>14</v>
      </c>
      <c r="F2506" t="s">
        <v>29</v>
      </c>
      <c r="G2506" t="s">
        <v>131</v>
      </c>
      <c r="H2506">
        <v>46</v>
      </c>
      <c r="I2506" s="2">
        <v>131.38999999999999</v>
      </c>
      <c r="J2506" s="2">
        <v>62.16</v>
      </c>
      <c r="K2506" s="2">
        <v>6043.94</v>
      </c>
      <c r="L2506" s="2">
        <v>2859.36</v>
      </c>
      <c r="M2506" s="2">
        <v>3184.58</v>
      </c>
      <c r="N2506">
        <v>3</v>
      </c>
      <c r="P2506" t="str">
        <f>TRIM(Table1[[#This Row],[country]])</f>
        <v>USA</v>
      </c>
    </row>
    <row r="2507" spans="1:16" x14ac:dyDescent="0.3">
      <c r="A2507" s="1">
        <v>38364</v>
      </c>
      <c r="B2507">
        <v>10367</v>
      </c>
      <c r="C2507">
        <v>205</v>
      </c>
      <c r="D2507" t="s">
        <v>217</v>
      </c>
      <c r="E2507" t="s">
        <v>14</v>
      </c>
      <c r="F2507" t="s">
        <v>15</v>
      </c>
      <c r="G2507" t="s">
        <v>18</v>
      </c>
      <c r="H2507">
        <v>43</v>
      </c>
      <c r="I2507" s="2">
        <v>77.31</v>
      </c>
      <c r="J2507" s="2">
        <v>43.26</v>
      </c>
      <c r="K2507" s="2">
        <v>3324.33</v>
      </c>
      <c r="L2507" s="2">
        <v>1860.18</v>
      </c>
      <c r="M2507" s="2">
        <v>1464.15</v>
      </c>
      <c r="N2507">
        <v>3</v>
      </c>
      <c r="P2507" t="str">
        <f>TRIM(Table1[[#This Row],[country]])</f>
        <v>USA</v>
      </c>
    </row>
    <row r="2508" spans="1:16" x14ac:dyDescent="0.3">
      <c r="A2508" s="1">
        <v>38364</v>
      </c>
      <c r="B2508">
        <v>10367</v>
      </c>
      <c r="C2508">
        <v>205</v>
      </c>
      <c r="D2508" t="s">
        <v>217</v>
      </c>
      <c r="E2508" t="s">
        <v>14</v>
      </c>
      <c r="F2508" t="s">
        <v>29</v>
      </c>
      <c r="G2508" t="s">
        <v>135</v>
      </c>
      <c r="H2508">
        <v>44</v>
      </c>
      <c r="I2508" s="2">
        <v>66.989999999999995</v>
      </c>
      <c r="J2508" s="2">
        <v>34.21</v>
      </c>
      <c r="K2508" s="2">
        <v>2947.56</v>
      </c>
      <c r="L2508" s="2">
        <v>1505.24</v>
      </c>
      <c r="M2508" s="2">
        <v>1442.32</v>
      </c>
      <c r="N2508">
        <v>3</v>
      </c>
      <c r="P2508" t="str">
        <f>TRIM(Table1[[#This Row],[country]])</f>
        <v>USA</v>
      </c>
    </row>
    <row r="2509" spans="1:16" x14ac:dyDescent="0.3">
      <c r="A2509" s="1">
        <v>38364</v>
      </c>
      <c r="B2509">
        <v>10367</v>
      </c>
      <c r="C2509">
        <v>205</v>
      </c>
      <c r="D2509" t="s">
        <v>217</v>
      </c>
      <c r="E2509" t="s">
        <v>14</v>
      </c>
      <c r="F2509" t="s">
        <v>29</v>
      </c>
      <c r="G2509" t="s">
        <v>136</v>
      </c>
      <c r="H2509">
        <v>21</v>
      </c>
      <c r="I2509" s="2">
        <v>72.760000000000005</v>
      </c>
      <c r="J2509" s="2">
        <v>49.24</v>
      </c>
      <c r="K2509" s="2">
        <v>1527.96</v>
      </c>
      <c r="L2509" s="2">
        <v>1034.04</v>
      </c>
      <c r="M2509" s="2">
        <v>493.92</v>
      </c>
      <c r="N2509">
        <v>3</v>
      </c>
      <c r="P2509" t="str">
        <f>TRIM(Table1[[#This Row],[country]])</f>
        <v>USA</v>
      </c>
    </row>
    <row r="2510" spans="1:16" x14ac:dyDescent="0.3">
      <c r="A2510" s="1">
        <v>38364</v>
      </c>
      <c r="B2510">
        <v>10367</v>
      </c>
      <c r="C2510">
        <v>205</v>
      </c>
      <c r="D2510" t="s">
        <v>217</v>
      </c>
      <c r="E2510" t="s">
        <v>14</v>
      </c>
      <c r="F2510" t="s">
        <v>29</v>
      </c>
      <c r="G2510" t="s">
        <v>137</v>
      </c>
      <c r="H2510">
        <v>38</v>
      </c>
      <c r="I2510" s="2">
        <v>50.31</v>
      </c>
      <c r="J2510" s="2">
        <v>29.18</v>
      </c>
      <c r="K2510" s="2">
        <v>1911.78</v>
      </c>
      <c r="L2510" s="2">
        <v>1108.8399999999999</v>
      </c>
      <c r="M2510" s="2">
        <v>802.94</v>
      </c>
      <c r="N2510">
        <v>3</v>
      </c>
      <c r="P2510" t="str">
        <f>TRIM(Table1[[#This Row],[country]])</f>
        <v>USA</v>
      </c>
    </row>
    <row r="2511" spans="1:16" x14ac:dyDescent="0.3">
      <c r="A2511" s="1">
        <v>38364</v>
      </c>
      <c r="B2511">
        <v>10367</v>
      </c>
      <c r="C2511">
        <v>205</v>
      </c>
      <c r="D2511" t="s">
        <v>217</v>
      </c>
      <c r="E2511" t="s">
        <v>14</v>
      </c>
      <c r="F2511" t="s">
        <v>15</v>
      </c>
      <c r="G2511" t="s">
        <v>23</v>
      </c>
      <c r="H2511">
        <v>23</v>
      </c>
      <c r="I2511" s="2">
        <v>29.54</v>
      </c>
      <c r="J2511" s="2">
        <v>22.57</v>
      </c>
      <c r="K2511" s="2">
        <v>679.42</v>
      </c>
      <c r="L2511" s="2">
        <v>519.11</v>
      </c>
      <c r="M2511" s="2">
        <v>160.31</v>
      </c>
      <c r="N2511">
        <v>3</v>
      </c>
      <c r="P2511" t="str">
        <f>TRIM(Table1[[#This Row],[country]])</f>
        <v>USA</v>
      </c>
    </row>
    <row r="2512" spans="1:16" x14ac:dyDescent="0.3">
      <c r="A2512" s="1">
        <v>38364</v>
      </c>
      <c r="B2512">
        <v>10367</v>
      </c>
      <c r="C2512">
        <v>205</v>
      </c>
      <c r="D2512" t="s">
        <v>217</v>
      </c>
      <c r="E2512" t="s">
        <v>14</v>
      </c>
      <c r="F2512" t="s">
        <v>15</v>
      </c>
      <c r="G2512" t="s">
        <v>24</v>
      </c>
      <c r="H2512">
        <v>28</v>
      </c>
      <c r="I2512" s="2">
        <v>43.01</v>
      </c>
      <c r="J2512" s="2">
        <v>20.61</v>
      </c>
      <c r="K2512" s="2">
        <v>1204.28</v>
      </c>
      <c r="L2512" s="2">
        <v>577.08000000000004</v>
      </c>
      <c r="M2512" s="2">
        <v>627.20000000000005</v>
      </c>
      <c r="N2512">
        <v>3</v>
      </c>
      <c r="P2512" t="str">
        <f>TRIM(Table1[[#This Row],[country]])</f>
        <v>USA</v>
      </c>
    </row>
    <row r="2513" spans="1:16" x14ac:dyDescent="0.3">
      <c r="A2513" s="1">
        <v>38364</v>
      </c>
      <c r="B2513">
        <v>10367</v>
      </c>
      <c r="C2513">
        <v>205</v>
      </c>
      <c r="D2513" t="s">
        <v>217</v>
      </c>
      <c r="E2513" t="s">
        <v>14</v>
      </c>
      <c r="F2513" t="s">
        <v>29</v>
      </c>
      <c r="G2513" t="s">
        <v>132</v>
      </c>
      <c r="H2513">
        <v>36</v>
      </c>
      <c r="I2513" s="2">
        <v>36.25</v>
      </c>
      <c r="J2513" s="2">
        <v>16.239999999999998</v>
      </c>
      <c r="K2513" s="2">
        <v>1305</v>
      </c>
      <c r="L2513" s="2">
        <v>584.64</v>
      </c>
      <c r="M2513" s="2">
        <v>720.36</v>
      </c>
      <c r="N2513">
        <v>3</v>
      </c>
      <c r="P2513" t="str">
        <f>TRIM(Table1[[#This Row],[country]])</f>
        <v>USA</v>
      </c>
    </row>
    <row r="2514" spans="1:16" x14ac:dyDescent="0.3">
      <c r="A2514" s="1">
        <v>38371</v>
      </c>
      <c r="B2514">
        <v>10368</v>
      </c>
      <c r="C2514">
        <v>124</v>
      </c>
      <c r="D2514" t="s">
        <v>206</v>
      </c>
      <c r="E2514" t="s">
        <v>14</v>
      </c>
      <c r="F2514" t="s">
        <v>29</v>
      </c>
      <c r="G2514" t="s">
        <v>138</v>
      </c>
      <c r="H2514">
        <v>40</v>
      </c>
      <c r="I2514" s="2">
        <v>73.599999999999994</v>
      </c>
      <c r="J2514" s="2">
        <v>47.25</v>
      </c>
      <c r="K2514" s="2">
        <v>2944</v>
      </c>
      <c r="L2514" s="2">
        <v>1890</v>
      </c>
      <c r="M2514" s="2">
        <v>1054</v>
      </c>
      <c r="N2514">
        <v>11</v>
      </c>
      <c r="P2514" t="str">
        <f>TRIM(Table1[[#This Row],[country]])</f>
        <v>USA</v>
      </c>
    </row>
    <row r="2515" spans="1:16" x14ac:dyDescent="0.3">
      <c r="A2515" s="1">
        <v>38371</v>
      </c>
      <c r="B2515">
        <v>10368</v>
      </c>
      <c r="C2515">
        <v>124</v>
      </c>
      <c r="D2515" t="s">
        <v>206</v>
      </c>
      <c r="E2515" t="s">
        <v>14</v>
      </c>
      <c r="F2515" t="s">
        <v>29</v>
      </c>
      <c r="G2515" t="s">
        <v>139</v>
      </c>
      <c r="H2515">
        <v>31</v>
      </c>
      <c r="I2515" s="2">
        <v>115.09</v>
      </c>
      <c r="J2515" s="2">
        <v>72.819999999999993</v>
      </c>
      <c r="K2515" s="2">
        <v>3567.79</v>
      </c>
      <c r="L2515" s="2">
        <v>2257.42</v>
      </c>
      <c r="M2515" s="2">
        <v>1310.3699999999999</v>
      </c>
      <c r="N2515">
        <v>11</v>
      </c>
      <c r="P2515" t="str">
        <f>TRIM(Table1[[#This Row],[country]])</f>
        <v>USA</v>
      </c>
    </row>
    <row r="2516" spans="1:16" x14ac:dyDescent="0.3">
      <c r="A2516" s="1">
        <v>38371</v>
      </c>
      <c r="B2516">
        <v>10368</v>
      </c>
      <c r="C2516">
        <v>124</v>
      </c>
      <c r="D2516" t="s">
        <v>206</v>
      </c>
      <c r="E2516" t="s">
        <v>14</v>
      </c>
      <c r="F2516" t="s">
        <v>29</v>
      </c>
      <c r="G2516" t="s">
        <v>140</v>
      </c>
      <c r="H2516">
        <v>46</v>
      </c>
      <c r="I2516" s="2">
        <v>83.04</v>
      </c>
      <c r="J2516" s="2">
        <v>50.51</v>
      </c>
      <c r="K2516" s="2">
        <v>3819.84</v>
      </c>
      <c r="L2516" s="2">
        <v>2323.46</v>
      </c>
      <c r="M2516" s="2">
        <v>1496.38</v>
      </c>
      <c r="N2516">
        <v>11</v>
      </c>
      <c r="P2516" t="str">
        <f>TRIM(Table1[[#This Row],[country]])</f>
        <v>USA</v>
      </c>
    </row>
    <row r="2517" spans="1:16" x14ac:dyDescent="0.3">
      <c r="A2517" s="1">
        <v>38371</v>
      </c>
      <c r="B2517">
        <v>10368</v>
      </c>
      <c r="C2517">
        <v>124</v>
      </c>
      <c r="D2517" t="s">
        <v>206</v>
      </c>
      <c r="E2517" t="s">
        <v>14</v>
      </c>
      <c r="F2517" t="s">
        <v>29</v>
      </c>
      <c r="G2517" t="s">
        <v>141</v>
      </c>
      <c r="H2517">
        <v>20</v>
      </c>
      <c r="I2517" s="2">
        <v>93.16</v>
      </c>
      <c r="J2517" s="2">
        <v>62.11</v>
      </c>
      <c r="K2517" s="2">
        <v>1863.2</v>
      </c>
      <c r="L2517" s="2">
        <v>1242.2</v>
      </c>
      <c r="M2517" s="2">
        <v>621</v>
      </c>
      <c r="N2517">
        <v>11</v>
      </c>
      <c r="P2517" t="str">
        <f>TRIM(Table1[[#This Row],[country]])</f>
        <v>USA</v>
      </c>
    </row>
    <row r="2518" spans="1:16" x14ac:dyDescent="0.3">
      <c r="A2518" s="1">
        <v>38371</v>
      </c>
      <c r="B2518">
        <v>10368</v>
      </c>
      <c r="C2518">
        <v>124</v>
      </c>
      <c r="D2518" t="s">
        <v>206</v>
      </c>
      <c r="E2518" t="s">
        <v>14</v>
      </c>
      <c r="F2518" t="s">
        <v>15</v>
      </c>
      <c r="G2518" t="s">
        <v>19</v>
      </c>
      <c r="H2518">
        <v>46</v>
      </c>
      <c r="I2518" s="2">
        <v>36.520000000000003</v>
      </c>
      <c r="J2518" s="2">
        <v>21.75</v>
      </c>
      <c r="K2518" s="2">
        <v>1679.92</v>
      </c>
      <c r="L2518" s="2">
        <v>1000.5</v>
      </c>
      <c r="M2518" s="2">
        <v>679.42</v>
      </c>
      <c r="N2518">
        <v>11</v>
      </c>
      <c r="P2518" t="str">
        <f>TRIM(Table1[[#This Row],[country]])</f>
        <v>USA</v>
      </c>
    </row>
    <row r="2519" spans="1:16" x14ac:dyDescent="0.3">
      <c r="A2519" s="1">
        <v>38372</v>
      </c>
      <c r="B2519">
        <v>10370</v>
      </c>
      <c r="C2519">
        <v>276</v>
      </c>
      <c r="D2519" t="s">
        <v>165</v>
      </c>
      <c r="E2519" t="s">
        <v>151</v>
      </c>
      <c r="F2519" t="s">
        <v>29</v>
      </c>
      <c r="G2519" t="s">
        <v>31</v>
      </c>
      <c r="H2519">
        <v>35</v>
      </c>
      <c r="I2519" s="2">
        <v>128.53</v>
      </c>
      <c r="J2519" s="2">
        <v>103.42</v>
      </c>
      <c r="K2519" s="2">
        <v>4498.55</v>
      </c>
      <c r="L2519" s="2">
        <v>3619.7</v>
      </c>
      <c r="M2519" s="2">
        <v>878.85</v>
      </c>
      <c r="N2519">
        <v>3</v>
      </c>
      <c r="P2519" t="str">
        <f>TRIM(Table1[[#This Row],[country]])</f>
        <v>Australia</v>
      </c>
    </row>
    <row r="2520" spans="1:16" x14ac:dyDescent="0.3">
      <c r="A2520" s="1">
        <v>38372</v>
      </c>
      <c r="B2520">
        <v>10370</v>
      </c>
      <c r="C2520">
        <v>276</v>
      </c>
      <c r="D2520" t="s">
        <v>165</v>
      </c>
      <c r="E2520" t="s">
        <v>151</v>
      </c>
      <c r="F2520" t="s">
        <v>32</v>
      </c>
      <c r="G2520" t="s">
        <v>33</v>
      </c>
      <c r="H2520">
        <v>49</v>
      </c>
      <c r="I2520" s="2">
        <v>128.47</v>
      </c>
      <c r="J2520" s="2">
        <v>77.900000000000006</v>
      </c>
      <c r="K2520" s="2">
        <v>6295.03</v>
      </c>
      <c r="L2520" s="2">
        <v>3817.1</v>
      </c>
      <c r="M2520" s="2">
        <v>2477.9299999999998</v>
      </c>
      <c r="N2520">
        <v>3</v>
      </c>
      <c r="P2520" t="str">
        <f>TRIM(Table1[[#This Row],[country]])</f>
        <v>Australia</v>
      </c>
    </row>
    <row r="2521" spans="1:16" x14ac:dyDescent="0.3">
      <c r="A2521" s="1">
        <v>38372</v>
      </c>
      <c r="B2521">
        <v>10370</v>
      </c>
      <c r="C2521">
        <v>276</v>
      </c>
      <c r="D2521" t="s">
        <v>165</v>
      </c>
      <c r="E2521" t="s">
        <v>151</v>
      </c>
      <c r="F2521" t="s">
        <v>32</v>
      </c>
      <c r="G2521" t="s">
        <v>34</v>
      </c>
      <c r="H2521">
        <v>27</v>
      </c>
      <c r="I2521" s="2">
        <v>100.34</v>
      </c>
      <c r="J2521" s="2">
        <v>58.33</v>
      </c>
      <c r="K2521" s="2">
        <v>2709.18</v>
      </c>
      <c r="L2521" s="2">
        <v>1574.91</v>
      </c>
      <c r="M2521" s="2">
        <v>1134.27</v>
      </c>
      <c r="N2521">
        <v>3</v>
      </c>
      <c r="P2521" t="str">
        <f>TRIM(Table1[[#This Row],[country]])</f>
        <v>Australia</v>
      </c>
    </row>
    <row r="2522" spans="1:16" x14ac:dyDescent="0.3">
      <c r="A2522" s="1">
        <v>38372</v>
      </c>
      <c r="B2522">
        <v>10370</v>
      </c>
      <c r="C2522">
        <v>276</v>
      </c>
      <c r="D2522" t="s">
        <v>165</v>
      </c>
      <c r="E2522" t="s">
        <v>151</v>
      </c>
      <c r="F2522" t="s">
        <v>32</v>
      </c>
      <c r="G2522" t="s">
        <v>52</v>
      </c>
      <c r="H2522">
        <v>22</v>
      </c>
      <c r="I2522" s="2">
        <v>101.87</v>
      </c>
      <c r="J2522" s="2">
        <v>74.86</v>
      </c>
      <c r="K2522" s="2">
        <v>2241.14</v>
      </c>
      <c r="L2522" s="2">
        <v>1646.92</v>
      </c>
      <c r="M2522" s="2">
        <v>594.22</v>
      </c>
      <c r="N2522">
        <v>3</v>
      </c>
      <c r="P2522" t="str">
        <f>TRIM(Table1[[#This Row],[country]])</f>
        <v>Australia</v>
      </c>
    </row>
    <row r="2523" spans="1:16" x14ac:dyDescent="0.3">
      <c r="A2523" s="1">
        <v>38372</v>
      </c>
      <c r="B2523">
        <v>10370</v>
      </c>
      <c r="C2523">
        <v>276</v>
      </c>
      <c r="D2523" t="s">
        <v>165</v>
      </c>
      <c r="E2523" t="s">
        <v>151</v>
      </c>
      <c r="F2523" t="s">
        <v>32</v>
      </c>
      <c r="G2523" t="s">
        <v>35</v>
      </c>
      <c r="H2523">
        <v>22</v>
      </c>
      <c r="I2523" s="2">
        <v>60.16</v>
      </c>
      <c r="J2523" s="2">
        <v>24.92</v>
      </c>
      <c r="K2523" s="2">
        <v>1323.52</v>
      </c>
      <c r="L2523" s="2">
        <v>548.24</v>
      </c>
      <c r="M2523" s="2">
        <v>775.28</v>
      </c>
      <c r="N2523">
        <v>3</v>
      </c>
      <c r="P2523" t="str">
        <f>TRIM(Table1[[#This Row],[country]])</f>
        <v>Australia</v>
      </c>
    </row>
    <row r="2524" spans="1:16" x14ac:dyDescent="0.3">
      <c r="A2524" s="1">
        <v>38372</v>
      </c>
      <c r="B2524">
        <v>10370</v>
      </c>
      <c r="C2524">
        <v>276</v>
      </c>
      <c r="D2524" t="s">
        <v>165</v>
      </c>
      <c r="E2524" t="s">
        <v>151</v>
      </c>
      <c r="F2524" t="s">
        <v>29</v>
      </c>
      <c r="G2524" t="s">
        <v>53</v>
      </c>
      <c r="H2524">
        <v>27</v>
      </c>
      <c r="I2524" s="2">
        <v>167.65</v>
      </c>
      <c r="J2524" s="2">
        <v>77.900000000000006</v>
      </c>
      <c r="K2524" s="2">
        <v>4526.55</v>
      </c>
      <c r="L2524" s="2">
        <v>2103.3000000000002</v>
      </c>
      <c r="M2524" s="2">
        <v>2423.25</v>
      </c>
      <c r="N2524">
        <v>3</v>
      </c>
      <c r="P2524" t="str">
        <f>TRIM(Table1[[#This Row],[country]])</f>
        <v>Australia</v>
      </c>
    </row>
    <row r="2525" spans="1:16" x14ac:dyDescent="0.3">
      <c r="A2525" s="1">
        <v>38372</v>
      </c>
      <c r="B2525">
        <v>10370</v>
      </c>
      <c r="C2525">
        <v>276</v>
      </c>
      <c r="D2525" t="s">
        <v>165</v>
      </c>
      <c r="E2525" t="s">
        <v>151</v>
      </c>
      <c r="F2525" t="s">
        <v>32</v>
      </c>
      <c r="G2525" t="s">
        <v>40</v>
      </c>
      <c r="H2525">
        <v>29</v>
      </c>
      <c r="I2525" s="2">
        <v>105.34</v>
      </c>
      <c r="J2525" s="2">
        <v>84.76</v>
      </c>
      <c r="K2525" s="2">
        <v>3054.86</v>
      </c>
      <c r="L2525" s="2">
        <v>2458.04</v>
      </c>
      <c r="M2525" s="2">
        <v>596.82000000000005</v>
      </c>
      <c r="N2525">
        <v>3</v>
      </c>
      <c r="P2525" t="str">
        <f>TRIM(Table1[[#This Row],[country]])</f>
        <v>Australia</v>
      </c>
    </row>
    <row r="2526" spans="1:16" x14ac:dyDescent="0.3">
      <c r="A2526" s="1">
        <v>38372</v>
      </c>
      <c r="B2526">
        <v>10370</v>
      </c>
      <c r="C2526">
        <v>276</v>
      </c>
      <c r="D2526" t="s">
        <v>165</v>
      </c>
      <c r="E2526" t="s">
        <v>151</v>
      </c>
      <c r="F2526" t="s">
        <v>15</v>
      </c>
      <c r="G2526" t="s">
        <v>41</v>
      </c>
      <c r="H2526">
        <v>20</v>
      </c>
      <c r="I2526" s="2">
        <v>41.76</v>
      </c>
      <c r="J2526" s="2">
        <v>23.14</v>
      </c>
      <c r="K2526" s="2">
        <v>835.2</v>
      </c>
      <c r="L2526" s="2">
        <v>462.8</v>
      </c>
      <c r="M2526" s="2">
        <v>372.4</v>
      </c>
      <c r="N2526">
        <v>3</v>
      </c>
      <c r="P2526" t="str">
        <f>TRIM(Table1[[#This Row],[country]])</f>
        <v>Australia</v>
      </c>
    </row>
    <row r="2527" spans="1:16" x14ac:dyDescent="0.3">
      <c r="A2527" s="1">
        <v>38372</v>
      </c>
      <c r="B2527">
        <v>10370</v>
      </c>
      <c r="C2527">
        <v>276</v>
      </c>
      <c r="D2527" t="s">
        <v>165</v>
      </c>
      <c r="E2527" t="s">
        <v>151</v>
      </c>
      <c r="F2527" t="s">
        <v>32</v>
      </c>
      <c r="G2527" t="s">
        <v>45</v>
      </c>
      <c r="H2527">
        <v>25</v>
      </c>
      <c r="I2527" s="2">
        <v>63.99</v>
      </c>
      <c r="J2527" s="2">
        <v>33.61</v>
      </c>
      <c r="K2527" s="2">
        <v>1599.75</v>
      </c>
      <c r="L2527" s="2">
        <v>840.25</v>
      </c>
      <c r="M2527" s="2">
        <v>759.5</v>
      </c>
      <c r="N2527">
        <v>3</v>
      </c>
      <c r="P2527" t="str">
        <f>TRIM(Table1[[#This Row],[country]])</f>
        <v>Australia</v>
      </c>
    </row>
    <row r="2528" spans="1:16" x14ac:dyDescent="0.3">
      <c r="A2528" s="1">
        <v>38372</v>
      </c>
      <c r="B2528">
        <v>10369</v>
      </c>
      <c r="C2528">
        <v>379</v>
      </c>
      <c r="D2528" t="s">
        <v>218</v>
      </c>
      <c r="E2528" t="s">
        <v>14</v>
      </c>
      <c r="F2528" t="s">
        <v>29</v>
      </c>
      <c r="G2528" t="s">
        <v>30</v>
      </c>
      <c r="H2528">
        <v>41</v>
      </c>
      <c r="I2528" s="2">
        <v>195.01</v>
      </c>
      <c r="J2528" s="2">
        <v>98.58</v>
      </c>
      <c r="K2528" s="2">
        <v>7995.41</v>
      </c>
      <c r="L2528" s="2">
        <v>4041.78</v>
      </c>
      <c r="M2528" s="2">
        <v>3953.63</v>
      </c>
      <c r="N2528">
        <v>3</v>
      </c>
      <c r="P2528" t="str">
        <f>TRIM(Table1[[#This Row],[country]])</f>
        <v>USA</v>
      </c>
    </row>
    <row r="2529" spans="1:16" x14ac:dyDescent="0.3">
      <c r="A2529" s="1">
        <v>38372</v>
      </c>
      <c r="B2529">
        <v>10369</v>
      </c>
      <c r="C2529">
        <v>379</v>
      </c>
      <c r="D2529" t="s">
        <v>218</v>
      </c>
      <c r="E2529" t="s">
        <v>14</v>
      </c>
      <c r="F2529" t="s">
        <v>15</v>
      </c>
      <c r="G2529" t="s">
        <v>25</v>
      </c>
      <c r="H2529">
        <v>44</v>
      </c>
      <c r="I2529" s="2">
        <v>89.38</v>
      </c>
      <c r="J2529" s="2">
        <v>60.62</v>
      </c>
      <c r="K2529" s="2">
        <v>3932.72</v>
      </c>
      <c r="L2529" s="2">
        <v>2667.28</v>
      </c>
      <c r="M2529" s="2">
        <v>1265.44</v>
      </c>
      <c r="N2529">
        <v>3</v>
      </c>
      <c r="P2529" t="str">
        <f>TRIM(Table1[[#This Row],[country]])</f>
        <v>USA</v>
      </c>
    </row>
    <row r="2530" spans="1:16" x14ac:dyDescent="0.3">
      <c r="A2530" s="1">
        <v>38372</v>
      </c>
      <c r="B2530">
        <v>10369</v>
      </c>
      <c r="C2530">
        <v>379</v>
      </c>
      <c r="D2530" t="s">
        <v>218</v>
      </c>
      <c r="E2530" t="s">
        <v>14</v>
      </c>
      <c r="F2530" t="s">
        <v>15</v>
      </c>
      <c r="G2530" t="s">
        <v>26</v>
      </c>
      <c r="H2530">
        <v>32</v>
      </c>
      <c r="I2530" s="2">
        <v>46.36</v>
      </c>
      <c r="J2530" s="2">
        <v>24.26</v>
      </c>
      <c r="K2530" s="2">
        <v>1483.52</v>
      </c>
      <c r="L2530" s="2">
        <v>776.32</v>
      </c>
      <c r="M2530" s="2">
        <v>707.2</v>
      </c>
      <c r="N2530">
        <v>3</v>
      </c>
      <c r="P2530" t="str">
        <f>TRIM(Table1[[#This Row],[country]])</f>
        <v>USA</v>
      </c>
    </row>
    <row r="2531" spans="1:16" x14ac:dyDescent="0.3">
      <c r="A2531" s="1">
        <v>38372</v>
      </c>
      <c r="B2531">
        <v>10369</v>
      </c>
      <c r="C2531">
        <v>379</v>
      </c>
      <c r="D2531" t="s">
        <v>218</v>
      </c>
      <c r="E2531" t="s">
        <v>14</v>
      </c>
      <c r="F2531" t="s">
        <v>15</v>
      </c>
      <c r="G2531" t="s">
        <v>36</v>
      </c>
      <c r="H2531">
        <v>42</v>
      </c>
      <c r="I2531" s="2">
        <v>100.3</v>
      </c>
      <c r="J2531" s="2">
        <v>60.78</v>
      </c>
      <c r="K2531" s="2">
        <v>4212.6000000000004</v>
      </c>
      <c r="L2531" s="2">
        <v>2552.7600000000002</v>
      </c>
      <c r="M2531" s="2">
        <v>1659.84</v>
      </c>
      <c r="N2531">
        <v>3</v>
      </c>
      <c r="P2531" t="str">
        <f>TRIM(Table1[[#This Row],[country]])</f>
        <v>USA</v>
      </c>
    </row>
    <row r="2532" spans="1:16" x14ac:dyDescent="0.3">
      <c r="A2532" s="1">
        <v>38372</v>
      </c>
      <c r="B2532">
        <v>10369</v>
      </c>
      <c r="C2532">
        <v>379</v>
      </c>
      <c r="D2532" t="s">
        <v>218</v>
      </c>
      <c r="E2532" t="s">
        <v>14</v>
      </c>
      <c r="F2532" t="s">
        <v>15</v>
      </c>
      <c r="G2532" t="s">
        <v>37</v>
      </c>
      <c r="H2532">
        <v>28</v>
      </c>
      <c r="I2532" s="2">
        <v>51.84</v>
      </c>
      <c r="J2532" s="2">
        <v>34.35</v>
      </c>
      <c r="K2532" s="2">
        <v>1451.52</v>
      </c>
      <c r="L2532" s="2">
        <v>961.8</v>
      </c>
      <c r="M2532" s="2">
        <v>489.72</v>
      </c>
      <c r="N2532">
        <v>3</v>
      </c>
      <c r="P2532" t="str">
        <f>TRIM(Table1[[#This Row],[country]])</f>
        <v>USA</v>
      </c>
    </row>
    <row r="2533" spans="1:16" x14ac:dyDescent="0.3">
      <c r="A2533" s="1">
        <v>38372</v>
      </c>
      <c r="B2533">
        <v>10369</v>
      </c>
      <c r="C2533">
        <v>379</v>
      </c>
      <c r="D2533" t="s">
        <v>218</v>
      </c>
      <c r="E2533" t="s">
        <v>14</v>
      </c>
      <c r="F2533" t="s">
        <v>15</v>
      </c>
      <c r="G2533" t="s">
        <v>38</v>
      </c>
      <c r="H2533">
        <v>21</v>
      </c>
      <c r="I2533" s="2">
        <v>90.06</v>
      </c>
      <c r="J2533" s="2">
        <v>60.74</v>
      </c>
      <c r="K2533" s="2">
        <v>1891.26</v>
      </c>
      <c r="L2533" s="2">
        <v>1275.54</v>
      </c>
      <c r="M2533" s="2">
        <v>615.72</v>
      </c>
      <c r="N2533">
        <v>3</v>
      </c>
      <c r="P2533" t="str">
        <f>TRIM(Table1[[#This Row],[country]])</f>
        <v>USA</v>
      </c>
    </row>
    <row r="2534" spans="1:16" x14ac:dyDescent="0.3">
      <c r="A2534" s="1">
        <v>38372</v>
      </c>
      <c r="B2534">
        <v>10369</v>
      </c>
      <c r="C2534">
        <v>379</v>
      </c>
      <c r="D2534" t="s">
        <v>218</v>
      </c>
      <c r="E2534" t="s">
        <v>14</v>
      </c>
      <c r="F2534" t="s">
        <v>15</v>
      </c>
      <c r="G2534" t="s">
        <v>39</v>
      </c>
      <c r="H2534">
        <v>45</v>
      </c>
      <c r="I2534" s="2">
        <v>80.36</v>
      </c>
      <c r="J2534" s="2">
        <v>57.54</v>
      </c>
      <c r="K2534" s="2">
        <v>3616.2</v>
      </c>
      <c r="L2534" s="2">
        <v>2589.3000000000002</v>
      </c>
      <c r="M2534" s="2">
        <v>1026.9000000000001</v>
      </c>
      <c r="N2534">
        <v>3</v>
      </c>
      <c r="P2534" t="str">
        <f>TRIM(Table1[[#This Row],[country]])</f>
        <v>USA</v>
      </c>
    </row>
    <row r="2535" spans="1:16" x14ac:dyDescent="0.3">
      <c r="A2535" s="1">
        <v>38372</v>
      </c>
      <c r="B2535">
        <v>10369</v>
      </c>
      <c r="C2535">
        <v>379</v>
      </c>
      <c r="D2535" t="s">
        <v>218</v>
      </c>
      <c r="E2535" t="s">
        <v>14</v>
      </c>
      <c r="F2535" t="s">
        <v>15</v>
      </c>
      <c r="G2535" t="s">
        <v>43</v>
      </c>
      <c r="H2535">
        <v>40</v>
      </c>
      <c r="I2535" s="2">
        <v>93.49</v>
      </c>
      <c r="J2535" s="2">
        <v>57.46</v>
      </c>
      <c r="K2535" s="2">
        <v>3739.6</v>
      </c>
      <c r="L2535" s="2">
        <v>2298.4</v>
      </c>
      <c r="M2535" s="2">
        <v>1441.2</v>
      </c>
      <c r="N2535">
        <v>3</v>
      </c>
      <c r="P2535" t="str">
        <f>TRIM(Table1[[#This Row],[country]])</f>
        <v>USA</v>
      </c>
    </row>
    <row r="2536" spans="1:16" x14ac:dyDescent="0.3">
      <c r="A2536" s="1">
        <v>38375</v>
      </c>
      <c r="B2536">
        <v>10371</v>
      </c>
      <c r="C2536">
        <v>124</v>
      </c>
      <c r="D2536" t="s">
        <v>206</v>
      </c>
      <c r="E2536" t="s">
        <v>14</v>
      </c>
      <c r="F2536" t="s">
        <v>29</v>
      </c>
      <c r="G2536" t="s">
        <v>66</v>
      </c>
      <c r="H2536">
        <v>32</v>
      </c>
      <c r="I2536" s="2">
        <v>178.71</v>
      </c>
      <c r="J2536" s="2">
        <v>95.59</v>
      </c>
      <c r="K2536" s="2">
        <v>5718.72</v>
      </c>
      <c r="L2536" s="2">
        <v>3058.88</v>
      </c>
      <c r="M2536" s="2">
        <v>2659.84</v>
      </c>
      <c r="N2536">
        <v>12</v>
      </c>
      <c r="P2536" t="str">
        <f>TRIM(Table1[[#This Row],[country]])</f>
        <v>USA</v>
      </c>
    </row>
    <row r="2537" spans="1:16" x14ac:dyDescent="0.3">
      <c r="A2537" s="1">
        <v>38375</v>
      </c>
      <c r="B2537">
        <v>10371</v>
      </c>
      <c r="C2537">
        <v>124</v>
      </c>
      <c r="D2537" t="s">
        <v>206</v>
      </c>
      <c r="E2537" t="s">
        <v>14</v>
      </c>
      <c r="F2537" t="s">
        <v>32</v>
      </c>
      <c r="G2537" t="s">
        <v>50</v>
      </c>
      <c r="H2537">
        <v>49</v>
      </c>
      <c r="I2537" s="2">
        <v>104.28</v>
      </c>
      <c r="J2537" s="2">
        <v>55.7</v>
      </c>
      <c r="K2537" s="2">
        <v>5109.72</v>
      </c>
      <c r="L2537" s="2">
        <v>2729.3</v>
      </c>
      <c r="M2537" s="2">
        <v>2380.42</v>
      </c>
      <c r="N2537">
        <v>12</v>
      </c>
      <c r="P2537" t="str">
        <f>TRIM(Table1[[#This Row],[country]])</f>
        <v>USA</v>
      </c>
    </row>
    <row r="2538" spans="1:16" x14ac:dyDescent="0.3">
      <c r="A2538" s="1">
        <v>38375</v>
      </c>
      <c r="B2538">
        <v>10371</v>
      </c>
      <c r="C2538">
        <v>124</v>
      </c>
      <c r="D2538" t="s">
        <v>206</v>
      </c>
      <c r="E2538" t="s">
        <v>14</v>
      </c>
      <c r="F2538" t="s">
        <v>29</v>
      </c>
      <c r="G2538" t="s">
        <v>51</v>
      </c>
      <c r="H2538">
        <v>25</v>
      </c>
      <c r="I2538" s="2">
        <v>160.46</v>
      </c>
      <c r="J2538" s="2">
        <v>101.51</v>
      </c>
      <c r="K2538" s="2">
        <v>4011.5</v>
      </c>
      <c r="L2538" s="2">
        <v>2537.75</v>
      </c>
      <c r="M2538" s="2">
        <v>1473.75</v>
      </c>
      <c r="N2538">
        <v>12</v>
      </c>
      <c r="P2538" t="str">
        <f>TRIM(Table1[[#This Row],[country]])</f>
        <v>USA</v>
      </c>
    </row>
    <row r="2539" spans="1:16" x14ac:dyDescent="0.3">
      <c r="A2539" s="1">
        <v>38375</v>
      </c>
      <c r="B2539">
        <v>10371</v>
      </c>
      <c r="C2539">
        <v>124</v>
      </c>
      <c r="D2539" t="s">
        <v>206</v>
      </c>
      <c r="E2539" t="s">
        <v>14</v>
      </c>
      <c r="F2539" t="s">
        <v>29</v>
      </c>
      <c r="G2539" t="s">
        <v>55</v>
      </c>
      <c r="H2539">
        <v>25</v>
      </c>
      <c r="I2539" s="2">
        <v>53.75</v>
      </c>
      <c r="J2539" s="2">
        <v>32.369999999999997</v>
      </c>
      <c r="K2539" s="2">
        <v>1343.75</v>
      </c>
      <c r="L2539" s="2">
        <v>809.25</v>
      </c>
      <c r="M2539" s="2">
        <v>534.5</v>
      </c>
      <c r="N2539">
        <v>12</v>
      </c>
      <c r="P2539" t="str">
        <f>TRIM(Table1[[#This Row],[country]])</f>
        <v>USA</v>
      </c>
    </row>
    <row r="2540" spans="1:16" x14ac:dyDescent="0.3">
      <c r="A2540" s="1">
        <v>38375</v>
      </c>
      <c r="B2540">
        <v>10371</v>
      </c>
      <c r="C2540">
        <v>124</v>
      </c>
      <c r="D2540" t="s">
        <v>206</v>
      </c>
      <c r="E2540" t="s">
        <v>14</v>
      </c>
      <c r="F2540" t="s">
        <v>32</v>
      </c>
      <c r="G2540" t="s">
        <v>42</v>
      </c>
      <c r="H2540">
        <v>20</v>
      </c>
      <c r="I2540" s="2">
        <v>126.51</v>
      </c>
      <c r="J2540" s="2">
        <v>61.34</v>
      </c>
      <c r="K2540" s="2">
        <v>2530.1999999999998</v>
      </c>
      <c r="L2540" s="2">
        <v>1226.8</v>
      </c>
      <c r="M2540" s="2">
        <v>1303.4000000000001</v>
      </c>
      <c r="N2540">
        <v>12</v>
      </c>
      <c r="P2540" t="str">
        <f>TRIM(Table1[[#This Row],[country]])</f>
        <v>USA</v>
      </c>
    </row>
    <row r="2541" spans="1:16" x14ac:dyDescent="0.3">
      <c r="A2541" s="1">
        <v>38375</v>
      </c>
      <c r="B2541">
        <v>10371</v>
      </c>
      <c r="C2541">
        <v>124</v>
      </c>
      <c r="D2541" t="s">
        <v>206</v>
      </c>
      <c r="E2541" t="s">
        <v>14</v>
      </c>
      <c r="F2541" t="s">
        <v>29</v>
      </c>
      <c r="G2541" t="s">
        <v>56</v>
      </c>
      <c r="H2541">
        <v>45</v>
      </c>
      <c r="I2541" s="2">
        <v>35.01</v>
      </c>
      <c r="J2541" s="2">
        <v>15.91</v>
      </c>
      <c r="K2541" s="2">
        <v>1575.45</v>
      </c>
      <c r="L2541" s="2">
        <v>715.95</v>
      </c>
      <c r="M2541" s="2">
        <v>859.5</v>
      </c>
      <c r="N2541">
        <v>12</v>
      </c>
      <c r="P2541" t="str">
        <f>TRIM(Table1[[#This Row],[country]])</f>
        <v>USA</v>
      </c>
    </row>
    <row r="2542" spans="1:16" x14ac:dyDescent="0.3">
      <c r="A2542" s="1">
        <v>38375</v>
      </c>
      <c r="B2542">
        <v>10371</v>
      </c>
      <c r="C2542">
        <v>124</v>
      </c>
      <c r="D2542" t="s">
        <v>206</v>
      </c>
      <c r="E2542" t="s">
        <v>14</v>
      </c>
      <c r="F2542" t="s">
        <v>29</v>
      </c>
      <c r="G2542" t="s">
        <v>57</v>
      </c>
      <c r="H2542">
        <v>28</v>
      </c>
      <c r="I2542" s="2">
        <v>95.81</v>
      </c>
      <c r="J2542" s="2">
        <v>69.78</v>
      </c>
      <c r="K2542" s="2">
        <v>2682.68</v>
      </c>
      <c r="L2542" s="2">
        <v>1953.84</v>
      </c>
      <c r="M2542" s="2">
        <v>728.84</v>
      </c>
      <c r="N2542">
        <v>12</v>
      </c>
      <c r="P2542" t="str">
        <f>TRIM(Table1[[#This Row],[country]])</f>
        <v>USA</v>
      </c>
    </row>
    <row r="2543" spans="1:16" x14ac:dyDescent="0.3">
      <c r="A2543" s="1">
        <v>38375</v>
      </c>
      <c r="B2543">
        <v>10371</v>
      </c>
      <c r="C2543">
        <v>124</v>
      </c>
      <c r="D2543" t="s">
        <v>206</v>
      </c>
      <c r="E2543" t="s">
        <v>14</v>
      </c>
      <c r="F2543" t="s">
        <v>32</v>
      </c>
      <c r="G2543" t="s">
        <v>44</v>
      </c>
      <c r="H2543">
        <v>26</v>
      </c>
      <c r="I2543" s="2">
        <v>82.83</v>
      </c>
      <c r="J2543" s="2">
        <v>53.93</v>
      </c>
      <c r="K2543" s="2">
        <v>2153.58</v>
      </c>
      <c r="L2543" s="2">
        <v>1402.18</v>
      </c>
      <c r="M2543" s="2">
        <v>751.4</v>
      </c>
      <c r="N2543">
        <v>12</v>
      </c>
      <c r="P2543" t="str">
        <f>TRIM(Table1[[#This Row],[country]])</f>
        <v>USA</v>
      </c>
    </row>
    <row r="2544" spans="1:16" x14ac:dyDescent="0.3">
      <c r="A2544" s="1">
        <v>38375</v>
      </c>
      <c r="B2544">
        <v>10371</v>
      </c>
      <c r="C2544">
        <v>124</v>
      </c>
      <c r="D2544" t="s">
        <v>206</v>
      </c>
      <c r="E2544" t="s">
        <v>14</v>
      </c>
      <c r="F2544" t="s">
        <v>32</v>
      </c>
      <c r="G2544" t="s">
        <v>58</v>
      </c>
      <c r="H2544">
        <v>20</v>
      </c>
      <c r="I2544" s="2">
        <v>44.37</v>
      </c>
      <c r="J2544" s="2">
        <v>25.98</v>
      </c>
      <c r="K2544" s="2">
        <v>887.4</v>
      </c>
      <c r="L2544" s="2">
        <v>519.6</v>
      </c>
      <c r="M2544" s="2">
        <v>367.8</v>
      </c>
      <c r="N2544">
        <v>12</v>
      </c>
      <c r="P2544" t="str">
        <f>TRIM(Table1[[#This Row],[country]])</f>
        <v>USA</v>
      </c>
    </row>
    <row r="2545" spans="1:16" x14ac:dyDescent="0.3">
      <c r="A2545" s="1">
        <v>38375</v>
      </c>
      <c r="B2545">
        <v>10371</v>
      </c>
      <c r="C2545">
        <v>124</v>
      </c>
      <c r="D2545" t="s">
        <v>206</v>
      </c>
      <c r="E2545" t="s">
        <v>14</v>
      </c>
      <c r="F2545" t="s">
        <v>59</v>
      </c>
      <c r="G2545" t="s">
        <v>60</v>
      </c>
      <c r="H2545">
        <v>30</v>
      </c>
      <c r="I2545" s="2">
        <v>53.44</v>
      </c>
      <c r="J2545" s="2">
        <v>26.72</v>
      </c>
      <c r="K2545" s="2">
        <v>1603.2</v>
      </c>
      <c r="L2545" s="2">
        <v>801.6</v>
      </c>
      <c r="M2545" s="2">
        <v>801.6</v>
      </c>
      <c r="N2545">
        <v>12</v>
      </c>
      <c r="P2545" t="str">
        <f>TRIM(Table1[[#This Row],[country]])</f>
        <v>USA</v>
      </c>
    </row>
    <row r="2546" spans="1:16" x14ac:dyDescent="0.3">
      <c r="A2546" s="1">
        <v>38375</v>
      </c>
      <c r="B2546">
        <v>10371</v>
      </c>
      <c r="C2546">
        <v>124</v>
      </c>
      <c r="D2546" t="s">
        <v>206</v>
      </c>
      <c r="E2546" t="s">
        <v>14</v>
      </c>
      <c r="F2546" t="s">
        <v>32</v>
      </c>
      <c r="G2546" t="s">
        <v>61</v>
      </c>
      <c r="H2546">
        <v>48</v>
      </c>
      <c r="I2546" s="2">
        <v>97.23</v>
      </c>
      <c r="J2546" s="2">
        <v>68.290000000000006</v>
      </c>
      <c r="K2546" s="2">
        <v>4667.04</v>
      </c>
      <c r="L2546" s="2">
        <v>3277.92</v>
      </c>
      <c r="M2546" s="2">
        <v>1389.12</v>
      </c>
      <c r="N2546">
        <v>12</v>
      </c>
      <c r="P2546" t="str">
        <f>TRIM(Table1[[#This Row],[country]])</f>
        <v>USA</v>
      </c>
    </row>
    <row r="2547" spans="1:16" x14ac:dyDescent="0.3">
      <c r="A2547" s="1">
        <v>38375</v>
      </c>
      <c r="B2547">
        <v>10371</v>
      </c>
      <c r="C2547">
        <v>124</v>
      </c>
      <c r="D2547" t="s">
        <v>206</v>
      </c>
      <c r="E2547" t="s">
        <v>14</v>
      </c>
      <c r="F2547" t="s">
        <v>29</v>
      </c>
      <c r="G2547" t="s">
        <v>46</v>
      </c>
      <c r="H2547">
        <v>34</v>
      </c>
      <c r="I2547" s="2">
        <v>83.95</v>
      </c>
      <c r="J2547" s="2">
        <v>46.53</v>
      </c>
      <c r="K2547" s="2">
        <v>2854.3</v>
      </c>
      <c r="L2547" s="2">
        <v>1582.02</v>
      </c>
      <c r="M2547" s="2">
        <v>1272.28</v>
      </c>
      <c r="N2547">
        <v>12</v>
      </c>
      <c r="P2547" t="str">
        <f>TRIM(Table1[[#This Row],[country]])</f>
        <v>USA</v>
      </c>
    </row>
    <row r="2548" spans="1:16" x14ac:dyDescent="0.3">
      <c r="A2548" s="1">
        <v>38378</v>
      </c>
      <c r="B2548">
        <v>10372</v>
      </c>
      <c r="C2548">
        <v>398</v>
      </c>
      <c r="D2548" t="s">
        <v>195</v>
      </c>
      <c r="E2548" t="s">
        <v>185</v>
      </c>
      <c r="F2548" t="s">
        <v>29</v>
      </c>
      <c r="G2548" t="s">
        <v>49</v>
      </c>
      <c r="H2548">
        <v>40</v>
      </c>
      <c r="I2548" s="2">
        <v>146.55000000000001</v>
      </c>
      <c r="J2548" s="2">
        <v>89.14</v>
      </c>
      <c r="K2548" s="2">
        <v>5862</v>
      </c>
      <c r="L2548" s="2">
        <v>3565.6</v>
      </c>
      <c r="M2548" s="2">
        <v>2296.4</v>
      </c>
      <c r="N2548">
        <v>3</v>
      </c>
      <c r="P2548" t="str">
        <f>TRIM(Table1[[#This Row],[country]])</f>
        <v>Japan</v>
      </c>
    </row>
    <row r="2549" spans="1:16" x14ac:dyDescent="0.3">
      <c r="A2549" s="1">
        <v>38378</v>
      </c>
      <c r="B2549">
        <v>10372</v>
      </c>
      <c r="C2549">
        <v>398</v>
      </c>
      <c r="D2549" t="s">
        <v>195</v>
      </c>
      <c r="E2549" t="s">
        <v>185</v>
      </c>
      <c r="F2549" t="s">
        <v>29</v>
      </c>
      <c r="G2549" t="s">
        <v>67</v>
      </c>
      <c r="H2549">
        <v>34</v>
      </c>
      <c r="I2549" s="2">
        <v>140.15</v>
      </c>
      <c r="J2549" s="2">
        <v>83.05</v>
      </c>
      <c r="K2549" s="2">
        <v>4765.1000000000004</v>
      </c>
      <c r="L2549" s="2">
        <v>2823.7</v>
      </c>
      <c r="M2549" s="2">
        <v>1941.4</v>
      </c>
      <c r="N2549">
        <v>3</v>
      </c>
      <c r="P2549" t="str">
        <f>TRIM(Table1[[#This Row],[country]])</f>
        <v>Japan</v>
      </c>
    </row>
    <row r="2550" spans="1:16" x14ac:dyDescent="0.3">
      <c r="A2550" s="1">
        <v>38378</v>
      </c>
      <c r="B2550">
        <v>10372</v>
      </c>
      <c r="C2550">
        <v>398</v>
      </c>
      <c r="D2550" t="s">
        <v>195</v>
      </c>
      <c r="E2550" t="s">
        <v>185</v>
      </c>
      <c r="F2550" t="s">
        <v>15</v>
      </c>
      <c r="G2550" t="s">
        <v>68</v>
      </c>
      <c r="H2550">
        <v>28</v>
      </c>
      <c r="I2550" s="2">
        <v>131.13</v>
      </c>
      <c r="J2550" s="2">
        <v>68.3</v>
      </c>
      <c r="K2550" s="2">
        <v>3671.64</v>
      </c>
      <c r="L2550" s="2">
        <v>1912.4</v>
      </c>
      <c r="M2550" s="2">
        <v>1759.24</v>
      </c>
      <c r="N2550">
        <v>3</v>
      </c>
      <c r="P2550" t="str">
        <f>TRIM(Table1[[#This Row],[country]])</f>
        <v>Japan</v>
      </c>
    </row>
    <row r="2551" spans="1:16" x14ac:dyDescent="0.3">
      <c r="A2551" s="1">
        <v>38378</v>
      </c>
      <c r="B2551">
        <v>10372</v>
      </c>
      <c r="C2551">
        <v>398</v>
      </c>
      <c r="D2551" t="s">
        <v>195</v>
      </c>
      <c r="E2551" t="s">
        <v>185</v>
      </c>
      <c r="F2551" t="s">
        <v>59</v>
      </c>
      <c r="G2551" t="s">
        <v>69</v>
      </c>
      <c r="H2551">
        <v>25</v>
      </c>
      <c r="I2551" s="2">
        <v>91.76</v>
      </c>
      <c r="J2551" s="2">
        <v>67.56</v>
      </c>
      <c r="K2551" s="2">
        <v>2294</v>
      </c>
      <c r="L2551" s="2">
        <v>1689</v>
      </c>
      <c r="M2551" s="2">
        <v>605</v>
      </c>
      <c r="N2551">
        <v>3</v>
      </c>
      <c r="P2551" t="str">
        <f>TRIM(Table1[[#This Row],[country]])</f>
        <v>Japan</v>
      </c>
    </row>
    <row r="2552" spans="1:16" x14ac:dyDescent="0.3">
      <c r="A2552" s="1">
        <v>38378</v>
      </c>
      <c r="B2552">
        <v>10372</v>
      </c>
      <c r="C2552">
        <v>398</v>
      </c>
      <c r="D2552" t="s">
        <v>195</v>
      </c>
      <c r="E2552" t="s">
        <v>185</v>
      </c>
      <c r="F2552" t="s">
        <v>29</v>
      </c>
      <c r="G2552" t="s">
        <v>54</v>
      </c>
      <c r="H2552">
        <v>48</v>
      </c>
      <c r="I2552" s="2">
        <v>119.2</v>
      </c>
      <c r="J2552" s="2">
        <v>91.92</v>
      </c>
      <c r="K2552" s="2">
        <v>5721.6</v>
      </c>
      <c r="L2552" s="2">
        <v>4412.16</v>
      </c>
      <c r="M2552" s="2">
        <v>1309.44</v>
      </c>
      <c r="N2552">
        <v>3</v>
      </c>
      <c r="P2552" t="str">
        <f>TRIM(Table1[[#This Row],[country]])</f>
        <v>Japan</v>
      </c>
    </row>
    <row r="2553" spans="1:16" x14ac:dyDescent="0.3">
      <c r="A2553" s="1">
        <v>38378</v>
      </c>
      <c r="B2553">
        <v>10372</v>
      </c>
      <c r="C2553">
        <v>398</v>
      </c>
      <c r="D2553" t="s">
        <v>195</v>
      </c>
      <c r="E2553" t="s">
        <v>185</v>
      </c>
      <c r="F2553" t="s">
        <v>15</v>
      </c>
      <c r="G2553" t="s">
        <v>70</v>
      </c>
      <c r="H2553">
        <v>41</v>
      </c>
      <c r="I2553" s="2">
        <v>78.989999999999995</v>
      </c>
      <c r="J2553" s="2">
        <v>52.66</v>
      </c>
      <c r="K2553" s="2">
        <v>3238.59</v>
      </c>
      <c r="L2553" s="2">
        <v>2159.06</v>
      </c>
      <c r="M2553" s="2">
        <v>1079.53</v>
      </c>
      <c r="N2553">
        <v>3</v>
      </c>
      <c r="P2553" t="str">
        <f>TRIM(Table1[[#This Row],[country]])</f>
        <v>Japan</v>
      </c>
    </row>
    <row r="2554" spans="1:16" x14ac:dyDescent="0.3">
      <c r="A2554" s="1">
        <v>38378</v>
      </c>
      <c r="B2554">
        <v>10372</v>
      </c>
      <c r="C2554">
        <v>398</v>
      </c>
      <c r="D2554" t="s">
        <v>195</v>
      </c>
      <c r="E2554" t="s">
        <v>185</v>
      </c>
      <c r="F2554" t="s">
        <v>71</v>
      </c>
      <c r="G2554" t="s">
        <v>72</v>
      </c>
      <c r="H2554">
        <v>37</v>
      </c>
      <c r="I2554" s="2">
        <v>102</v>
      </c>
      <c r="J2554" s="2">
        <v>82.34</v>
      </c>
      <c r="K2554" s="2">
        <v>3774</v>
      </c>
      <c r="L2554" s="2">
        <v>3046.58</v>
      </c>
      <c r="M2554" s="2">
        <v>727.42</v>
      </c>
      <c r="N2554">
        <v>3</v>
      </c>
      <c r="P2554" t="str">
        <f>TRIM(Table1[[#This Row],[country]])</f>
        <v>Japan</v>
      </c>
    </row>
    <row r="2555" spans="1:16" x14ac:dyDescent="0.3">
      <c r="A2555" s="1">
        <v>38378</v>
      </c>
      <c r="B2555">
        <v>10372</v>
      </c>
      <c r="C2555">
        <v>398</v>
      </c>
      <c r="D2555" t="s">
        <v>195</v>
      </c>
      <c r="E2555" t="s">
        <v>185</v>
      </c>
      <c r="F2555" t="s">
        <v>59</v>
      </c>
      <c r="G2555" t="s">
        <v>62</v>
      </c>
      <c r="H2555">
        <v>24</v>
      </c>
      <c r="I2555" s="2">
        <v>56.82</v>
      </c>
      <c r="J2555" s="2">
        <v>37.49</v>
      </c>
      <c r="K2555" s="2">
        <v>1363.68</v>
      </c>
      <c r="L2555" s="2">
        <v>899.76</v>
      </c>
      <c r="M2555" s="2">
        <v>463.92</v>
      </c>
      <c r="N2555">
        <v>3</v>
      </c>
      <c r="P2555" t="str">
        <f>TRIM(Table1[[#This Row],[country]])</f>
        <v>Japan</v>
      </c>
    </row>
    <row r="2556" spans="1:16" x14ac:dyDescent="0.3">
      <c r="A2556" s="1">
        <v>38378</v>
      </c>
      <c r="B2556">
        <v>10372</v>
      </c>
      <c r="C2556">
        <v>398</v>
      </c>
      <c r="D2556" t="s">
        <v>195</v>
      </c>
      <c r="E2556" t="s">
        <v>185</v>
      </c>
      <c r="F2556" t="s">
        <v>71</v>
      </c>
      <c r="G2556" t="s">
        <v>76</v>
      </c>
      <c r="H2556">
        <v>44</v>
      </c>
      <c r="I2556" s="2">
        <v>74.48</v>
      </c>
      <c r="J2556" s="2">
        <v>43.3</v>
      </c>
      <c r="K2556" s="2">
        <v>3277.12</v>
      </c>
      <c r="L2556" s="2">
        <v>1905.2</v>
      </c>
      <c r="M2556" s="2">
        <v>1371.92</v>
      </c>
      <c r="N2556">
        <v>3</v>
      </c>
      <c r="P2556" t="str">
        <f>TRIM(Table1[[#This Row],[country]])</f>
        <v>Japan</v>
      </c>
    </row>
    <row r="2557" spans="1:16" x14ac:dyDescent="0.3">
      <c r="A2557" s="1">
        <v>38383</v>
      </c>
      <c r="B2557">
        <v>10373</v>
      </c>
      <c r="C2557">
        <v>311</v>
      </c>
      <c r="D2557" t="s">
        <v>220</v>
      </c>
      <c r="E2557" t="s">
        <v>164</v>
      </c>
      <c r="F2557" t="s">
        <v>29</v>
      </c>
      <c r="G2557" t="s">
        <v>65</v>
      </c>
      <c r="H2557">
        <v>39</v>
      </c>
      <c r="I2557" s="2">
        <v>118.32</v>
      </c>
      <c r="J2557" s="2">
        <v>85.68</v>
      </c>
      <c r="K2557" s="2">
        <v>4614.4799999999996</v>
      </c>
      <c r="L2557" s="2">
        <v>3341.52</v>
      </c>
      <c r="M2557" s="2">
        <v>1272.96</v>
      </c>
      <c r="N2557">
        <v>3</v>
      </c>
      <c r="P2557" t="str">
        <f>TRIM(Table1[[#This Row],[country]])</f>
        <v>Finland</v>
      </c>
    </row>
    <row r="2558" spans="1:16" x14ac:dyDescent="0.3">
      <c r="A2558" s="1">
        <v>38383</v>
      </c>
      <c r="B2558">
        <v>10373</v>
      </c>
      <c r="C2558">
        <v>311</v>
      </c>
      <c r="D2558" t="s">
        <v>220</v>
      </c>
      <c r="E2558" t="s">
        <v>164</v>
      </c>
      <c r="F2558" t="s">
        <v>83</v>
      </c>
      <c r="G2558" t="s">
        <v>84</v>
      </c>
      <c r="H2558">
        <v>28</v>
      </c>
      <c r="I2558" s="2">
        <v>143.5</v>
      </c>
      <c r="J2558" s="2">
        <v>77.27</v>
      </c>
      <c r="K2558" s="2">
        <v>4018</v>
      </c>
      <c r="L2558" s="2">
        <v>2163.56</v>
      </c>
      <c r="M2558" s="2">
        <v>1854.44</v>
      </c>
      <c r="N2558">
        <v>3</v>
      </c>
      <c r="P2558" t="str">
        <f>TRIM(Table1[[#This Row],[country]])</f>
        <v>Finland</v>
      </c>
    </row>
    <row r="2559" spans="1:16" x14ac:dyDescent="0.3">
      <c r="A2559" s="1">
        <v>38383</v>
      </c>
      <c r="B2559">
        <v>10373</v>
      </c>
      <c r="C2559">
        <v>311</v>
      </c>
      <c r="D2559" t="s">
        <v>220</v>
      </c>
      <c r="E2559" t="s">
        <v>164</v>
      </c>
      <c r="F2559" t="s">
        <v>71</v>
      </c>
      <c r="G2559" t="s">
        <v>86</v>
      </c>
      <c r="H2559">
        <v>22</v>
      </c>
      <c r="I2559" s="2">
        <v>75.7</v>
      </c>
      <c r="J2559" s="2">
        <v>51.61</v>
      </c>
      <c r="K2559" s="2">
        <v>1665.4</v>
      </c>
      <c r="L2559" s="2">
        <v>1135.42</v>
      </c>
      <c r="M2559" s="2">
        <v>529.98</v>
      </c>
      <c r="N2559">
        <v>3</v>
      </c>
      <c r="P2559" t="str">
        <f>TRIM(Table1[[#This Row],[country]])</f>
        <v>Finland</v>
      </c>
    </row>
    <row r="2560" spans="1:16" x14ac:dyDescent="0.3">
      <c r="A2560" s="1">
        <v>38383</v>
      </c>
      <c r="B2560">
        <v>10373</v>
      </c>
      <c r="C2560">
        <v>311</v>
      </c>
      <c r="D2560" t="s">
        <v>220</v>
      </c>
      <c r="E2560" t="s">
        <v>164</v>
      </c>
      <c r="F2560" t="s">
        <v>15</v>
      </c>
      <c r="G2560" t="s">
        <v>87</v>
      </c>
      <c r="H2560">
        <v>50</v>
      </c>
      <c r="I2560" s="2">
        <v>99.52</v>
      </c>
      <c r="J2560" s="2">
        <v>64.58</v>
      </c>
      <c r="K2560" s="2">
        <v>4976</v>
      </c>
      <c r="L2560" s="2">
        <v>3229</v>
      </c>
      <c r="M2560" s="2">
        <v>1747</v>
      </c>
      <c r="N2560">
        <v>3</v>
      </c>
      <c r="P2560" t="str">
        <f>TRIM(Table1[[#This Row],[country]])</f>
        <v>Finland</v>
      </c>
    </row>
    <row r="2561" spans="1:16" x14ac:dyDescent="0.3">
      <c r="A2561" s="1">
        <v>38383</v>
      </c>
      <c r="B2561">
        <v>10373</v>
      </c>
      <c r="C2561">
        <v>311</v>
      </c>
      <c r="D2561" t="s">
        <v>220</v>
      </c>
      <c r="E2561" t="s">
        <v>164</v>
      </c>
      <c r="F2561" t="s">
        <v>83</v>
      </c>
      <c r="G2561" t="s">
        <v>89</v>
      </c>
      <c r="H2561">
        <v>38</v>
      </c>
      <c r="I2561" s="2">
        <v>58.92</v>
      </c>
      <c r="J2561" s="2">
        <v>34.25</v>
      </c>
      <c r="K2561" s="2">
        <v>2238.96</v>
      </c>
      <c r="L2561" s="2">
        <v>1301.5</v>
      </c>
      <c r="M2561" s="2">
        <v>937.46</v>
      </c>
      <c r="N2561">
        <v>3</v>
      </c>
      <c r="P2561" t="str">
        <f>TRIM(Table1[[#This Row],[country]])</f>
        <v>Finland</v>
      </c>
    </row>
    <row r="2562" spans="1:16" x14ac:dyDescent="0.3">
      <c r="A2562" s="1">
        <v>38383</v>
      </c>
      <c r="B2562">
        <v>10373</v>
      </c>
      <c r="C2562">
        <v>311</v>
      </c>
      <c r="D2562" t="s">
        <v>220</v>
      </c>
      <c r="E2562" t="s">
        <v>164</v>
      </c>
      <c r="F2562" t="s">
        <v>15</v>
      </c>
      <c r="G2562" t="s">
        <v>73</v>
      </c>
      <c r="H2562">
        <v>33</v>
      </c>
      <c r="I2562" s="2">
        <v>82.31</v>
      </c>
      <c r="J2562" s="2">
        <v>46.91</v>
      </c>
      <c r="K2562" s="2">
        <v>2716.23</v>
      </c>
      <c r="L2562" s="2">
        <v>1548.03</v>
      </c>
      <c r="M2562" s="2">
        <v>1168.2</v>
      </c>
      <c r="N2562">
        <v>3</v>
      </c>
      <c r="P2562" t="str">
        <f>TRIM(Table1[[#This Row],[country]])</f>
        <v>Finland</v>
      </c>
    </row>
    <row r="2563" spans="1:16" x14ac:dyDescent="0.3">
      <c r="A2563" s="1">
        <v>38383</v>
      </c>
      <c r="B2563">
        <v>10373</v>
      </c>
      <c r="C2563">
        <v>311</v>
      </c>
      <c r="D2563" t="s">
        <v>220</v>
      </c>
      <c r="E2563" t="s">
        <v>164</v>
      </c>
      <c r="F2563" t="s">
        <v>15</v>
      </c>
      <c r="G2563" t="s">
        <v>90</v>
      </c>
      <c r="H2563">
        <v>46</v>
      </c>
      <c r="I2563" s="2">
        <v>53.92</v>
      </c>
      <c r="J2563" s="2">
        <v>26.3</v>
      </c>
      <c r="K2563" s="2">
        <v>2480.3200000000002</v>
      </c>
      <c r="L2563" s="2">
        <v>1209.8</v>
      </c>
      <c r="M2563" s="2">
        <v>1270.52</v>
      </c>
      <c r="N2563">
        <v>3</v>
      </c>
      <c r="P2563" t="str">
        <f>TRIM(Table1[[#This Row],[country]])</f>
        <v>Finland</v>
      </c>
    </row>
    <row r="2564" spans="1:16" x14ac:dyDescent="0.3">
      <c r="A2564" s="1">
        <v>38383</v>
      </c>
      <c r="B2564">
        <v>10373</v>
      </c>
      <c r="C2564">
        <v>311</v>
      </c>
      <c r="D2564" t="s">
        <v>220</v>
      </c>
      <c r="E2564" t="s">
        <v>164</v>
      </c>
      <c r="F2564" t="s">
        <v>15</v>
      </c>
      <c r="G2564" t="s">
        <v>74</v>
      </c>
      <c r="H2564">
        <v>23</v>
      </c>
      <c r="I2564" s="2">
        <v>83.86</v>
      </c>
      <c r="J2564" s="2">
        <v>48.64</v>
      </c>
      <c r="K2564" s="2">
        <v>1928.78</v>
      </c>
      <c r="L2564" s="2">
        <v>1118.72</v>
      </c>
      <c r="M2564" s="2">
        <v>810.06</v>
      </c>
      <c r="N2564">
        <v>3</v>
      </c>
      <c r="P2564" t="str">
        <f>TRIM(Table1[[#This Row],[country]])</f>
        <v>Finland</v>
      </c>
    </row>
    <row r="2565" spans="1:16" x14ac:dyDescent="0.3">
      <c r="A2565" s="1">
        <v>38383</v>
      </c>
      <c r="B2565">
        <v>10373</v>
      </c>
      <c r="C2565">
        <v>311</v>
      </c>
      <c r="D2565" t="s">
        <v>220</v>
      </c>
      <c r="E2565" t="s">
        <v>164</v>
      </c>
      <c r="F2565" t="s">
        <v>83</v>
      </c>
      <c r="G2565" t="s">
        <v>91</v>
      </c>
      <c r="H2565">
        <v>39</v>
      </c>
      <c r="I2565" s="2">
        <v>62.1</v>
      </c>
      <c r="J2565" s="2">
        <v>29.34</v>
      </c>
      <c r="K2565" s="2">
        <v>2421.9</v>
      </c>
      <c r="L2565" s="2">
        <v>1144.26</v>
      </c>
      <c r="M2565" s="2">
        <v>1277.6400000000001</v>
      </c>
      <c r="N2565">
        <v>3</v>
      </c>
      <c r="P2565" t="str">
        <f>TRIM(Table1[[#This Row],[country]])</f>
        <v>Finland</v>
      </c>
    </row>
    <row r="2566" spans="1:16" x14ac:dyDescent="0.3">
      <c r="A2566" s="1">
        <v>38383</v>
      </c>
      <c r="B2566">
        <v>10373</v>
      </c>
      <c r="C2566">
        <v>311</v>
      </c>
      <c r="D2566" t="s">
        <v>220</v>
      </c>
      <c r="E2566" t="s">
        <v>164</v>
      </c>
      <c r="F2566" t="s">
        <v>71</v>
      </c>
      <c r="G2566" t="s">
        <v>75</v>
      </c>
      <c r="H2566">
        <v>44</v>
      </c>
      <c r="I2566" s="2">
        <v>58</v>
      </c>
      <c r="J2566" s="2">
        <v>34</v>
      </c>
      <c r="K2566" s="2">
        <v>2552</v>
      </c>
      <c r="L2566" s="2">
        <v>1496</v>
      </c>
      <c r="M2566" s="2">
        <v>1056</v>
      </c>
      <c r="N2566">
        <v>3</v>
      </c>
      <c r="P2566" t="str">
        <f>TRIM(Table1[[#This Row],[country]])</f>
        <v>Finland</v>
      </c>
    </row>
    <row r="2567" spans="1:16" x14ac:dyDescent="0.3">
      <c r="A2567" s="1">
        <v>38383</v>
      </c>
      <c r="B2567">
        <v>10373</v>
      </c>
      <c r="C2567">
        <v>311</v>
      </c>
      <c r="D2567" t="s">
        <v>220</v>
      </c>
      <c r="E2567" t="s">
        <v>164</v>
      </c>
      <c r="F2567" t="s">
        <v>71</v>
      </c>
      <c r="G2567" t="s">
        <v>96</v>
      </c>
      <c r="H2567">
        <v>32</v>
      </c>
      <c r="I2567" s="2">
        <v>76.94</v>
      </c>
      <c r="J2567" s="2">
        <v>39.83</v>
      </c>
      <c r="K2567" s="2">
        <v>2462.08</v>
      </c>
      <c r="L2567" s="2">
        <v>1274.56</v>
      </c>
      <c r="M2567" s="2">
        <v>1187.52</v>
      </c>
      <c r="N2567">
        <v>3</v>
      </c>
      <c r="P2567" t="str">
        <f>TRIM(Table1[[#This Row],[country]])</f>
        <v>Finland</v>
      </c>
    </row>
    <row r="2568" spans="1:16" x14ac:dyDescent="0.3">
      <c r="A2568" s="1">
        <v>38383</v>
      </c>
      <c r="B2568">
        <v>10373</v>
      </c>
      <c r="C2568">
        <v>311</v>
      </c>
      <c r="D2568" t="s">
        <v>220</v>
      </c>
      <c r="E2568" t="s">
        <v>164</v>
      </c>
      <c r="F2568" t="s">
        <v>71</v>
      </c>
      <c r="G2568" t="s">
        <v>77</v>
      </c>
      <c r="H2568">
        <v>41</v>
      </c>
      <c r="I2568" s="2">
        <v>69.39</v>
      </c>
      <c r="J2568" s="2">
        <v>33.97</v>
      </c>
      <c r="K2568" s="2">
        <v>2844.99</v>
      </c>
      <c r="L2568" s="2">
        <v>1392.77</v>
      </c>
      <c r="M2568" s="2">
        <v>1452.22</v>
      </c>
      <c r="N2568">
        <v>3</v>
      </c>
      <c r="P2568" t="str">
        <f>TRIM(Table1[[#This Row],[country]])</f>
        <v>Finland</v>
      </c>
    </row>
    <row r="2569" spans="1:16" x14ac:dyDescent="0.3">
      <c r="A2569" s="1">
        <v>38383</v>
      </c>
      <c r="B2569">
        <v>10373</v>
      </c>
      <c r="C2569">
        <v>311</v>
      </c>
      <c r="D2569" t="s">
        <v>220</v>
      </c>
      <c r="E2569" t="s">
        <v>164</v>
      </c>
      <c r="F2569" t="s">
        <v>71</v>
      </c>
      <c r="G2569" t="s">
        <v>78</v>
      </c>
      <c r="H2569">
        <v>34</v>
      </c>
      <c r="I2569" s="2">
        <v>94.16</v>
      </c>
      <c r="J2569" s="2">
        <v>51.09</v>
      </c>
      <c r="K2569" s="2">
        <v>3201.44</v>
      </c>
      <c r="L2569" s="2">
        <v>1737.06</v>
      </c>
      <c r="M2569" s="2">
        <v>1464.38</v>
      </c>
      <c r="N2569">
        <v>3</v>
      </c>
      <c r="P2569" t="str">
        <f>TRIM(Table1[[#This Row],[country]])</f>
        <v>Finland</v>
      </c>
    </row>
    <row r="2570" spans="1:16" x14ac:dyDescent="0.3">
      <c r="A2570" s="1">
        <v>38383</v>
      </c>
      <c r="B2570">
        <v>10373</v>
      </c>
      <c r="C2570">
        <v>311</v>
      </c>
      <c r="D2570" t="s">
        <v>220</v>
      </c>
      <c r="E2570" t="s">
        <v>164</v>
      </c>
      <c r="F2570" t="s">
        <v>71</v>
      </c>
      <c r="G2570" t="s">
        <v>79</v>
      </c>
      <c r="H2570">
        <v>37</v>
      </c>
      <c r="I2570" s="2">
        <v>83.42</v>
      </c>
      <c r="J2570" s="2">
        <v>53.63</v>
      </c>
      <c r="K2570" s="2">
        <v>3086.54</v>
      </c>
      <c r="L2570" s="2">
        <v>1984.31</v>
      </c>
      <c r="M2570" s="2">
        <v>1102.23</v>
      </c>
      <c r="N2570">
        <v>3</v>
      </c>
      <c r="P2570" t="str">
        <f>TRIM(Table1[[#This Row],[country]])</f>
        <v>Finland</v>
      </c>
    </row>
    <row r="2571" spans="1:16" x14ac:dyDescent="0.3">
      <c r="A2571" s="1">
        <v>38383</v>
      </c>
      <c r="B2571">
        <v>10373</v>
      </c>
      <c r="C2571">
        <v>311</v>
      </c>
      <c r="D2571" t="s">
        <v>220</v>
      </c>
      <c r="E2571" t="s">
        <v>164</v>
      </c>
      <c r="F2571" t="s">
        <v>83</v>
      </c>
      <c r="G2571" t="s">
        <v>100</v>
      </c>
      <c r="H2571">
        <v>45</v>
      </c>
      <c r="I2571" s="2">
        <v>68.11</v>
      </c>
      <c r="J2571" s="2">
        <v>36.270000000000003</v>
      </c>
      <c r="K2571" s="2">
        <v>3064.95</v>
      </c>
      <c r="L2571" s="2">
        <v>1632.15</v>
      </c>
      <c r="M2571" s="2">
        <v>1432.8</v>
      </c>
      <c r="N2571">
        <v>3</v>
      </c>
      <c r="P2571" t="str">
        <f>TRIM(Table1[[#This Row],[country]])</f>
        <v>Finland</v>
      </c>
    </row>
    <row r="2572" spans="1:16" x14ac:dyDescent="0.3">
      <c r="A2572" s="1">
        <v>38383</v>
      </c>
      <c r="B2572">
        <v>10373</v>
      </c>
      <c r="C2572">
        <v>311</v>
      </c>
      <c r="D2572" t="s">
        <v>220</v>
      </c>
      <c r="E2572" t="s">
        <v>164</v>
      </c>
      <c r="F2572" t="s">
        <v>83</v>
      </c>
      <c r="G2572" t="s">
        <v>101</v>
      </c>
      <c r="H2572">
        <v>25</v>
      </c>
      <c r="I2572" s="2">
        <v>44.2</v>
      </c>
      <c r="J2572" s="2">
        <v>32.770000000000003</v>
      </c>
      <c r="K2572" s="2">
        <v>1105</v>
      </c>
      <c r="L2572" s="2">
        <v>819.25</v>
      </c>
      <c r="M2572" s="2">
        <v>285.75</v>
      </c>
      <c r="N2572">
        <v>3</v>
      </c>
      <c r="P2572" t="str">
        <f>TRIM(Table1[[#This Row],[country]])</f>
        <v>Finland</v>
      </c>
    </row>
    <row r="2573" spans="1:16" x14ac:dyDescent="0.3">
      <c r="A2573" s="1">
        <v>38383</v>
      </c>
      <c r="B2573">
        <v>10373</v>
      </c>
      <c r="C2573">
        <v>311</v>
      </c>
      <c r="D2573" t="s">
        <v>220</v>
      </c>
      <c r="E2573" t="s">
        <v>164</v>
      </c>
      <c r="F2573" t="s">
        <v>71</v>
      </c>
      <c r="G2573" t="s">
        <v>80</v>
      </c>
      <c r="H2573">
        <v>29</v>
      </c>
      <c r="I2573" s="2">
        <v>48.05</v>
      </c>
      <c r="J2573" s="2">
        <v>33.299999999999997</v>
      </c>
      <c r="K2573" s="2">
        <v>1393.45</v>
      </c>
      <c r="L2573" s="2">
        <v>965.7</v>
      </c>
      <c r="M2573" s="2">
        <v>427.75</v>
      </c>
      <c r="N2573">
        <v>3</v>
      </c>
      <c r="P2573" t="str">
        <f>TRIM(Table1[[#This Row],[country]])</f>
        <v>Finland</v>
      </c>
    </row>
    <row r="2574" spans="1:16" x14ac:dyDescent="0.3">
      <c r="A2574" s="1">
        <v>38385</v>
      </c>
      <c r="B2574">
        <v>10374</v>
      </c>
      <c r="C2574">
        <v>333</v>
      </c>
      <c r="D2574" t="s">
        <v>166</v>
      </c>
      <c r="E2574" t="s">
        <v>151</v>
      </c>
      <c r="F2574" t="s">
        <v>102</v>
      </c>
      <c r="G2574" t="s">
        <v>104</v>
      </c>
      <c r="H2574">
        <v>39</v>
      </c>
      <c r="I2574" s="2">
        <v>115.37</v>
      </c>
      <c r="J2574" s="2">
        <v>68.989999999999995</v>
      </c>
      <c r="K2574" s="2">
        <v>4499.43</v>
      </c>
      <c r="L2574" s="2">
        <v>2690.61</v>
      </c>
      <c r="M2574" s="2">
        <v>1808.82</v>
      </c>
      <c r="N2574">
        <v>3</v>
      </c>
      <c r="P2574" t="str">
        <f>TRIM(Table1[[#This Row],[country]])</f>
        <v>Australia</v>
      </c>
    </row>
    <row r="2575" spans="1:16" x14ac:dyDescent="0.3">
      <c r="A2575" s="1">
        <v>38385</v>
      </c>
      <c r="B2575">
        <v>10374</v>
      </c>
      <c r="C2575">
        <v>333</v>
      </c>
      <c r="D2575" t="s">
        <v>166</v>
      </c>
      <c r="E2575" t="s">
        <v>151</v>
      </c>
      <c r="F2575" t="s">
        <v>102</v>
      </c>
      <c r="G2575" t="s">
        <v>105</v>
      </c>
      <c r="H2575">
        <v>22</v>
      </c>
      <c r="I2575" s="2">
        <v>158.80000000000001</v>
      </c>
      <c r="J2575" s="2">
        <v>91.02</v>
      </c>
      <c r="K2575" s="2">
        <v>3493.6</v>
      </c>
      <c r="L2575" s="2">
        <v>2002.44</v>
      </c>
      <c r="M2575" s="2">
        <v>1491.16</v>
      </c>
      <c r="N2575">
        <v>3</v>
      </c>
      <c r="P2575" t="str">
        <f>TRIM(Table1[[#This Row],[country]])</f>
        <v>Australia</v>
      </c>
    </row>
    <row r="2576" spans="1:16" x14ac:dyDescent="0.3">
      <c r="A2576" s="1">
        <v>38385</v>
      </c>
      <c r="B2576">
        <v>10374</v>
      </c>
      <c r="C2576">
        <v>333</v>
      </c>
      <c r="D2576" t="s">
        <v>166</v>
      </c>
      <c r="E2576" t="s">
        <v>151</v>
      </c>
      <c r="F2576" t="s">
        <v>83</v>
      </c>
      <c r="G2576" t="s">
        <v>85</v>
      </c>
      <c r="H2576">
        <v>42</v>
      </c>
      <c r="I2576" s="2">
        <v>75.19</v>
      </c>
      <c r="J2576" s="2">
        <v>49</v>
      </c>
      <c r="K2576" s="2">
        <v>3157.98</v>
      </c>
      <c r="L2576" s="2">
        <v>2058</v>
      </c>
      <c r="M2576" s="2">
        <v>1099.98</v>
      </c>
      <c r="N2576">
        <v>3</v>
      </c>
      <c r="P2576" t="str">
        <f>TRIM(Table1[[#This Row],[country]])</f>
        <v>Australia</v>
      </c>
    </row>
    <row r="2577" spans="1:16" x14ac:dyDescent="0.3">
      <c r="A2577" s="1">
        <v>38385</v>
      </c>
      <c r="B2577">
        <v>10374</v>
      </c>
      <c r="C2577">
        <v>333</v>
      </c>
      <c r="D2577" t="s">
        <v>166</v>
      </c>
      <c r="E2577" t="s">
        <v>151</v>
      </c>
      <c r="F2577" t="s">
        <v>102</v>
      </c>
      <c r="G2577" t="s">
        <v>107</v>
      </c>
      <c r="H2577">
        <v>22</v>
      </c>
      <c r="I2577" s="2">
        <v>48.46</v>
      </c>
      <c r="J2577" s="2">
        <v>24.23</v>
      </c>
      <c r="K2577" s="2">
        <v>1066.1199999999999</v>
      </c>
      <c r="L2577" s="2">
        <v>533.05999999999995</v>
      </c>
      <c r="M2577" s="2">
        <v>533.05999999999995</v>
      </c>
      <c r="N2577">
        <v>3</v>
      </c>
      <c r="P2577" t="str">
        <f>TRIM(Table1[[#This Row],[country]])</f>
        <v>Australia</v>
      </c>
    </row>
    <row r="2578" spans="1:16" x14ac:dyDescent="0.3">
      <c r="A2578" s="1">
        <v>38385</v>
      </c>
      <c r="B2578">
        <v>10374</v>
      </c>
      <c r="C2578">
        <v>333</v>
      </c>
      <c r="D2578" t="s">
        <v>166</v>
      </c>
      <c r="E2578" t="s">
        <v>151</v>
      </c>
      <c r="F2578" t="s">
        <v>102</v>
      </c>
      <c r="G2578" t="s">
        <v>108</v>
      </c>
      <c r="H2578">
        <v>38</v>
      </c>
      <c r="I2578" s="2">
        <v>112.7</v>
      </c>
      <c r="J2578" s="2">
        <v>60.86</v>
      </c>
      <c r="K2578" s="2">
        <v>4282.6000000000004</v>
      </c>
      <c r="L2578" s="2">
        <v>2312.6799999999998</v>
      </c>
      <c r="M2578" s="2">
        <v>1969.92</v>
      </c>
      <c r="N2578">
        <v>3</v>
      </c>
      <c r="P2578" t="str">
        <f>TRIM(Table1[[#This Row],[country]])</f>
        <v>Australia</v>
      </c>
    </row>
    <row r="2579" spans="1:16" x14ac:dyDescent="0.3">
      <c r="A2579" s="1">
        <v>38385</v>
      </c>
      <c r="B2579">
        <v>10374</v>
      </c>
      <c r="C2579">
        <v>333</v>
      </c>
      <c r="D2579" t="s">
        <v>166</v>
      </c>
      <c r="E2579" t="s">
        <v>151</v>
      </c>
      <c r="F2579" t="s">
        <v>83</v>
      </c>
      <c r="G2579" t="s">
        <v>88</v>
      </c>
      <c r="H2579">
        <v>46</v>
      </c>
      <c r="I2579" s="2">
        <v>107.23</v>
      </c>
      <c r="J2579" s="2">
        <v>66.739999999999995</v>
      </c>
      <c r="K2579" s="2">
        <v>4932.58</v>
      </c>
      <c r="L2579" s="2">
        <v>3070.04</v>
      </c>
      <c r="M2579" s="2">
        <v>1862.54</v>
      </c>
      <c r="N2579">
        <v>3</v>
      </c>
      <c r="P2579" t="str">
        <f>TRIM(Table1[[#This Row],[country]])</f>
        <v>Australia</v>
      </c>
    </row>
    <row r="2580" spans="1:16" x14ac:dyDescent="0.3">
      <c r="A2580" s="1">
        <v>38386</v>
      </c>
      <c r="B2580">
        <v>10375</v>
      </c>
      <c r="C2580">
        <v>119</v>
      </c>
      <c r="D2580" t="s">
        <v>196</v>
      </c>
      <c r="E2580" t="s">
        <v>144</v>
      </c>
      <c r="F2580" t="s">
        <v>102</v>
      </c>
      <c r="G2580" t="s">
        <v>103</v>
      </c>
      <c r="H2580">
        <v>21</v>
      </c>
      <c r="I2580" s="2">
        <v>76.56</v>
      </c>
      <c r="J2580" s="2">
        <v>48.81</v>
      </c>
      <c r="K2580" s="2">
        <v>1607.76</v>
      </c>
      <c r="L2580" s="2">
        <v>1025.01</v>
      </c>
      <c r="M2580" s="2">
        <v>582.75</v>
      </c>
      <c r="N2580">
        <v>3</v>
      </c>
      <c r="P2580" t="str">
        <f>TRIM(Table1[[#This Row],[country]])</f>
        <v>France</v>
      </c>
    </row>
    <row r="2581" spans="1:16" x14ac:dyDescent="0.3">
      <c r="A2581" s="1">
        <v>38386</v>
      </c>
      <c r="B2581">
        <v>10375</v>
      </c>
      <c r="C2581">
        <v>119</v>
      </c>
      <c r="D2581" t="s">
        <v>196</v>
      </c>
      <c r="E2581" t="s">
        <v>144</v>
      </c>
      <c r="F2581" t="s">
        <v>29</v>
      </c>
      <c r="G2581" t="s">
        <v>112</v>
      </c>
      <c r="H2581">
        <v>45</v>
      </c>
      <c r="I2581" s="2">
        <v>184.84</v>
      </c>
      <c r="J2581" s="2">
        <v>95.34</v>
      </c>
      <c r="K2581" s="2">
        <v>8317.7999999999993</v>
      </c>
      <c r="L2581" s="2">
        <v>4290.3</v>
      </c>
      <c r="M2581" s="2">
        <v>4027.5</v>
      </c>
      <c r="N2581">
        <v>3</v>
      </c>
      <c r="P2581" t="str">
        <f>TRIM(Table1[[#This Row],[country]])</f>
        <v>France</v>
      </c>
    </row>
    <row r="2582" spans="1:16" x14ac:dyDescent="0.3">
      <c r="A2582" s="1">
        <v>38386</v>
      </c>
      <c r="B2582">
        <v>10375</v>
      </c>
      <c r="C2582">
        <v>119</v>
      </c>
      <c r="D2582" t="s">
        <v>196</v>
      </c>
      <c r="E2582" t="s">
        <v>144</v>
      </c>
      <c r="F2582" t="s">
        <v>102</v>
      </c>
      <c r="G2582" t="s">
        <v>106</v>
      </c>
      <c r="H2582">
        <v>49</v>
      </c>
      <c r="I2582" s="2">
        <v>150.62</v>
      </c>
      <c r="J2582" s="2">
        <v>66.27</v>
      </c>
      <c r="K2582" s="2">
        <v>7380.38</v>
      </c>
      <c r="L2582" s="2">
        <v>3247.23</v>
      </c>
      <c r="M2582" s="2">
        <v>4133.1499999999996</v>
      </c>
      <c r="N2582">
        <v>3</v>
      </c>
      <c r="P2582" t="str">
        <f>TRIM(Table1[[#This Row],[country]])</f>
        <v>France</v>
      </c>
    </row>
    <row r="2583" spans="1:16" x14ac:dyDescent="0.3">
      <c r="A2583" s="1">
        <v>38386</v>
      </c>
      <c r="B2583">
        <v>10375</v>
      </c>
      <c r="C2583">
        <v>119</v>
      </c>
      <c r="D2583" t="s">
        <v>196</v>
      </c>
      <c r="E2583" t="s">
        <v>144</v>
      </c>
      <c r="F2583" t="s">
        <v>102</v>
      </c>
      <c r="G2583" t="s">
        <v>109</v>
      </c>
      <c r="H2583">
        <v>23</v>
      </c>
      <c r="I2583" s="2">
        <v>67.03</v>
      </c>
      <c r="J2583" s="2">
        <v>37.32</v>
      </c>
      <c r="K2583" s="2">
        <v>1541.69</v>
      </c>
      <c r="L2583" s="2">
        <v>858.36</v>
      </c>
      <c r="M2583" s="2">
        <v>683.33</v>
      </c>
      <c r="N2583">
        <v>3</v>
      </c>
      <c r="P2583" t="str">
        <f>TRIM(Table1[[#This Row],[country]])</f>
        <v>France</v>
      </c>
    </row>
    <row r="2584" spans="1:16" x14ac:dyDescent="0.3">
      <c r="A2584" s="1">
        <v>38386</v>
      </c>
      <c r="B2584">
        <v>10375</v>
      </c>
      <c r="C2584">
        <v>119</v>
      </c>
      <c r="D2584" t="s">
        <v>196</v>
      </c>
      <c r="E2584" t="s">
        <v>144</v>
      </c>
      <c r="F2584" t="s">
        <v>102</v>
      </c>
      <c r="G2584" t="s">
        <v>121</v>
      </c>
      <c r="H2584">
        <v>20</v>
      </c>
      <c r="I2584" s="2">
        <v>60.26</v>
      </c>
      <c r="J2584" s="2">
        <v>47.1</v>
      </c>
      <c r="K2584" s="2">
        <v>1205.2</v>
      </c>
      <c r="L2584" s="2">
        <v>942</v>
      </c>
      <c r="M2584" s="2">
        <v>263.2</v>
      </c>
      <c r="N2584">
        <v>3</v>
      </c>
      <c r="P2584" t="str">
        <f>TRIM(Table1[[#This Row],[country]])</f>
        <v>France</v>
      </c>
    </row>
    <row r="2585" spans="1:16" x14ac:dyDescent="0.3">
      <c r="A2585" s="1">
        <v>38386</v>
      </c>
      <c r="B2585">
        <v>10375</v>
      </c>
      <c r="C2585">
        <v>119</v>
      </c>
      <c r="D2585" t="s">
        <v>196</v>
      </c>
      <c r="E2585" t="s">
        <v>144</v>
      </c>
      <c r="F2585" t="s">
        <v>83</v>
      </c>
      <c r="G2585" t="s">
        <v>92</v>
      </c>
      <c r="H2585">
        <v>43</v>
      </c>
      <c r="I2585" s="2">
        <v>60.13</v>
      </c>
      <c r="J2585" s="2">
        <v>36.229999999999997</v>
      </c>
      <c r="K2585" s="2">
        <v>2585.59</v>
      </c>
      <c r="L2585" s="2">
        <v>1557.89</v>
      </c>
      <c r="M2585" s="2">
        <v>1027.7</v>
      </c>
      <c r="N2585">
        <v>3</v>
      </c>
      <c r="P2585" t="str">
        <f>TRIM(Table1[[#This Row],[country]])</f>
        <v>France</v>
      </c>
    </row>
    <row r="2586" spans="1:16" x14ac:dyDescent="0.3">
      <c r="A2586" s="1">
        <v>38386</v>
      </c>
      <c r="B2586">
        <v>10375</v>
      </c>
      <c r="C2586">
        <v>119</v>
      </c>
      <c r="D2586" t="s">
        <v>196</v>
      </c>
      <c r="E2586" t="s">
        <v>144</v>
      </c>
      <c r="F2586" t="s">
        <v>102</v>
      </c>
      <c r="G2586" t="s">
        <v>110</v>
      </c>
      <c r="H2586">
        <v>37</v>
      </c>
      <c r="I2586" s="2">
        <v>87.9</v>
      </c>
      <c r="J2586" s="2">
        <v>66.92</v>
      </c>
      <c r="K2586" s="2">
        <v>3252.3</v>
      </c>
      <c r="L2586" s="2">
        <v>2476.04</v>
      </c>
      <c r="M2586" s="2">
        <v>776.26</v>
      </c>
      <c r="N2586">
        <v>3</v>
      </c>
      <c r="P2586" t="str">
        <f>TRIM(Table1[[#This Row],[country]])</f>
        <v>France</v>
      </c>
    </row>
    <row r="2587" spans="1:16" x14ac:dyDescent="0.3">
      <c r="A2587" s="1">
        <v>38386</v>
      </c>
      <c r="B2587">
        <v>10375</v>
      </c>
      <c r="C2587">
        <v>119</v>
      </c>
      <c r="D2587" t="s">
        <v>196</v>
      </c>
      <c r="E2587" t="s">
        <v>144</v>
      </c>
      <c r="F2587" t="s">
        <v>15</v>
      </c>
      <c r="G2587" t="s">
        <v>93</v>
      </c>
      <c r="H2587">
        <v>44</v>
      </c>
      <c r="I2587" s="2">
        <v>59.85</v>
      </c>
      <c r="J2587" s="2">
        <v>33.020000000000003</v>
      </c>
      <c r="K2587" s="2">
        <v>2633.4</v>
      </c>
      <c r="L2587" s="2">
        <v>1452.88</v>
      </c>
      <c r="M2587" s="2">
        <v>1180.52</v>
      </c>
      <c r="N2587">
        <v>3</v>
      </c>
      <c r="P2587" t="str">
        <f>TRIM(Table1[[#This Row],[country]])</f>
        <v>France</v>
      </c>
    </row>
    <row r="2588" spans="1:16" x14ac:dyDescent="0.3">
      <c r="A2588" s="1">
        <v>38386</v>
      </c>
      <c r="B2588">
        <v>10375</v>
      </c>
      <c r="C2588">
        <v>119</v>
      </c>
      <c r="D2588" t="s">
        <v>196</v>
      </c>
      <c r="E2588" t="s">
        <v>144</v>
      </c>
      <c r="F2588" t="s">
        <v>102</v>
      </c>
      <c r="G2588" t="s">
        <v>126</v>
      </c>
      <c r="H2588">
        <v>41</v>
      </c>
      <c r="I2588" s="2">
        <v>96.95</v>
      </c>
      <c r="J2588" s="2">
        <v>56.13</v>
      </c>
      <c r="K2588" s="2">
        <v>3974.95</v>
      </c>
      <c r="L2588" s="2">
        <v>2301.33</v>
      </c>
      <c r="M2588" s="2">
        <v>1673.62</v>
      </c>
      <c r="N2588">
        <v>3</v>
      </c>
      <c r="P2588" t="str">
        <f>TRIM(Table1[[#This Row],[country]])</f>
        <v>France</v>
      </c>
    </row>
    <row r="2589" spans="1:16" x14ac:dyDescent="0.3">
      <c r="A2589" s="1">
        <v>38386</v>
      </c>
      <c r="B2589">
        <v>10375</v>
      </c>
      <c r="C2589">
        <v>119</v>
      </c>
      <c r="D2589" t="s">
        <v>196</v>
      </c>
      <c r="E2589" t="s">
        <v>144</v>
      </c>
      <c r="F2589" t="s">
        <v>15</v>
      </c>
      <c r="G2589" t="s">
        <v>94</v>
      </c>
      <c r="H2589">
        <v>49</v>
      </c>
      <c r="I2589" s="2">
        <v>36.22</v>
      </c>
      <c r="J2589" s="2">
        <v>27.06</v>
      </c>
      <c r="K2589" s="2">
        <v>1774.78</v>
      </c>
      <c r="L2589" s="2">
        <v>1325.94</v>
      </c>
      <c r="M2589" s="2">
        <v>448.84</v>
      </c>
      <c r="N2589">
        <v>3</v>
      </c>
      <c r="P2589" t="str">
        <f>TRIM(Table1[[#This Row],[country]])</f>
        <v>France</v>
      </c>
    </row>
    <row r="2590" spans="1:16" x14ac:dyDescent="0.3">
      <c r="A2590" s="1">
        <v>38386</v>
      </c>
      <c r="B2590">
        <v>10375</v>
      </c>
      <c r="C2590">
        <v>119</v>
      </c>
      <c r="D2590" t="s">
        <v>196</v>
      </c>
      <c r="E2590" t="s">
        <v>144</v>
      </c>
      <c r="F2590" t="s">
        <v>102</v>
      </c>
      <c r="G2590" t="s">
        <v>127</v>
      </c>
      <c r="H2590">
        <v>49</v>
      </c>
      <c r="I2590" s="2">
        <v>69.16</v>
      </c>
      <c r="J2590" s="2">
        <v>34.17</v>
      </c>
      <c r="K2590" s="2">
        <v>3388.84</v>
      </c>
      <c r="L2590" s="2">
        <v>1674.33</v>
      </c>
      <c r="M2590" s="2">
        <v>1714.51</v>
      </c>
      <c r="N2590">
        <v>3</v>
      </c>
      <c r="P2590" t="str">
        <f>TRIM(Table1[[#This Row],[country]])</f>
        <v>France</v>
      </c>
    </row>
    <row r="2591" spans="1:16" x14ac:dyDescent="0.3">
      <c r="A2591" s="1">
        <v>38386</v>
      </c>
      <c r="B2591">
        <v>10375</v>
      </c>
      <c r="C2591">
        <v>119</v>
      </c>
      <c r="D2591" t="s">
        <v>196</v>
      </c>
      <c r="E2591" t="s">
        <v>144</v>
      </c>
      <c r="F2591" t="s">
        <v>83</v>
      </c>
      <c r="G2591" t="s">
        <v>95</v>
      </c>
      <c r="H2591">
        <v>37</v>
      </c>
      <c r="I2591" s="2">
        <v>86.77</v>
      </c>
      <c r="J2591" s="2">
        <v>51.15</v>
      </c>
      <c r="K2591" s="2">
        <v>3210.49</v>
      </c>
      <c r="L2591" s="2">
        <v>1892.55</v>
      </c>
      <c r="M2591" s="2">
        <v>1317.94</v>
      </c>
      <c r="N2591">
        <v>3</v>
      </c>
      <c r="P2591" t="str">
        <f>TRIM(Table1[[#This Row],[country]])</f>
        <v>France</v>
      </c>
    </row>
    <row r="2592" spans="1:16" x14ac:dyDescent="0.3">
      <c r="A2592" s="1">
        <v>38386</v>
      </c>
      <c r="B2592">
        <v>10375</v>
      </c>
      <c r="C2592">
        <v>119</v>
      </c>
      <c r="D2592" t="s">
        <v>196</v>
      </c>
      <c r="E2592" t="s">
        <v>144</v>
      </c>
      <c r="F2592" t="s">
        <v>83</v>
      </c>
      <c r="G2592" t="s">
        <v>97</v>
      </c>
      <c r="H2592">
        <v>33</v>
      </c>
      <c r="I2592" s="2">
        <v>94.73</v>
      </c>
      <c r="J2592" s="2">
        <v>68.8</v>
      </c>
      <c r="K2592" s="2">
        <v>3126.09</v>
      </c>
      <c r="L2592" s="2">
        <v>2270.4</v>
      </c>
      <c r="M2592" s="2">
        <v>855.69</v>
      </c>
      <c r="N2592">
        <v>3</v>
      </c>
      <c r="P2592" t="str">
        <f>TRIM(Table1[[#This Row],[country]])</f>
        <v>France</v>
      </c>
    </row>
    <row r="2593" spans="1:16" x14ac:dyDescent="0.3">
      <c r="A2593" s="1">
        <v>38386</v>
      </c>
      <c r="B2593">
        <v>10375</v>
      </c>
      <c r="C2593">
        <v>119</v>
      </c>
      <c r="D2593" t="s">
        <v>196</v>
      </c>
      <c r="E2593" t="s">
        <v>144</v>
      </c>
      <c r="F2593" t="s">
        <v>83</v>
      </c>
      <c r="G2593" t="s">
        <v>98</v>
      </c>
      <c r="H2593">
        <v>25</v>
      </c>
      <c r="I2593" s="2">
        <v>98.48</v>
      </c>
      <c r="J2593" s="2">
        <v>59.33</v>
      </c>
      <c r="K2593" s="2">
        <v>2462</v>
      </c>
      <c r="L2593" s="2">
        <v>1483.25</v>
      </c>
      <c r="M2593" s="2">
        <v>978.75</v>
      </c>
      <c r="N2593">
        <v>3</v>
      </c>
      <c r="P2593" t="str">
        <f>TRIM(Table1[[#This Row],[country]])</f>
        <v>France</v>
      </c>
    </row>
    <row r="2594" spans="1:16" x14ac:dyDescent="0.3">
      <c r="A2594" s="1">
        <v>38386</v>
      </c>
      <c r="B2594">
        <v>10375</v>
      </c>
      <c r="C2594">
        <v>119</v>
      </c>
      <c r="D2594" t="s">
        <v>196</v>
      </c>
      <c r="E2594" t="s">
        <v>144</v>
      </c>
      <c r="F2594" t="s">
        <v>83</v>
      </c>
      <c r="G2594" t="s">
        <v>99</v>
      </c>
      <c r="H2594">
        <v>44</v>
      </c>
      <c r="I2594" s="2">
        <v>69.599999999999994</v>
      </c>
      <c r="J2594" s="2">
        <v>54.4</v>
      </c>
      <c r="K2594" s="2">
        <v>3062.4</v>
      </c>
      <c r="L2594" s="2">
        <v>2393.6</v>
      </c>
      <c r="M2594" s="2">
        <v>668.8</v>
      </c>
      <c r="N2594">
        <v>3</v>
      </c>
      <c r="P2594" t="str">
        <f>TRIM(Table1[[#This Row],[country]])</f>
        <v>France</v>
      </c>
    </row>
    <row r="2595" spans="1:16" x14ac:dyDescent="0.3">
      <c r="A2595" s="1">
        <v>38391</v>
      </c>
      <c r="B2595">
        <v>10376</v>
      </c>
      <c r="C2595">
        <v>219</v>
      </c>
      <c r="D2595" t="s">
        <v>221</v>
      </c>
      <c r="E2595" t="s">
        <v>14</v>
      </c>
      <c r="F2595" t="s">
        <v>29</v>
      </c>
      <c r="G2595" t="s">
        <v>113</v>
      </c>
      <c r="H2595">
        <v>35</v>
      </c>
      <c r="I2595" s="2">
        <v>98.65</v>
      </c>
      <c r="J2595" s="2">
        <v>75.16</v>
      </c>
      <c r="K2595" s="2">
        <v>3452.75</v>
      </c>
      <c r="L2595" s="2">
        <v>2630.6</v>
      </c>
      <c r="M2595" s="2">
        <v>822.15</v>
      </c>
      <c r="N2595">
        <v>2</v>
      </c>
      <c r="P2595" t="str">
        <f>TRIM(Table1[[#This Row],[country]])</f>
        <v>USA</v>
      </c>
    </row>
    <row r="2596" spans="1:16" x14ac:dyDescent="0.3">
      <c r="A2596" s="1">
        <v>38392</v>
      </c>
      <c r="B2596">
        <v>10377</v>
      </c>
      <c r="C2596">
        <v>186</v>
      </c>
      <c r="D2596" t="s">
        <v>223</v>
      </c>
      <c r="E2596" t="s">
        <v>164</v>
      </c>
      <c r="F2596" t="s">
        <v>29</v>
      </c>
      <c r="G2596" t="s">
        <v>114</v>
      </c>
      <c r="H2596">
        <v>24</v>
      </c>
      <c r="I2596" s="2">
        <v>65.44</v>
      </c>
      <c r="J2596" s="2">
        <v>31.92</v>
      </c>
      <c r="K2596" s="2">
        <v>1570.56</v>
      </c>
      <c r="L2596" s="2">
        <v>766.08</v>
      </c>
      <c r="M2596" s="2">
        <v>804.48</v>
      </c>
      <c r="N2596">
        <v>3</v>
      </c>
      <c r="P2596" t="str">
        <f>TRIM(Table1[[#This Row],[country]])</f>
        <v>Finland</v>
      </c>
    </row>
    <row r="2597" spans="1:16" x14ac:dyDescent="0.3">
      <c r="A2597" s="1">
        <v>38392</v>
      </c>
      <c r="B2597">
        <v>10377</v>
      </c>
      <c r="C2597">
        <v>186</v>
      </c>
      <c r="D2597" t="s">
        <v>223</v>
      </c>
      <c r="E2597" t="s">
        <v>164</v>
      </c>
      <c r="F2597" t="s">
        <v>29</v>
      </c>
      <c r="G2597" t="s">
        <v>115</v>
      </c>
      <c r="H2597">
        <v>50</v>
      </c>
      <c r="I2597" s="2">
        <v>112.86</v>
      </c>
      <c r="J2597" s="2">
        <v>58.73</v>
      </c>
      <c r="K2597" s="2">
        <v>5643</v>
      </c>
      <c r="L2597" s="2">
        <v>2936.5</v>
      </c>
      <c r="M2597" s="2">
        <v>2706.5</v>
      </c>
      <c r="N2597">
        <v>3</v>
      </c>
      <c r="P2597" t="str">
        <f>TRIM(Table1[[#This Row],[country]])</f>
        <v>Finland</v>
      </c>
    </row>
    <row r="2598" spans="1:16" x14ac:dyDescent="0.3">
      <c r="A2598" s="1">
        <v>38392</v>
      </c>
      <c r="B2598">
        <v>10377</v>
      </c>
      <c r="C2598">
        <v>186</v>
      </c>
      <c r="D2598" t="s">
        <v>223</v>
      </c>
      <c r="E2598" t="s">
        <v>164</v>
      </c>
      <c r="F2598" t="s">
        <v>29</v>
      </c>
      <c r="G2598" t="s">
        <v>128</v>
      </c>
      <c r="H2598">
        <v>35</v>
      </c>
      <c r="I2598" s="2">
        <v>124.56</v>
      </c>
      <c r="J2598" s="2">
        <v>83.51</v>
      </c>
      <c r="K2598" s="2">
        <v>4359.6000000000004</v>
      </c>
      <c r="L2598" s="2">
        <v>2922.85</v>
      </c>
      <c r="M2598" s="2">
        <v>1436.75</v>
      </c>
      <c r="N2598">
        <v>3</v>
      </c>
      <c r="P2598" t="str">
        <f>TRIM(Table1[[#This Row],[country]])</f>
        <v>Finland</v>
      </c>
    </row>
    <row r="2599" spans="1:16" x14ac:dyDescent="0.3">
      <c r="A2599" s="1">
        <v>38392</v>
      </c>
      <c r="B2599">
        <v>10377</v>
      </c>
      <c r="C2599">
        <v>186</v>
      </c>
      <c r="D2599" t="s">
        <v>223</v>
      </c>
      <c r="E2599" t="s">
        <v>164</v>
      </c>
      <c r="F2599" t="s">
        <v>29</v>
      </c>
      <c r="G2599" t="s">
        <v>116</v>
      </c>
      <c r="H2599">
        <v>31</v>
      </c>
      <c r="I2599" s="2">
        <v>61.6</v>
      </c>
      <c r="J2599" s="2">
        <v>53.9</v>
      </c>
      <c r="K2599" s="2">
        <v>1909.6</v>
      </c>
      <c r="L2599" s="2">
        <v>1670.9</v>
      </c>
      <c r="M2599" s="2">
        <v>238.7</v>
      </c>
      <c r="N2599">
        <v>3</v>
      </c>
      <c r="P2599" t="str">
        <f>TRIM(Table1[[#This Row],[country]])</f>
        <v>Finland</v>
      </c>
    </row>
    <row r="2600" spans="1:16" x14ac:dyDescent="0.3">
      <c r="A2600" s="1">
        <v>38392</v>
      </c>
      <c r="B2600">
        <v>10377</v>
      </c>
      <c r="C2600">
        <v>186</v>
      </c>
      <c r="D2600" t="s">
        <v>223</v>
      </c>
      <c r="E2600" t="s">
        <v>164</v>
      </c>
      <c r="F2600" t="s">
        <v>29</v>
      </c>
      <c r="G2600" t="s">
        <v>129</v>
      </c>
      <c r="H2600">
        <v>36</v>
      </c>
      <c r="I2600" s="2">
        <v>125.18</v>
      </c>
      <c r="J2600" s="2">
        <v>93.89</v>
      </c>
      <c r="K2600" s="2">
        <v>4506.4799999999996</v>
      </c>
      <c r="L2600" s="2">
        <v>3380.04</v>
      </c>
      <c r="M2600" s="2">
        <v>1126.44</v>
      </c>
      <c r="N2600">
        <v>3</v>
      </c>
      <c r="P2600" t="str">
        <f>TRIM(Table1[[#This Row],[country]])</f>
        <v>Finland</v>
      </c>
    </row>
    <row r="2601" spans="1:16" x14ac:dyDescent="0.3">
      <c r="A2601" s="1">
        <v>38392</v>
      </c>
      <c r="B2601">
        <v>10377</v>
      </c>
      <c r="C2601">
        <v>186</v>
      </c>
      <c r="D2601" t="s">
        <v>223</v>
      </c>
      <c r="E2601" t="s">
        <v>164</v>
      </c>
      <c r="F2601" t="s">
        <v>29</v>
      </c>
      <c r="G2601" t="s">
        <v>53</v>
      </c>
      <c r="H2601">
        <v>39</v>
      </c>
      <c r="I2601" s="2">
        <v>143.94</v>
      </c>
      <c r="J2601" s="2">
        <v>77.900000000000006</v>
      </c>
      <c r="K2601" s="2">
        <v>5613.66</v>
      </c>
      <c r="L2601" s="2">
        <v>3038.1</v>
      </c>
      <c r="M2601" s="2">
        <v>2575.56</v>
      </c>
      <c r="N2601">
        <v>3</v>
      </c>
      <c r="P2601" t="str">
        <f>TRIM(Table1[[#This Row],[country]])</f>
        <v>Finland</v>
      </c>
    </row>
    <row r="2602" spans="1:16" x14ac:dyDescent="0.3">
      <c r="A2602" s="1">
        <v>38393</v>
      </c>
      <c r="B2602">
        <v>10378</v>
      </c>
      <c r="C2602">
        <v>141</v>
      </c>
      <c r="D2602" t="s">
        <v>47</v>
      </c>
      <c r="E2602" t="s">
        <v>48</v>
      </c>
      <c r="F2602" t="s">
        <v>29</v>
      </c>
      <c r="G2602" t="s">
        <v>134</v>
      </c>
      <c r="H2602">
        <v>34</v>
      </c>
      <c r="I2602" s="2">
        <v>121.95</v>
      </c>
      <c r="J2602" s="2">
        <v>65.959999999999994</v>
      </c>
      <c r="K2602" s="2">
        <v>4146.3</v>
      </c>
      <c r="L2602" s="2">
        <v>2242.64</v>
      </c>
      <c r="M2602" s="2">
        <v>1903.66</v>
      </c>
      <c r="N2602">
        <v>18</v>
      </c>
      <c r="P2602" t="str">
        <f>TRIM(Table1[[#This Row],[country]])</f>
        <v>Spain</v>
      </c>
    </row>
    <row r="2603" spans="1:16" x14ac:dyDescent="0.3">
      <c r="A2603" s="1">
        <v>38393</v>
      </c>
      <c r="B2603">
        <v>10378</v>
      </c>
      <c r="C2603">
        <v>141</v>
      </c>
      <c r="D2603" t="s">
        <v>47</v>
      </c>
      <c r="E2603" t="s">
        <v>48</v>
      </c>
      <c r="F2603" t="s">
        <v>29</v>
      </c>
      <c r="G2603" t="s">
        <v>117</v>
      </c>
      <c r="H2603">
        <v>22</v>
      </c>
      <c r="I2603" s="2">
        <v>66.739999999999995</v>
      </c>
      <c r="J2603" s="2">
        <v>49.05</v>
      </c>
      <c r="K2603" s="2">
        <v>1468.28</v>
      </c>
      <c r="L2603" s="2">
        <v>1079.0999999999999</v>
      </c>
      <c r="M2603" s="2">
        <v>389.18</v>
      </c>
      <c r="N2603">
        <v>18</v>
      </c>
      <c r="P2603" t="str">
        <f>TRIM(Table1[[#This Row],[country]])</f>
        <v>Spain</v>
      </c>
    </row>
    <row r="2604" spans="1:16" x14ac:dyDescent="0.3">
      <c r="A2604" s="1">
        <v>38393</v>
      </c>
      <c r="B2604">
        <v>10378</v>
      </c>
      <c r="C2604">
        <v>141</v>
      </c>
      <c r="D2604" t="s">
        <v>47</v>
      </c>
      <c r="E2604" t="s">
        <v>48</v>
      </c>
      <c r="F2604" t="s">
        <v>29</v>
      </c>
      <c r="G2604" t="s">
        <v>118</v>
      </c>
      <c r="H2604">
        <v>43</v>
      </c>
      <c r="I2604" s="2">
        <v>146.99</v>
      </c>
      <c r="J2604" s="2">
        <v>73.489999999999995</v>
      </c>
      <c r="K2604" s="2">
        <v>6320.57</v>
      </c>
      <c r="L2604" s="2">
        <v>3160.07</v>
      </c>
      <c r="M2604" s="2">
        <v>3160.5</v>
      </c>
      <c r="N2604">
        <v>18</v>
      </c>
      <c r="P2604" t="str">
        <f>TRIM(Table1[[#This Row],[country]])</f>
        <v>Spain</v>
      </c>
    </row>
    <row r="2605" spans="1:16" x14ac:dyDescent="0.3">
      <c r="A2605" s="1">
        <v>38393</v>
      </c>
      <c r="B2605">
        <v>10378</v>
      </c>
      <c r="C2605">
        <v>141</v>
      </c>
      <c r="D2605" t="s">
        <v>47</v>
      </c>
      <c r="E2605" t="s">
        <v>48</v>
      </c>
      <c r="F2605" t="s">
        <v>102</v>
      </c>
      <c r="G2605" t="s">
        <v>119</v>
      </c>
      <c r="H2605">
        <v>28</v>
      </c>
      <c r="I2605" s="2">
        <v>60.3</v>
      </c>
      <c r="J2605" s="2">
        <v>32.950000000000003</v>
      </c>
      <c r="K2605" s="2">
        <v>1688.4</v>
      </c>
      <c r="L2605" s="2">
        <v>922.6</v>
      </c>
      <c r="M2605" s="2">
        <v>765.8</v>
      </c>
      <c r="N2605">
        <v>18</v>
      </c>
      <c r="P2605" t="str">
        <f>TRIM(Table1[[#This Row],[country]])</f>
        <v>Spain</v>
      </c>
    </row>
    <row r="2606" spans="1:16" x14ac:dyDescent="0.3">
      <c r="A2606" s="1">
        <v>38393</v>
      </c>
      <c r="B2606">
        <v>10378</v>
      </c>
      <c r="C2606">
        <v>141</v>
      </c>
      <c r="D2606" t="s">
        <v>47</v>
      </c>
      <c r="E2606" t="s">
        <v>48</v>
      </c>
      <c r="F2606" t="s">
        <v>29</v>
      </c>
      <c r="G2606" t="s">
        <v>120</v>
      </c>
      <c r="H2606">
        <v>49</v>
      </c>
      <c r="I2606" s="2">
        <v>122.02</v>
      </c>
      <c r="J2606" s="2">
        <v>69.930000000000007</v>
      </c>
      <c r="K2606" s="2">
        <v>5978.98</v>
      </c>
      <c r="L2606" s="2">
        <v>3426.57</v>
      </c>
      <c r="M2606" s="2">
        <v>2552.41</v>
      </c>
      <c r="N2606">
        <v>18</v>
      </c>
      <c r="P2606" t="str">
        <f>TRIM(Table1[[#This Row],[country]])</f>
        <v>Spain</v>
      </c>
    </row>
    <row r="2607" spans="1:16" x14ac:dyDescent="0.3">
      <c r="A2607" s="1">
        <v>38393</v>
      </c>
      <c r="B2607">
        <v>10378</v>
      </c>
      <c r="C2607">
        <v>141</v>
      </c>
      <c r="D2607" t="s">
        <v>47</v>
      </c>
      <c r="E2607" t="s">
        <v>48</v>
      </c>
      <c r="F2607" t="s">
        <v>29</v>
      </c>
      <c r="G2607" t="s">
        <v>132</v>
      </c>
      <c r="H2607">
        <v>41</v>
      </c>
      <c r="I2607" s="2">
        <v>30.59</v>
      </c>
      <c r="J2607" s="2">
        <v>16.239999999999998</v>
      </c>
      <c r="K2607" s="2">
        <v>1254.19</v>
      </c>
      <c r="L2607" s="2">
        <v>665.84</v>
      </c>
      <c r="M2607" s="2">
        <v>588.35</v>
      </c>
      <c r="N2607">
        <v>18</v>
      </c>
      <c r="P2607" t="str">
        <f>TRIM(Table1[[#This Row],[country]])</f>
        <v>Spain</v>
      </c>
    </row>
    <row r="2608" spans="1:16" x14ac:dyDescent="0.3">
      <c r="A2608" s="1">
        <v>38393</v>
      </c>
      <c r="B2608">
        <v>10378</v>
      </c>
      <c r="C2608">
        <v>141</v>
      </c>
      <c r="D2608" t="s">
        <v>47</v>
      </c>
      <c r="E2608" t="s">
        <v>48</v>
      </c>
      <c r="F2608" t="s">
        <v>29</v>
      </c>
      <c r="G2608" t="s">
        <v>122</v>
      </c>
      <c r="H2608">
        <v>46</v>
      </c>
      <c r="I2608" s="2">
        <v>52.66</v>
      </c>
      <c r="J2608" s="2">
        <v>38.58</v>
      </c>
      <c r="K2608" s="2">
        <v>2422.36</v>
      </c>
      <c r="L2608" s="2">
        <v>1774.68</v>
      </c>
      <c r="M2608" s="2">
        <v>647.67999999999995</v>
      </c>
      <c r="N2608">
        <v>18</v>
      </c>
      <c r="P2608" t="str">
        <f>TRIM(Table1[[#This Row],[country]])</f>
        <v>Spain</v>
      </c>
    </row>
    <row r="2609" spans="1:16" x14ac:dyDescent="0.3">
      <c r="A2609" s="1">
        <v>38393</v>
      </c>
      <c r="B2609">
        <v>10378</v>
      </c>
      <c r="C2609">
        <v>141</v>
      </c>
      <c r="D2609" t="s">
        <v>47</v>
      </c>
      <c r="E2609" t="s">
        <v>48</v>
      </c>
      <c r="F2609" t="s">
        <v>29</v>
      </c>
      <c r="G2609" t="s">
        <v>123</v>
      </c>
      <c r="H2609">
        <v>33</v>
      </c>
      <c r="I2609" s="2">
        <v>129.19999999999999</v>
      </c>
      <c r="J2609" s="2">
        <v>98.3</v>
      </c>
      <c r="K2609" s="2">
        <v>4263.6000000000004</v>
      </c>
      <c r="L2609" s="2">
        <v>3243.9</v>
      </c>
      <c r="M2609" s="2">
        <v>1019.7</v>
      </c>
      <c r="N2609">
        <v>18</v>
      </c>
      <c r="P2609" t="str">
        <f>TRIM(Table1[[#This Row],[country]])</f>
        <v>Spain</v>
      </c>
    </row>
    <row r="2610" spans="1:16" x14ac:dyDescent="0.3">
      <c r="A2610" s="1">
        <v>38393</v>
      </c>
      <c r="B2610">
        <v>10378</v>
      </c>
      <c r="C2610">
        <v>141</v>
      </c>
      <c r="D2610" t="s">
        <v>47</v>
      </c>
      <c r="E2610" t="s">
        <v>48</v>
      </c>
      <c r="F2610" t="s">
        <v>29</v>
      </c>
      <c r="G2610" t="s">
        <v>124</v>
      </c>
      <c r="H2610">
        <v>41</v>
      </c>
      <c r="I2610" s="2">
        <v>80.84</v>
      </c>
      <c r="J2610" s="2">
        <v>32.33</v>
      </c>
      <c r="K2610" s="2">
        <v>3314.44</v>
      </c>
      <c r="L2610" s="2">
        <v>1325.53</v>
      </c>
      <c r="M2610" s="2">
        <v>1988.91</v>
      </c>
      <c r="N2610">
        <v>18</v>
      </c>
      <c r="P2610" t="str">
        <f>TRIM(Table1[[#This Row],[country]])</f>
        <v>Spain</v>
      </c>
    </row>
    <row r="2611" spans="1:16" x14ac:dyDescent="0.3">
      <c r="A2611" s="1">
        <v>38393</v>
      </c>
      <c r="B2611">
        <v>10378</v>
      </c>
      <c r="C2611">
        <v>141</v>
      </c>
      <c r="D2611" t="s">
        <v>47</v>
      </c>
      <c r="E2611" t="s">
        <v>48</v>
      </c>
      <c r="F2611" t="s">
        <v>102</v>
      </c>
      <c r="G2611" t="s">
        <v>125</v>
      </c>
      <c r="H2611">
        <v>40</v>
      </c>
      <c r="I2611" s="2">
        <v>35.799999999999997</v>
      </c>
      <c r="J2611" s="2">
        <v>24.14</v>
      </c>
      <c r="K2611" s="2">
        <v>1432</v>
      </c>
      <c r="L2611" s="2">
        <v>965.6</v>
      </c>
      <c r="M2611" s="2">
        <v>466.4</v>
      </c>
      <c r="N2611">
        <v>18</v>
      </c>
      <c r="P2611" t="str">
        <f>TRIM(Table1[[#This Row],[country]])</f>
        <v>Spain</v>
      </c>
    </row>
    <row r="2612" spans="1:16" x14ac:dyDescent="0.3">
      <c r="A2612" s="1">
        <v>38393</v>
      </c>
      <c r="B2612">
        <v>10379</v>
      </c>
      <c r="C2612">
        <v>141</v>
      </c>
      <c r="D2612" t="s">
        <v>47</v>
      </c>
      <c r="E2612" t="s">
        <v>48</v>
      </c>
      <c r="F2612" t="s">
        <v>15</v>
      </c>
      <c r="G2612" t="s">
        <v>16</v>
      </c>
      <c r="H2612">
        <v>39</v>
      </c>
      <c r="I2612" s="2">
        <v>156.4</v>
      </c>
      <c r="J2612" s="2">
        <v>86.7</v>
      </c>
      <c r="K2612" s="2">
        <v>6099.6</v>
      </c>
      <c r="L2612" s="2">
        <v>3381.3</v>
      </c>
      <c r="M2612" s="2">
        <v>2718.3</v>
      </c>
      <c r="N2612">
        <v>18</v>
      </c>
      <c r="P2612" t="str">
        <f>TRIM(Table1[[#This Row],[country]])</f>
        <v>Spain</v>
      </c>
    </row>
    <row r="2613" spans="1:16" x14ac:dyDescent="0.3">
      <c r="A2613" s="1">
        <v>38393</v>
      </c>
      <c r="B2613">
        <v>10379</v>
      </c>
      <c r="C2613">
        <v>141</v>
      </c>
      <c r="D2613" t="s">
        <v>47</v>
      </c>
      <c r="E2613" t="s">
        <v>48</v>
      </c>
      <c r="F2613" t="s">
        <v>15</v>
      </c>
      <c r="G2613" t="s">
        <v>17</v>
      </c>
      <c r="H2613">
        <v>27</v>
      </c>
      <c r="I2613" s="2">
        <v>50.85</v>
      </c>
      <c r="J2613" s="2">
        <v>33.299999999999997</v>
      </c>
      <c r="K2613" s="2">
        <v>1372.95</v>
      </c>
      <c r="L2613" s="2">
        <v>899.1</v>
      </c>
      <c r="M2613" s="2">
        <v>473.85</v>
      </c>
      <c r="N2613">
        <v>18</v>
      </c>
      <c r="P2613" t="str">
        <f>TRIM(Table1[[#This Row],[country]])</f>
        <v>Spain</v>
      </c>
    </row>
    <row r="2614" spans="1:16" x14ac:dyDescent="0.3">
      <c r="A2614" s="1">
        <v>38393</v>
      </c>
      <c r="B2614">
        <v>10379</v>
      </c>
      <c r="C2614">
        <v>141</v>
      </c>
      <c r="D2614" t="s">
        <v>47</v>
      </c>
      <c r="E2614" t="s">
        <v>48</v>
      </c>
      <c r="F2614" t="s">
        <v>29</v>
      </c>
      <c r="G2614" t="s">
        <v>130</v>
      </c>
      <c r="H2614">
        <v>29</v>
      </c>
      <c r="I2614" s="2">
        <v>113.52</v>
      </c>
      <c r="J2614" s="2">
        <v>56.76</v>
      </c>
      <c r="K2614" s="2">
        <v>3292.08</v>
      </c>
      <c r="L2614" s="2">
        <v>1646.04</v>
      </c>
      <c r="M2614" s="2">
        <v>1646.04</v>
      </c>
      <c r="N2614">
        <v>18</v>
      </c>
      <c r="P2614" t="str">
        <f>TRIM(Table1[[#This Row],[country]])</f>
        <v>Spain</v>
      </c>
    </row>
    <row r="2615" spans="1:16" x14ac:dyDescent="0.3">
      <c r="A2615" s="1">
        <v>38393</v>
      </c>
      <c r="B2615">
        <v>10379</v>
      </c>
      <c r="C2615">
        <v>141</v>
      </c>
      <c r="D2615" t="s">
        <v>47</v>
      </c>
      <c r="E2615" t="s">
        <v>48</v>
      </c>
      <c r="F2615" t="s">
        <v>29</v>
      </c>
      <c r="G2615" t="s">
        <v>131</v>
      </c>
      <c r="H2615">
        <v>32</v>
      </c>
      <c r="I2615" s="2">
        <v>134.22</v>
      </c>
      <c r="J2615" s="2">
        <v>62.16</v>
      </c>
      <c r="K2615" s="2">
        <v>4295.04</v>
      </c>
      <c r="L2615" s="2">
        <v>1989.12</v>
      </c>
      <c r="M2615" s="2">
        <v>2305.92</v>
      </c>
      <c r="N2615">
        <v>18</v>
      </c>
      <c r="P2615" t="str">
        <f>TRIM(Table1[[#This Row],[country]])</f>
        <v>Spain</v>
      </c>
    </row>
    <row r="2616" spans="1:16" x14ac:dyDescent="0.3">
      <c r="A2616" s="1">
        <v>38393</v>
      </c>
      <c r="B2616">
        <v>10379</v>
      </c>
      <c r="C2616">
        <v>141</v>
      </c>
      <c r="D2616" t="s">
        <v>47</v>
      </c>
      <c r="E2616" t="s">
        <v>48</v>
      </c>
      <c r="F2616" t="s">
        <v>29</v>
      </c>
      <c r="G2616" t="s">
        <v>137</v>
      </c>
      <c r="H2616">
        <v>32</v>
      </c>
      <c r="I2616" s="2">
        <v>48.8</v>
      </c>
      <c r="J2616" s="2">
        <v>29.18</v>
      </c>
      <c r="K2616" s="2">
        <v>1561.6</v>
      </c>
      <c r="L2616" s="2">
        <v>933.76</v>
      </c>
      <c r="M2616" s="2">
        <v>627.84</v>
      </c>
      <c r="N2616">
        <v>18</v>
      </c>
      <c r="P2616" t="str">
        <f>TRIM(Table1[[#This Row],[country]])</f>
        <v>Spain</v>
      </c>
    </row>
    <row r="2617" spans="1:16" x14ac:dyDescent="0.3">
      <c r="A2617" s="1">
        <v>38399</v>
      </c>
      <c r="B2617">
        <v>10380</v>
      </c>
      <c r="C2617">
        <v>141</v>
      </c>
      <c r="D2617" t="s">
        <v>47</v>
      </c>
      <c r="E2617" t="s">
        <v>48</v>
      </c>
      <c r="F2617" t="s">
        <v>15</v>
      </c>
      <c r="G2617" t="s">
        <v>25</v>
      </c>
      <c r="H2617">
        <v>27</v>
      </c>
      <c r="I2617" s="2">
        <v>88.36</v>
      </c>
      <c r="J2617" s="2">
        <v>60.62</v>
      </c>
      <c r="K2617" s="2">
        <v>2385.7199999999998</v>
      </c>
      <c r="L2617" s="2">
        <v>1636.74</v>
      </c>
      <c r="M2617" s="2">
        <v>748.98</v>
      </c>
      <c r="N2617">
        <v>19</v>
      </c>
      <c r="P2617" t="str">
        <f>TRIM(Table1[[#This Row],[country]])</f>
        <v>Spain</v>
      </c>
    </row>
    <row r="2618" spans="1:16" x14ac:dyDescent="0.3">
      <c r="A2618" s="1">
        <v>38399</v>
      </c>
      <c r="B2618">
        <v>10380</v>
      </c>
      <c r="C2618">
        <v>141</v>
      </c>
      <c r="D2618" t="s">
        <v>47</v>
      </c>
      <c r="E2618" t="s">
        <v>48</v>
      </c>
      <c r="F2618" t="s">
        <v>15</v>
      </c>
      <c r="G2618" t="s">
        <v>21</v>
      </c>
      <c r="H2618">
        <v>40</v>
      </c>
      <c r="I2618" s="2">
        <v>119.5</v>
      </c>
      <c r="J2618" s="2">
        <v>58.48</v>
      </c>
      <c r="K2618" s="2">
        <v>4780</v>
      </c>
      <c r="L2618" s="2">
        <v>2339.1999999999998</v>
      </c>
      <c r="M2618" s="2">
        <v>2440.8000000000002</v>
      </c>
      <c r="N2618">
        <v>19</v>
      </c>
      <c r="P2618" t="str">
        <f>TRIM(Table1[[#This Row],[country]])</f>
        <v>Spain</v>
      </c>
    </row>
    <row r="2619" spans="1:16" x14ac:dyDescent="0.3">
      <c r="A2619" s="1">
        <v>38399</v>
      </c>
      <c r="B2619">
        <v>10380</v>
      </c>
      <c r="C2619">
        <v>141</v>
      </c>
      <c r="D2619" t="s">
        <v>47</v>
      </c>
      <c r="E2619" t="s">
        <v>48</v>
      </c>
      <c r="F2619" t="s">
        <v>15</v>
      </c>
      <c r="G2619" t="s">
        <v>22</v>
      </c>
      <c r="H2619">
        <v>21</v>
      </c>
      <c r="I2619" s="2">
        <v>156.94</v>
      </c>
      <c r="J2619" s="2">
        <v>72.56</v>
      </c>
      <c r="K2619" s="2">
        <v>3295.74</v>
      </c>
      <c r="L2619" s="2">
        <v>1523.76</v>
      </c>
      <c r="M2619" s="2">
        <v>1771.98</v>
      </c>
      <c r="N2619">
        <v>19</v>
      </c>
      <c r="P2619" t="str">
        <f>TRIM(Table1[[#This Row],[country]])</f>
        <v>Spain</v>
      </c>
    </row>
    <row r="2620" spans="1:16" x14ac:dyDescent="0.3">
      <c r="A2620" s="1">
        <v>38399</v>
      </c>
      <c r="B2620">
        <v>10380</v>
      </c>
      <c r="C2620">
        <v>141</v>
      </c>
      <c r="D2620" t="s">
        <v>47</v>
      </c>
      <c r="E2620" t="s">
        <v>48</v>
      </c>
      <c r="F2620" t="s">
        <v>15</v>
      </c>
      <c r="G2620" t="s">
        <v>18</v>
      </c>
      <c r="H2620">
        <v>32</v>
      </c>
      <c r="I2620" s="2">
        <v>78.23</v>
      </c>
      <c r="J2620" s="2">
        <v>43.26</v>
      </c>
      <c r="K2620" s="2">
        <v>2503.36</v>
      </c>
      <c r="L2620" s="2">
        <v>1384.32</v>
      </c>
      <c r="M2620" s="2">
        <v>1119.04</v>
      </c>
      <c r="N2620">
        <v>19</v>
      </c>
      <c r="P2620" t="str">
        <f>TRIM(Table1[[#This Row],[country]])</f>
        <v>Spain</v>
      </c>
    </row>
    <row r="2621" spans="1:16" x14ac:dyDescent="0.3">
      <c r="A2621" s="1">
        <v>38399</v>
      </c>
      <c r="B2621">
        <v>10380</v>
      </c>
      <c r="C2621">
        <v>141</v>
      </c>
      <c r="D2621" t="s">
        <v>47</v>
      </c>
      <c r="E2621" t="s">
        <v>48</v>
      </c>
      <c r="F2621" t="s">
        <v>29</v>
      </c>
      <c r="G2621" t="s">
        <v>135</v>
      </c>
      <c r="H2621">
        <v>24</v>
      </c>
      <c r="I2621" s="2">
        <v>66.989999999999995</v>
      </c>
      <c r="J2621" s="2">
        <v>34.21</v>
      </c>
      <c r="K2621" s="2">
        <v>1607.76</v>
      </c>
      <c r="L2621" s="2">
        <v>821.04</v>
      </c>
      <c r="M2621" s="2">
        <v>786.72</v>
      </c>
      <c r="N2621">
        <v>19</v>
      </c>
      <c r="P2621" t="str">
        <f>TRIM(Table1[[#This Row],[country]])</f>
        <v>Spain</v>
      </c>
    </row>
    <row r="2622" spans="1:16" x14ac:dyDescent="0.3">
      <c r="A2622" s="1">
        <v>38399</v>
      </c>
      <c r="B2622">
        <v>10380</v>
      </c>
      <c r="C2622">
        <v>141</v>
      </c>
      <c r="D2622" t="s">
        <v>47</v>
      </c>
      <c r="E2622" t="s">
        <v>48</v>
      </c>
      <c r="F2622" t="s">
        <v>29</v>
      </c>
      <c r="G2622" t="s">
        <v>136</v>
      </c>
      <c r="H2622">
        <v>34</v>
      </c>
      <c r="I2622" s="2">
        <v>66.88</v>
      </c>
      <c r="J2622" s="2">
        <v>49.24</v>
      </c>
      <c r="K2622" s="2">
        <v>2273.92</v>
      </c>
      <c r="L2622" s="2">
        <v>1674.16</v>
      </c>
      <c r="M2622" s="2">
        <v>599.76</v>
      </c>
      <c r="N2622">
        <v>19</v>
      </c>
      <c r="P2622" t="str">
        <f>TRIM(Table1[[#This Row],[country]])</f>
        <v>Spain</v>
      </c>
    </row>
    <row r="2623" spans="1:16" x14ac:dyDescent="0.3">
      <c r="A2623" s="1">
        <v>38399</v>
      </c>
      <c r="B2623">
        <v>10380</v>
      </c>
      <c r="C2623">
        <v>141</v>
      </c>
      <c r="D2623" t="s">
        <v>47</v>
      </c>
      <c r="E2623" t="s">
        <v>48</v>
      </c>
      <c r="F2623" t="s">
        <v>15</v>
      </c>
      <c r="G2623" t="s">
        <v>23</v>
      </c>
      <c r="H2623">
        <v>32</v>
      </c>
      <c r="I2623" s="2">
        <v>29.87</v>
      </c>
      <c r="J2623" s="2">
        <v>22.57</v>
      </c>
      <c r="K2623" s="2">
        <v>955.84</v>
      </c>
      <c r="L2623" s="2">
        <v>722.24</v>
      </c>
      <c r="M2623" s="2">
        <v>233.6</v>
      </c>
      <c r="N2623">
        <v>19</v>
      </c>
      <c r="P2623" t="str">
        <f>TRIM(Table1[[#This Row],[country]])</f>
        <v>Spain</v>
      </c>
    </row>
    <row r="2624" spans="1:16" x14ac:dyDescent="0.3">
      <c r="A2624" s="1">
        <v>38399</v>
      </c>
      <c r="B2624">
        <v>10380</v>
      </c>
      <c r="C2624">
        <v>141</v>
      </c>
      <c r="D2624" t="s">
        <v>47</v>
      </c>
      <c r="E2624" t="s">
        <v>48</v>
      </c>
      <c r="F2624" t="s">
        <v>15</v>
      </c>
      <c r="G2624" t="s">
        <v>24</v>
      </c>
      <c r="H2624">
        <v>27</v>
      </c>
      <c r="I2624" s="2">
        <v>37.630000000000003</v>
      </c>
      <c r="J2624" s="2">
        <v>20.61</v>
      </c>
      <c r="K2624" s="2">
        <v>1016.01</v>
      </c>
      <c r="L2624" s="2">
        <v>556.47</v>
      </c>
      <c r="M2624" s="2">
        <v>459.54</v>
      </c>
      <c r="N2624">
        <v>19</v>
      </c>
      <c r="P2624" t="str">
        <f>TRIM(Table1[[#This Row],[country]])</f>
        <v>Spain</v>
      </c>
    </row>
    <row r="2625" spans="1:16" x14ac:dyDescent="0.3">
      <c r="A2625" s="1">
        <v>38399</v>
      </c>
      <c r="B2625">
        <v>10380</v>
      </c>
      <c r="C2625">
        <v>141</v>
      </c>
      <c r="D2625" t="s">
        <v>47</v>
      </c>
      <c r="E2625" t="s">
        <v>48</v>
      </c>
      <c r="F2625" t="s">
        <v>29</v>
      </c>
      <c r="G2625" t="s">
        <v>138</v>
      </c>
      <c r="H2625">
        <v>36</v>
      </c>
      <c r="I2625" s="2">
        <v>77.239999999999995</v>
      </c>
      <c r="J2625" s="2">
        <v>47.25</v>
      </c>
      <c r="K2625" s="2">
        <v>2780.64</v>
      </c>
      <c r="L2625" s="2">
        <v>1701</v>
      </c>
      <c r="M2625" s="2">
        <v>1079.6400000000001</v>
      </c>
      <c r="N2625">
        <v>19</v>
      </c>
      <c r="P2625" t="str">
        <f>TRIM(Table1[[#This Row],[country]])</f>
        <v>Spain</v>
      </c>
    </row>
    <row r="2626" spans="1:16" x14ac:dyDescent="0.3">
      <c r="A2626" s="1">
        <v>38399</v>
      </c>
      <c r="B2626">
        <v>10380</v>
      </c>
      <c r="C2626">
        <v>141</v>
      </c>
      <c r="D2626" t="s">
        <v>47</v>
      </c>
      <c r="E2626" t="s">
        <v>48</v>
      </c>
      <c r="F2626" t="s">
        <v>29</v>
      </c>
      <c r="G2626" t="s">
        <v>139</v>
      </c>
      <c r="H2626">
        <v>44</v>
      </c>
      <c r="I2626" s="2">
        <v>111.57</v>
      </c>
      <c r="J2626" s="2">
        <v>72.819999999999993</v>
      </c>
      <c r="K2626" s="2">
        <v>4909.08</v>
      </c>
      <c r="L2626" s="2">
        <v>3204.08</v>
      </c>
      <c r="M2626" s="2">
        <v>1705</v>
      </c>
      <c r="N2626">
        <v>19</v>
      </c>
      <c r="P2626" t="str">
        <f>TRIM(Table1[[#This Row],[country]])</f>
        <v>Spain</v>
      </c>
    </row>
    <row r="2627" spans="1:16" x14ac:dyDescent="0.3">
      <c r="A2627" s="1">
        <v>38399</v>
      </c>
      <c r="B2627">
        <v>10380</v>
      </c>
      <c r="C2627">
        <v>141</v>
      </c>
      <c r="D2627" t="s">
        <v>47</v>
      </c>
      <c r="E2627" t="s">
        <v>48</v>
      </c>
      <c r="F2627" t="s">
        <v>29</v>
      </c>
      <c r="G2627" t="s">
        <v>140</v>
      </c>
      <c r="H2627">
        <v>44</v>
      </c>
      <c r="I2627" s="2">
        <v>77.05</v>
      </c>
      <c r="J2627" s="2">
        <v>50.51</v>
      </c>
      <c r="K2627" s="2">
        <v>3390.2</v>
      </c>
      <c r="L2627" s="2">
        <v>2222.44</v>
      </c>
      <c r="M2627" s="2">
        <v>1167.76</v>
      </c>
      <c r="N2627">
        <v>19</v>
      </c>
      <c r="P2627" t="str">
        <f>TRIM(Table1[[#This Row],[country]])</f>
        <v>Spain</v>
      </c>
    </row>
    <row r="2628" spans="1:16" x14ac:dyDescent="0.3">
      <c r="A2628" s="1">
        <v>38399</v>
      </c>
      <c r="B2628">
        <v>10380</v>
      </c>
      <c r="C2628">
        <v>141</v>
      </c>
      <c r="D2628" t="s">
        <v>47</v>
      </c>
      <c r="E2628" t="s">
        <v>48</v>
      </c>
      <c r="F2628" t="s">
        <v>29</v>
      </c>
      <c r="G2628" t="s">
        <v>141</v>
      </c>
      <c r="H2628">
        <v>34</v>
      </c>
      <c r="I2628" s="2">
        <v>91.02</v>
      </c>
      <c r="J2628" s="2">
        <v>62.11</v>
      </c>
      <c r="K2628" s="2">
        <v>3094.68</v>
      </c>
      <c r="L2628" s="2">
        <v>2111.7399999999998</v>
      </c>
      <c r="M2628" s="2">
        <v>982.94</v>
      </c>
      <c r="N2628">
        <v>19</v>
      </c>
      <c r="P2628" t="str">
        <f>TRIM(Table1[[#This Row],[country]])</f>
        <v>Spain</v>
      </c>
    </row>
    <row r="2629" spans="1:16" x14ac:dyDescent="0.3">
      <c r="A2629" s="1">
        <v>38399</v>
      </c>
      <c r="B2629">
        <v>10380</v>
      </c>
      <c r="C2629">
        <v>141</v>
      </c>
      <c r="D2629" t="s">
        <v>47</v>
      </c>
      <c r="E2629" t="s">
        <v>48</v>
      </c>
      <c r="F2629" t="s">
        <v>15</v>
      </c>
      <c r="G2629" t="s">
        <v>19</v>
      </c>
      <c r="H2629">
        <v>43</v>
      </c>
      <c r="I2629" s="2">
        <v>32.82</v>
      </c>
      <c r="J2629" s="2">
        <v>21.75</v>
      </c>
      <c r="K2629" s="2">
        <v>1411.26</v>
      </c>
      <c r="L2629" s="2">
        <v>935.25</v>
      </c>
      <c r="M2629" s="2">
        <v>476.01</v>
      </c>
      <c r="N2629">
        <v>19</v>
      </c>
      <c r="P2629" t="str">
        <f>TRIM(Table1[[#This Row],[country]])</f>
        <v>Spain</v>
      </c>
    </row>
    <row r="2630" spans="1:16" x14ac:dyDescent="0.3">
      <c r="A2630" s="1">
        <v>38400</v>
      </c>
      <c r="B2630">
        <v>10382</v>
      </c>
      <c r="C2630">
        <v>124</v>
      </c>
      <c r="D2630" t="s">
        <v>206</v>
      </c>
      <c r="E2630" t="s">
        <v>14</v>
      </c>
      <c r="F2630" t="s">
        <v>29</v>
      </c>
      <c r="G2630" t="s">
        <v>66</v>
      </c>
      <c r="H2630">
        <v>34</v>
      </c>
      <c r="I2630" s="2">
        <v>166.24</v>
      </c>
      <c r="J2630" s="2">
        <v>95.59</v>
      </c>
      <c r="K2630" s="2">
        <v>5652.16</v>
      </c>
      <c r="L2630" s="2">
        <v>3250.06</v>
      </c>
      <c r="M2630" s="2">
        <v>2402.1</v>
      </c>
      <c r="N2630">
        <v>13</v>
      </c>
      <c r="P2630" t="str">
        <f>TRIM(Table1[[#This Row],[country]])</f>
        <v>USA</v>
      </c>
    </row>
    <row r="2631" spans="1:16" x14ac:dyDescent="0.3">
      <c r="A2631" s="1">
        <v>38400</v>
      </c>
      <c r="B2631">
        <v>10382</v>
      </c>
      <c r="C2631">
        <v>124</v>
      </c>
      <c r="D2631" t="s">
        <v>206</v>
      </c>
      <c r="E2631" t="s">
        <v>14</v>
      </c>
      <c r="F2631" t="s">
        <v>29</v>
      </c>
      <c r="G2631" t="s">
        <v>49</v>
      </c>
      <c r="H2631">
        <v>37</v>
      </c>
      <c r="I2631" s="2">
        <v>145.04</v>
      </c>
      <c r="J2631" s="2">
        <v>89.14</v>
      </c>
      <c r="K2631" s="2">
        <v>5366.48</v>
      </c>
      <c r="L2631" s="2">
        <v>3298.18</v>
      </c>
      <c r="M2631" s="2">
        <v>2068.3000000000002</v>
      </c>
      <c r="N2631">
        <v>13</v>
      </c>
      <c r="P2631" t="str">
        <f>TRIM(Table1[[#This Row],[country]])</f>
        <v>USA</v>
      </c>
    </row>
    <row r="2632" spans="1:16" x14ac:dyDescent="0.3">
      <c r="A2632" s="1">
        <v>38400</v>
      </c>
      <c r="B2632">
        <v>10382</v>
      </c>
      <c r="C2632">
        <v>124</v>
      </c>
      <c r="D2632" t="s">
        <v>206</v>
      </c>
      <c r="E2632" t="s">
        <v>14</v>
      </c>
      <c r="F2632" t="s">
        <v>29</v>
      </c>
      <c r="G2632" t="s">
        <v>67</v>
      </c>
      <c r="H2632">
        <v>34</v>
      </c>
      <c r="I2632" s="2">
        <v>143.61000000000001</v>
      </c>
      <c r="J2632" s="2">
        <v>83.05</v>
      </c>
      <c r="K2632" s="2">
        <v>4882.74</v>
      </c>
      <c r="L2632" s="2">
        <v>2823.7</v>
      </c>
      <c r="M2632" s="2">
        <v>2059.04</v>
      </c>
      <c r="N2632">
        <v>13</v>
      </c>
      <c r="P2632" t="str">
        <f>TRIM(Table1[[#This Row],[country]])</f>
        <v>USA</v>
      </c>
    </row>
    <row r="2633" spans="1:16" x14ac:dyDescent="0.3">
      <c r="A2633" s="1">
        <v>38400</v>
      </c>
      <c r="B2633">
        <v>10382</v>
      </c>
      <c r="C2633">
        <v>124</v>
      </c>
      <c r="D2633" t="s">
        <v>206</v>
      </c>
      <c r="E2633" t="s">
        <v>14</v>
      </c>
      <c r="F2633" t="s">
        <v>32</v>
      </c>
      <c r="G2633" t="s">
        <v>50</v>
      </c>
      <c r="H2633">
        <v>32</v>
      </c>
      <c r="I2633" s="2">
        <v>103.1</v>
      </c>
      <c r="J2633" s="2">
        <v>55.7</v>
      </c>
      <c r="K2633" s="2">
        <v>3299.2</v>
      </c>
      <c r="L2633" s="2">
        <v>1782.4</v>
      </c>
      <c r="M2633" s="2">
        <v>1516.8</v>
      </c>
      <c r="N2633">
        <v>13</v>
      </c>
      <c r="P2633" t="str">
        <f>TRIM(Table1[[#This Row],[country]])</f>
        <v>USA</v>
      </c>
    </row>
    <row r="2634" spans="1:16" x14ac:dyDescent="0.3">
      <c r="A2634" s="1">
        <v>38400</v>
      </c>
      <c r="B2634">
        <v>10382</v>
      </c>
      <c r="C2634">
        <v>124</v>
      </c>
      <c r="D2634" t="s">
        <v>206</v>
      </c>
      <c r="E2634" t="s">
        <v>14</v>
      </c>
      <c r="F2634" t="s">
        <v>29</v>
      </c>
      <c r="G2634" t="s">
        <v>51</v>
      </c>
      <c r="H2634">
        <v>25</v>
      </c>
      <c r="I2634" s="2">
        <v>160.46</v>
      </c>
      <c r="J2634" s="2">
        <v>101.51</v>
      </c>
      <c r="K2634" s="2">
        <v>4011.5</v>
      </c>
      <c r="L2634" s="2">
        <v>2537.75</v>
      </c>
      <c r="M2634" s="2">
        <v>1473.75</v>
      </c>
      <c r="N2634">
        <v>13</v>
      </c>
      <c r="P2634" t="str">
        <f>TRIM(Table1[[#This Row],[country]])</f>
        <v>USA</v>
      </c>
    </row>
    <row r="2635" spans="1:16" x14ac:dyDescent="0.3">
      <c r="A2635" s="1">
        <v>38400</v>
      </c>
      <c r="B2635">
        <v>10382</v>
      </c>
      <c r="C2635">
        <v>124</v>
      </c>
      <c r="D2635" t="s">
        <v>206</v>
      </c>
      <c r="E2635" t="s">
        <v>14</v>
      </c>
      <c r="F2635" t="s">
        <v>15</v>
      </c>
      <c r="G2635" t="s">
        <v>39</v>
      </c>
      <c r="H2635">
        <v>50</v>
      </c>
      <c r="I2635" s="2">
        <v>84.33</v>
      </c>
      <c r="J2635" s="2">
        <v>57.54</v>
      </c>
      <c r="K2635" s="2">
        <v>4216.5</v>
      </c>
      <c r="L2635" s="2">
        <v>2877</v>
      </c>
      <c r="M2635" s="2">
        <v>1339.5</v>
      </c>
      <c r="N2635">
        <v>13</v>
      </c>
      <c r="P2635" t="str">
        <f>TRIM(Table1[[#This Row],[country]])</f>
        <v>USA</v>
      </c>
    </row>
    <row r="2636" spans="1:16" x14ac:dyDescent="0.3">
      <c r="A2636" s="1">
        <v>38400</v>
      </c>
      <c r="B2636">
        <v>10382</v>
      </c>
      <c r="C2636">
        <v>124</v>
      </c>
      <c r="D2636" t="s">
        <v>206</v>
      </c>
      <c r="E2636" t="s">
        <v>14</v>
      </c>
      <c r="F2636" t="s">
        <v>32</v>
      </c>
      <c r="G2636" t="s">
        <v>40</v>
      </c>
      <c r="H2636">
        <v>39</v>
      </c>
      <c r="I2636" s="2">
        <v>115.03</v>
      </c>
      <c r="J2636" s="2">
        <v>84.76</v>
      </c>
      <c r="K2636" s="2">
        <v>4486.17</v>
      </c>
      <c r="L2636" s="2">
        <v>3305.64</v>
      </c>
      <c r="M2636" s="2">
        <v>1180.53</v>
      </c>
      <c r="N2636">
        <v>13</v>
      </c>
      <c r="P2636" t="str">
        <f>TRIM(Table1[[#This Row],[country]])</f>
        <v>USA</v>
      </c>
    </row>
    <row r="2637" spans="1:16" x14ac:dyDescent="0.3">
      <c r="A2637" s="1">
        <v>38400</v>
      </c>
      <c r="B2637">
        <v>10382</v>
      </c>
      <c r="C2637">
        <v>124</v>
      </c>
      <c r="D2637" t="s">
        <v>206</v>
      </c>
      <c r="E2637" t="s">
        <v>14</v>
      </c>
      <c r="F2637" t="s">
        <v>15</v>
      </c>
      <c r="G2637" t="s">
        <v>41</v>
      </c>
      <c r="H2637">
        <v>39</v>
      </c>
      <c r="I2637" s="2">
        <v>46.29</v>
      </c>
      <c r="J2637" s="2">
        <v>23.14</v>
      </c>
      <c r="K2637" s="2">
        <v>1805.31</v>
      </c>
      <c r="L2637" s="2">
        <v>902.46</v>
      </c>
      <c r="M2637" s="2">
        <v>902.85</v>
      </c>
      <c r="N2637">
        <v>13</v>
      </c>
      <c r="P2637" t="str">
        <f>TRIM(Table1[[#This Row],[country]])</f>
        <v>USA</v>
      </c>
    </row>
    <row r="2638" spans="1:16" x14ac:dyDescent="0.3">
      <c r="A2638" s="1">
        <v>38400</v>
      </c>
      <c r="B2638">
        <v>10382</v>
      </c>
      <c r="C2638">
        <v>124</v>
      </c>
      <c r="D2638" t="s">
        <v>206</v>
      </c>
      <c r="E2638" t="s">
        <v>14</v>
      </c>
      <c r="F2638" t="s">
        <v>32</v>
      </c>
      <c r="G2638" t="s">
        <v>42</v>
      </c>
      <c r="H2638">
        <v>20</v>
      </c>
      <c r="I2638" s="2">
        <v>120.12</v>
      </c>
      <c r="J2638" s="2">
        <v>61.34</v>
      </c>
      <c r="K2638" s="2">
        <v>2402.4</v>
      </c>
      <c r="L2638" s="2">
        <v>1226.8</v>
      </c>
      <c r="M2638" s="2">
        <v>1175.5999999999999</v>
      </c>
      <c r="N2638">
        <v>13</v>
      </c>
      <c r="P2638" t="str">
        <f>TRIM(Table1[[#This Row],[country]])</f>
        <v>USA</v>
      </c>
    </row>
    <row r="2639" spans="1:16" x14ac:dyDescent="0.3">
      <c r="A2639" s="1">
        <v>38400</v>
      </c>
      <c r="B2639">
        <v>10382</v>
      </c>
      <c r="C2639">
        <v>124</v>
      </c>
      <c r="D2639" t="s">
        <v>206</v>
      </c>
      <c r="E2639" t="s">
        <v>14</v>
      </c>
      <c r="F2639" t="s">
        <v>15</v>
      </c>
      <c r="G2639" t="s">
        <v>43</v>
      </c>
      <c r="H2639">
        <v>33</v>
      </c>
      <c r="I2639" s="2">
        <v>97.39</v>
      </c>
      <c r="J2639" s="2">
        <v>57.46</v>
      </c>
      <c r="K2639" s="2">
        <v>3213.87</v>
      </c>
      <c r="L2639" s="2">
        <v>1896.18</v>
      </c>
      <c r="M2639" s="2">
        <v>1317.69</v>
      </c>
      <c r="N2639">
        <v>13</v>
      </c>
      <c r="P2639" t="str">
        <f>TRIM(Table1[[#This Row],[country]])</f>
        <v>USA</v>
      </c>
    </row>
    <row r="2640" spans="1:16" x14ac:dyDescent="0.3">
      <c r="A2640" s="1">
        <v>38400</v>
      </c>
      <c r="B2640">
        <v>10382</v>
      </c>
      <c r="C2640">
        <v>124</v>
      </c>
      <c r="D2640" t="s">
        <v>206</v>
      </c>
      <c r="E2640" t="s">
        <v>14</v>
      </c>
      <c r="F2640" t="s">
        <v>32</v>
      </c>
      <c r="G2640" t="s">
        <v>44</v>
      </c>
      <c r="H2640">
        <v>26</v>
      </c>
      <c r="I2640" s="2">
        <v>85.72</v>
      </c>
      <c r="J2640" s="2">
        <v>53.93</v>
      </c>
      <c r="K2640" s="2">
        <v>2228.7199999999998</v>
      </c>
      <c r="L2640" s="2">
        <v>1402.18</v>
      </c>
      <c r="M2640" s="2">
        <v>826.54</v>
      </c>
      <c r="N2640">
        <v>13</v>
      </c>
      <c r="P2640" t="str">
        <f>TRIM(Table1[[#This Row],[country]])</f>
        <v>USA</v>
      </c>
    </row>
    <row r="2641" spans="1:16" x14ac:dyDescent="0.3">
      <c r="A2641" s="1">
        <v>38400</v>
      </c>
      <c r="B2641">
        <v>10382</v>
      </c>
      <c r="C2641">
        <v>124</v>
      </c>
      <c r="D2641" t="s">
        <v>206</v>
      </c>
      <c r="E2641" t="s">
        <v>14</v>
      </c>
      <c r="F2641" t="s">
        <v>32</v>
      </c>
      <c r="G2641" t="s">
        <v>45</v>
      </c>
      <c r="H2641">
        <v>48</v>
      </c>
      <c r="I2641" s="2">
        <v>57.53</v>
      </c>
      <c r="J2641" s="2">
        <v>33.61</v>
      </c>
      <c r="K2641" s="2">
        <v>2761.44</v>
      </c>
      <c r="L2641" s="2">
        <v>1613.28</v>
      </c>
      <c r="M2641" s="2">
        <v>1148.1600000000001</v>
      </c>
      <c r="N2641">
        <v>13</v>
      </c>
      <c r="P2641" t="str">
        <f>TRIM(Table1[[#This Row],[country]])</f>
        <v>USA</v>
      </c>
    </row>
    <row r="2642" spans="1:16" x14ac:dyDescent="0.3">
      <c r="A2642" s="1">
        <v>38400</v>
      </c>
      <c r="B2642">
        <v>10382</v>
      </c>
      <c r="C2642">
        <v>124</v>
      </c>
      <c r="D2642" t="s">
        <v>206</v>
      </c>
      <c r="E2642" t="s">
        <v>14</v>
      </c>
      <c r="F2642" t="s">
        <v>29</v>
      </c>
      <c r="G2642" t="s">
        <v>46</v>
      </c>
      <c r="H2642">
        <v>34</v>
      </c>
      <c r="I2642" s="2">
        <v>101.15</v>
      </c>
      <c r="J2642" s="2">
        <v>46.53</v>
      </c>
      <c r="K2642" s="2">
        <v>3439.1</v>
      </c>
      <c r="L2642" s="2">
        <v>1582.02</v>
      </c>
      <c r="M2642" s="2">
        <v>1857.08</v>
      </c>
      <c r="N2642">
        <v>13</v>
      </c>
      <c r="P2642" t="str">
        <f>TRIM(Table1[[#This Row],[country]])</f>
        <v>USA</v>
      </c>
    </row>
    <row r="2643" spans="1:16" x14ac:dyDescent="0.3">
      <c r="A2643" s="1">
        <v>38400</v>
      </c>
      <c r="B2643">
        <v>10381</v>
      </c>
      <c r="C2643">
        <v>321</v>
      </c>
      <c r="D2643" t="s">
        <v>225</v>
      </c>
      <c r="E2643" t="s">
        <v>14</v>
      </c>
      <c r="F2643" t="s">
        <v>29</v>
      </c>
      <c r="G2643" t="s">
        <v>30</v>
      </c>
      <c r="H2643">
        <v>36</v>
      </c>
      <c r="I2643" s="2">
        <v>182.16</v>
      </c>
      <c r="J2643" s="2">
        <v>98.58</v>
      </c>
      <c r="K2643" s="2">
        <v>6557.76</v>
      </c>
      <c r="L2643" s="2">
        <v>3548.88</v>
      </c>
      <c r="M2643" s="2">
        <v>3008.88</v>
      </c>
      <c r="N2643">
        <v>3</v>
      </c>
      <c r="P2643" t="str">
        <f>TRIM(Table1[[#This Row],[country]])</f>
        <v>USA</v>
      </c>
    </row>
    <row r="2644" spans="1:16" x14ac:dyDescent="0.3">
      <c r="A2644" s="1">
        <v>38400</v>
      </c>
      <c r="B2644">
        <v>10381</v>
      </c>
      <c r="C2644">
        <v>321</v>
      </c>
      <c r="D2644" t="s">
        <v>225</v>
      </c>
      <c r="E2644" t="s">
        <v>14</v>
      </c>
      <c r="F2644" t="s">
        <v>29</v>
      </c>
      <c r="G2644" t="s">
        <v>31</v>
      </c>
      <c r="H2644">
        <v>37</v>
      </c>
      <c r="I2644" s="2">
        <v>138.88</v>
      </c>
      <c r="J2644" s="2">
        <v>103.42</v>
      </c>
      <c r="K2644" s="2">
        <v>5138.5600000000004</v>
      </c>
      <c r="L2644" s="2">
        <v>3826.54</v>
      </c>
      <c r="M2644" s="2">
        <v>1312.02</v>
      </c>
      <c r="N2644">
        <v>3</v>
      </c>
      <c r="P2644" t="str">
        <f>TRIM(Table1[[#This Row],[country]])</f>
        <v>USA</v>
      </c>
    </row>
    <row r="2645" spans="1:16" x14ac:dyDescent="0.3">
      <c r="A2645" s="1">
        <v>38400</v>
      </c>
      <c r="B2645">
        <v>10381</v>
      </c>
      <c r="C2645">
        <v>321</v>
      </c>
      <c r="D2645" t="s">
        <v>225</v>
      </c>
      <c r="E2645" t="s">
        <v>14</v>
      </c>
      <c r="F2645" t="s">
        <v>32</v>
      </c>
      <c r="G2645" t="s">
        <v>33</v>
      </c>
      <c r="H2645">
        <v>20</v>
      </c>
      <c r="I2645" s="2">
        <v>132.57</v>
      </c>
      <c r="J2645" s="2">
        <v>77.900000000000006</v>
      </c>
      <c r="K2645" s="2">
        <v>2651.4</v>
      </c>
      <c r="L2645" s="2">
        <v>1558</v>
      </c>
      <c r="M2645" s="2">
        <v>1093.4000000000001</v>
      </c>
      <c r="N2645">
        <v>3</v>
      </c>
      <c r="P2645" t="str">
        <f>TRIM(Table1[[#This Row],[country]])</f>
        <v>USA</v>
      </c>
    </row>
    <row r="2646" spans="1:16" x14ac:dyDescent="0.3">
      <c r="A2646" s="1">
        <v>38400</v>
      </c>
      <c r="B2646">
        <v>10381</v>
      </c>
      <c r="C2646">
        <v>321</v>
      </c>
      <c r="D2646" t="s">
        <v>225</v>
      </c>
      <c r="E2646" t="s">
        <v>14</v>
      </c>
      <c r="F2646" t="s">
        <v>32</v>
      </c>
      <c r="G2646" t="s">
        <v>34</v>
      </c>
      <c r="H2646">
        <v>48</v>
      </c>
      <c r="I2646" s="2">
        <v>114.34</v>
      </c>
      <c r="J2646" s="2">
        <v>58.33</v>
      </c>
      <c r="K2646" s="2">
        <v>5488.32</v>
      </c>
      <c r="L2646" s="2">
        <v>2799.84</v>
      </c>
      <c r="M2646" s="2">
        <v>2688.48</v>
      </c>
      <c r="N2646">
        <v>3</v>
      </c>
      <c r="P2646" t="str">
        <f>TRIM(Table1[[#This Row],[country]])</f>
        <v>USA</v>
      </c>
    </row>
    <row r="2647" spans="1:16" x14ac:dyDescent="0.3">
      <c r="A2647" s="1">
        <v>38400</v>
      </c>
      <c r="B2647">
        <v>10381</v>
      </c>
      <c r="C2647">
        <v>321</v>
      </c>
      <c r="D2647" t="s">
        <v>225</v>
      </c>
      <c r="E2647" t="s">
        <v>14</v>
      </c>
      <c r="F2647" t="s">
        <v>15</v>
      </c>
      <c r="G2647" t="s">
        <v>26</v>
      </c>
      <c r="H2647">
        <v>25</v>
      </c>
      <c r="I2647" s="2">
        <v>49.6</v>
      </c>
      <c r="J2647" s="2">
        <v>24.26</v>
      </c>
      <c r="K2647" s="2">
        <v>1240</v>
      </c>
      <c r="L2647" s="2">
        <v>606.5</v>
      </c>
      <c r="M2647" s="2">
        <v>633.5</v>
      </c>
      <c r="N2647">
        <v>3</v>
      </c>
      <c r="P2647" t="str">
        <f>TRIM(Table1[[#This Row],[country]])</f>
        <v>USA</v>
      </c>
    </row>
    <row r="2648" spans="1:16" x14ac:dyDescent="0.3">
      <c r="A2648" s="1">
        <v>38400</v>
      </c>
      <c r="B2648">
        <v>10381</v>
      </c>
      <c r="C2648">
        <v>321</v>
      </c>
      <c r="D2648" t="s">
        <v>225</v>
      </c>
      <c r="E2648" t="s">
        <v>14</v>
      </c>
      <c r="F2648" t="s">
        <v>32</v>
      </c>
      <c r="G2648" t="s">
        <v>35</v>
      </c>
      <c r="H2648">
        <v>35</v>
      </c>
      <c r="I2648" s="2">
        <v>60.77</v>
      </c>
      <c r="J2648" s="2">
        <v>24.92</v>
      </c>
      <c r="K2648" s="2">
        <v>2126.9499999999998</v>
      </c>
      <c r="L2648" s="2">
        <v>872.2</v>
      </c>
      <c r="M2648" s="2">
        <v>1254.75</v>
      </c>
      <c r="N2648">
        <v>3</v>
      </c>
      <c r="P2648" t="str">
        <f>TRIM(Table1[[#This Row],[country]])</f>
        <v>USA</v>
      </c>
    </row>
    <row r="2649" spans="1:16" x14ac:dyDescent="0.3">
      <c r="A2649" s="1">
        <v>38400</v>
      </c>
      <c r="B2649">
        <v>10381</v>
      </c>
      <c r="C2649">
        <v>321</v>
      </c>
      <c r="D2649" t="s">
        <v>225</v>
      </c>
      <c r="E2649" t="s">
        <v>14</v>
      </c>
      <c r="F2649" t="s">
        <v>15</v>
      </c>
      <c r="G2649" t="s">
        <v>36</v>
      </c>
      <c r="H2649">
        <v>41</v>
      </c>
      <c r="I2649" s="2">
        <v>100.3</v>
      </c>
      <c r="J2649" s="2">
        <v>60.78</v>
      </c>
      <c r="K2649" s="2">
        <v>4112.3</v>
      </c>
      <c r="L2649" s="2">
        <v>2491.98</v>
      </c>
      <c r="M2649" s="2">
        <v>1620.32</v>
      </c>
      <c r="N2649">
        <v>3</v>
      </c>
      <c r="P2649" t="str">
        <f>TRIM(Table1[[#This Row],[country]])</f>
        <v>USA</v>
      </c>
    </row>
    <row r="2650" spans="1:16" x14ac:dyDescent="0.3">
      <c r="A2650" s="1">
        <v>38400</v>
      </c>
      <c r="B2650">
        <v>10381</v>
      </c>
      <c r="C2650">
        <v>321</v>
      </c>
      <c r="D2650" t="s">
        <v>225</v>
      </c>
      <c r="E2650" t="s">
        <v>14</v>
      </c>
      <c r="F2650" t="s">
        <v>15</v>
      </c>
      <c r="G2650" t="s">
        <v>37</v>
      </c>
      <c r="H2650">
        <v>40</v>
      </c>
      <c r="I2650" s="2">
        <v>51.22</v>
      </c>
      <c r="J2650" s="2">
        <v>34.35</v>
      </c>
      <c r="K2650" s="2">
        <v>2048.8000000000002</v>
      </c>
      <c r="L2650" s="2">
        <v>1374</v>
      </c>
      <c r="M2650" s="2">
        <v>674.8</v>
      </c>
      <c r="N2650">
        <v>3</v>
      </c>
      <c r="P2650" t="str">
        <f>TRIM(Table1[[#This Row],[country]])</f>
        <v>USA</v>
      </c>
    </row>
    <row r="2651" spans="1:16" x14ac:dyDescent="0.3">
      <c r="A2651" s="1">
        <v>38400</v>
      </c>
      <c r="B2651">
        <v>10381</v>
      </c>
      <c r="C2651">
        <v>321</v>
      </c>
      <c r="D2651" t="s">
        <v>225</v>
      </c>
      <c r="E2651" t="s">
        <v>14</v>
      </c>
      <c r="F2651" t="s">
        <v>15</v>
      </c>
      <c r="G2651" t="s">
        <v>38</v>
      </c>
      <c r="H2651">
        <v>35</v>
      </c>
      <c r="I2651" s="2">
        <v>93.2</v>
      </c>
      <c r="J2651" s="2">
        <v>60.74</v>
      </c>
      <c r="K2651" s="2">
        <v>3262</v>
      </c>
      <c r="L2651" s="2">
        <v>2125.9</v>
      </c>
      <c r="M2651" s="2">
        <v>1136.0999999999999</v>
      </c>
      <c r="N2651">
        <v>3</v>
      </c>
      <c r="P2651" t="str">
        <f>TRIM(Table1[[#This Row],[country]])</f>
        <v>USA</v>
      </c>
    </row>
    <row r="2652" spans="1:16" x14ac:dyDescent="0.3">
      <c r="A2652" s="1">
        <v>38405</v>
      </c>
      <c r="B2652">
        <v>10383</v>
      </c>
      <c r="C2652">
        <v>141</v>
      </c>
      <c r="D2652" t="s">
        <v>47</v>
      </c>
      <c r="E2652" t="s">
        <v>48</v>
      </c>
      <c r="F2652" t="s">
        <v>32</v>
      </c>
      <c r="G2652" t="s">
        <v>52</v>
      </c>
      <c r="H2652">
        <v>27</v>
      </c>
      <c r="I2652" s="2">
        <v>119.05</v>
      </c>
      <c r="J2652" s="2">
        <v>74.86</v>
      </c>
      <c r="K2652" s="2">
        <v>3214.35</v>
      </c>
      <c r="L2652" s="2">
        <v>2021.22</v>
      </c>
      <c r="M2652" s="2">
        <v>1193.1300000000001</v>
      </c>
      <c r="N2652">
        <v>20</v>
      </c>
      <c r="P2652" t="str">
        <f>TRIM(Table1[[#This Row],[country]])</f>
        <v>Spain</v>
      </c>
    </row>
    <row r="2653" spans="1:16" x14ac:dyDescent="0.3">
      <c r="A2653" s="1">
        <v>38405</v>
      </c>
      <c r="B2653">
        <v>10383</v>
      </c>
      <c r="C2653">
        <v>141</v>
      </c>
      <c r="D2653" t="s">
        <v>47</v>
      </c>
      <c r="E2653" t="s">
        <v>48</v>
      </c>
      <c r="F2653" t="s">
        <v>15</v>
      </c>
      <c r="G2653" t="s">
        <v>68</v>
      </c>
      <c r="H2653">
        <v>24</v>
      </c>
      <c r="I2653" s="2">
        <v>125.66</v>
      </c>
      <c r="J2653" s="2">
        <v>68.3</v>
      </c>
      <c r="K2653" s="2">
        <v>3015.84</v>
      </c>
      <c r="L2653" s="2">
        <v>1639.2</v>
      </c>
      <c r="M2653" s="2">
        <v>1376.64</v>
      </c>
      <c r="N2653">
        <v>20</v>
      </c>
      <c r="P2653" t="str">
        <f>TRIM(Table1[[#This Row],[country]])</f>
        <v>Spain</v>
      </c>
    </row>
    <row r="2654" spans="1:16" x14ac:dyDescent="0.3">
      <c r="A2654" s="1">
        <v>38405</v>
      </c>
      <c r="B2654">
        <v>10383</v>
      </c>
      <c r="C2654">
        <v>141</v>
      </c>
      <c r="D2654" t="s">
        <v>47</v>
      </c>
      <c r="E2654" t="s">
        <v>48</v>
      </c>
      <c r="F2654" t="s">
        <v>29</v>
      </c>
      <c r="G2654" t="s">
        <v>53</v>
      </c>
      <c r="H2654">
        <v>47</v>
      </c>
      <c r="I2654" s="2">
        <v>155.79</v>
      </c>
      <c r="J2654" s="2">
        <v>77.900000000000006</v>
      </c>
      <c r="K2654" s="2">
        <v>7322.13</v>
      </c>
      <c r="L2654" s="2">
        <v>3661.3</v>
      </c>
      <c r="M2654" s="2">
        <v>3660.83</v>
      </c>
      <c r="N2654">
        <v>20</v>
      </c>
      <c r="P2654" t="str">
        <f>TRIM(Table1[[#This Row],[country]])</f>
        <v>Spain</v>
      </c>
    </row>
    <row r="2655" spans="1:16" x14ac:dyDescent="0.3">
      <c r="A2655" s="1">
        <v>38405</v>
      </c>
      <c r="B2655">
        <v>10383</v>
      </c>
      <c r="C2655">
        <v>141</v>
      </c>
      <c r="D2655" t="s">
        <v>47</v>
      </c>
      <c r="E2655" t="s">
        <v>48</v>
      </c>
      <c r="F2655" t="s">
        <v>59</v>
      </c>
      <c r="G2655" t="s">
        <v>69</v>
      </c>
      <c r="H2655">
        <v>26</v>
      </c>
      <c r="I2655" s="2">
        <v>83.7</v>
      </c>
      <c r="J2655" s="2">
        <v>67.56</v>
      </c>
      <c r="K2655" s="2">
        <v>2176.1999999999998</v>
      </c>
      <c r="L2655" s="2">
        <v>1756.56</v>
      </c>
      <c r="M2655" s="2">
        <v>419.64</v>
      </c>
      <c r="N2655">
        <v>20</v>
      </c>
      <c r="P2655" t="str">
        <f>TRIM(Table1[[#This Row],[country]])</f>
        <v>Spain</v>
      </c>
    </row>
    <row r="2656" spans="1:16" x14ac:dyDescent="0.3">
      <c r="A2656" s="1">
        <v>38405</v>
      </c>
      <c r="B2656">
        <v>10383</v>
      </c>
      <c r="C2656">
        <v>141</v>
      </c>
      <c r="D2656" t="s">
        <v>47</v>
      </c>
      <c r="E2656" t="s">
        <v>48</v>
      </c>
      <c r="F2656" t="s">
        <v>29</v>
      </c>
      <c r="G2656" t="s">
        <v>54</v>
      </c>
      <c r="H2656">
        <v>38</v>
      </c>
      <c r="I2656" s="2">
        <v>137.88</v>
      </c>
      <c r="J2656" s="2">
        <v>91.92</v>
      </c>
      <c r="K2656" s="2">
        <v>5239.4399999999996</v>
      </c>
      <c r="L2656" s="2">
        <v>3492.96</v>
      </c>
      <c r="M2656" s="2">
        <v>1746.48</v>
      </c>
      <c r="N2656">
        <v>20</v>
      </c>
      <c r="P2656" t="str">
        <f>TRIM(Table1[[#This Row],[country]])</f>
        <v>Spain</v>
      </c>
    </row>
    <row r="2657" spans="1:16" x14ac:dyDescent="0.3">
      <c r="A2657" s="1">
        <v>38405</v>
      </c>
      <c r="B2657">
        <v>10383</v>
      </c>
      <c r="C2657">
        <v>141</v>
      </c>
      <c r="D2657" t="s">
        <v>47</v>
      </c>
      <c r="E2657" t="s">
        <v>48</v>
      </c>
      <c r="F2657" t="s">
        <v>15</v>
      </c>
      <c r="G2657" t="s">
        <v>70</v>
      </c>
      <c r="H2657">
        <v>28</v>
      </c>
      <c r="I2657" s="2">
        <v>77.239999999999995</v>
      </c>
      <c r="J2657" s="2">
        <v>52.66</v>
      </c>
      <c r="K2657" s="2">
        <v>2162.7199999999998</v>
      </c>
      <c r="L2657" s="2">
        <v>1474.48</v>
      </c>
      <c r="M2657" s="2">
        <v>688.24</v>
      </c>
      <c r="N2657">
        <v>20</v>
      </c>
      <c r="P2657" t="str">
        <f>TRIM(Table1[[#This Row],[country]])</f>
        <v>Spain</v>
      </c>
    </row>
    <row r="2658" spans="1:16" x14ac:dyDescent="0.3">
      <c r="A2658" s="1">
        <v>38405</v>
      </c>
      <c r="B2658">
        <v>10383</v>
      </c>
      <c r="C2658">
        <v>141</v>
      </c>
      <c r="D2658" t="s">
        <v>47</v>
      </c>
      <c r="E2658" t="s">
        <v>48</v>
      </c>
      <c r="F2658" t="s">
        <v>29</v>
      </c>
      <c r="G2658" t="s">
        <v>55</v>
      </c>
      <c r="H2658">
        <v>22</v>
      </c>
      <c r="I2658" s="2">
        <v>52.6</v>
      </c>
      <c r="J2658" s="2">
        <v>32.369999999999997</v>
      </c>
      <c r="K2658" s="2">
        <v>1157.2</v>
      </c>
      <c r="L2658" s="2">
        <v>712.14</v>
      </c>
      <c r="M2658" s="2">
        <v>445.06</v>
      </c>
      <c r="N2658">
        <v>20</v>
      </c>
      <c r="P2658" t="str">
        <f>TRIM(Table1[[#This Row],[country]])</f>
        <v>Spain</v>
      </c>
    </row>
    <row r="2659" spans="1:16" x14ac:dyDescent="0.3">
      <c r="A2659" s="1">
        <v>38405</v>
      </c>
      <c r="B2659">
        <v>10383</v>
      </c>
      <c r="C2659">
        <v>141</v>
      </c>
      <c r="D2659" t="s">
        <v>47</v>
      </c>
      <c r="E2659" t="s">
        <v>48</v>
      </c>
      <c r="F2659" t="s">
        <v>29</v>
      </c>
      <c r="G2659" t="s">
        <v>56</v>
      </c>
      <c r="H2659">
        <v>40</v>
      </c>
      <c r="I2659" s="2">
        <v>33.24</v>
      </c>
      <c r="J2659" s="2">
        <v>15.91</v>
      </c>
      <c r="K2659" s="2">
        <v>1329.6</v>
      </c>
      <c r="L2659" s="2">
        <v>636.4</v>
      </c>
      <c r="M2659" s="2">
        <v>693.2</v>
      </c>
      <c r="N2659">
        <v>20</v>
      </c>
      <c r="P2659" t="str">
        <f>TRIM(Table1[[#This Row],[country]])</f>
        <v>Spain</v>
      </c>
    </row>
    <row r="2660" spans="1:16" x14ac:dyDescent="0.3">
      <c r="A2660" s="1">
        <v>38405</v>
      </c>
      <c r="B2660">
        <v>10383</v>
      </c>
      <c r="C2660">
        <v>141</v>
      </c>
      <c r="D2660" t="s">
        <v>47</v>
      </c>
      <c r="E2660" t="s">
        <v>48</v>
      </c>
      <c r="F2660" t="s">
        <v>29</v>
      </c>
      <c r="G2660" t="s">
        <v>57</v>
      </c>
      <c r="H2660">
        <v>21</v>
      </c>
      <c r="I2660" s="2">
        <v>117.1</v>
      </c>
      <c r="J2660" s="2">
        <v>69.78</v>
      </c>
      <c r="K2660" s="2">
        <v>2459.1</v>
      </c>
      <c r="L2660" s="2">
        <v>1465.38</v>
      </c>
      <c r="M2660" s="2">
        <v>993.72</v>
      </c>
      <c r="N2660">
        <v>20</v>
      </c>
      <c r="P2660" t="str">
        <f>TRIM(Table1[[#This Row],[country]])</f>
        <v>Spain</v>
      </c>
    </row>
    <row r="2661" spans="1:16" x14ac:dyDescent="0.3">
      <c r="A2661" s="1">
        <v>38405</v>
      </c>
      <c r="B2661">
        <v>10383</v>
      </c>
      <c r="C2661">
        <v>141</v>
      </c>
      <c r="D2661" t="s">
        <v>47</v>
      </c>
      <c r="E2661" t="s">
        <v>48</v>
      </c>
      <c r="F2661" t="s">
        <v>32</v>
      </c>
      <c r="G2661" t="s">
        <v>58</v>
      </c>
      <c r="H2661">
        <v>32</v>
      </c>
      <c r="I2661" s="2">
        <v>53.57</v>
      </c>
      <c r="J2661" s="2">
        <v>25.98</v>
      </c>
      <c r="K2661" s="2">
        <v>1714.24</v>
      </c>
      <c r="L2661" s="2">
        <v>831.36</v>
      </c>
      <c r="M2661" s="2">
        <v>882.88</v>
      </c>
      <c r="N2661">
        <v>20</v>
      </c>
      <c r="P2661" t="str">
        <f>TRIM(Table1[[#This Row],[country]])</f>
        <v>Spain</v>
      </c>
    </row>
    <row r="2662" spans="1:16" x14ac:dyDescent="0.3">
      <c r="A2662" s="1">
        <v>38405</v>
      </c>
      <c r="B2662">
        <v>10383</v>
      </c>
      <c r="C2662">
        <v>141</v>
      </c>
      <c r="D2662" t="s">
        <v>47</v>
      </c>
      <c r="E2662" t="s">
        <v>48</v>
      </c>
      <c r="F2662" t="s">
        <v>59</v>
      </c>
      <c r="G2662" t="s">
        <v>60</v>
      </c>
      <c r="H2662">
        <v>44</v>
      </c>
      <c r="I2662" s="2">
        <v>55.93</v>
      </c>
      <c r="J2662" s="2">
        <v>26.72</v>
      </c>
      <c r="K2662" s="2">
        <v>2460.92</v>
      </c>
      <c r="L2662" s="2">
        <v>1175.68</v>
      </c>
      <c r="M2662" s="2">
        <v>1285.24</v>
      </c>
      <c r="N2662">
        <v>20</v>
      </c>
      <c r="P2662" t="str">
        <f>TRIM(Table1[[#This Row],[country]])</f>
        <v>Spain</v>
      </c>
    </row>
    <row r="2663" spans="1:16" x14ac:dyDescent="0.3">
      <c r="A2663" s="1">
        <v>38405</v>
      </c>
      <c r="B2663">
        <v>10383</v>
      </c>
      <c r="C2663">
        <v>141</v>
      </c>
      <c r="D2663" t="s">
        <v>47</v>
      </c>
      <c r="E2663" t="s">
        <v>48</v>
      </c>
      <c r="F2663" t="s">
        <v>32</v>
      </c>
      <c r="G2663" t="s">
        <v>61</v>
      </c>
      <c r="H2663">
        <v>29</v>
      </c>
      <c r="I2663" s="2">
        <v>94.92</v>
      </c>
      <c r="J2663" s="2">
        <v>68.290000000000006</v>
      </c>
      <c r="K2663" s="2">
        <v>2752.68</v>
      </c>
      <c r="L2663" s="2">
        <v>1980.41</v>
      </c>
      <c r="M2663" s="2">
        <v>772.27</v>
      </c>
      <c r="N2663">
        <v>20</v>
      </c>
      <c r="P2663" t="str">
        <f>TRIM(Table1[[#This Row],[country]])</f>
        <v>Spain</v>
      </c>
    </row>
    <row r="2664" spans="1:16" x14ac:dyDescent="0.3">
      <c r="A2664" s="1">
        <v>38405</v>
      </c>
      <c r="B2664">
        <v>10383</v>
      </c>
      <c r="C2664">
        <v>141</v>
      </c>
      <c r="D2664" t="s">
        <v>47</v>
      </c>
      <c r="E2664" t="s">
        <v>48</v>
      </c>
      <c r="F2664" t="s">
        <v>59</v>
      </c>
      <c r="G2664" t="s">
        <v>62</v>
      </c>
      <c r="H2664">
        <v>38</v>
      </c>
      <c r="I2664" s="2">
        <v>48.62</v>
      </c>
      <c r="J2664" s="2">
        <v>37.49</v>
      </c>
      <c r="K2664" s="2">
        <v>1847.56</v>
      </c>
      <c r="L2664" s="2">
        <v>1424.62</v>
      </c>
      <c r="M2664" s="2">
        <v>422.94</v>
      </c>
      <c r="N2664">
        <v>20</v>
      </c>
      <c r="P2664" t="str">
        <f>TRIM(Table1[[#This Row],[country]])</f>
        <v>Spain</v>
      </c>
    </row>
    <row r="2665" spans="1:16" x14ac:dyDescent="0.3">
      <c r="A2665" s="1">
        <v>38406</v>
      </c>
      <c r="B2665">
        <v>10384</v>
      </c>
      <c r="C2665">
        <v>321</v>
      </c>
      <c r="D2665" t="s">
        <v>225</v>
      </c>
      <c r="E2665" t="s">
        <v>14</v>
      </c>
      <c r="F2665" t="s">
        <v>29</v>
      </c>
      <c r="G2665" t="s">
        <v>65</v>
      </c>
      <c r="H2665">
        <v>34</v>
      </c>
      <c r="I2665" s="2">
        <v>129.19999999999999</v>
      </c>
      <c r="J2665" s="2">
        <v>85.68</v>
      </c>
      <c r="K2665" s="2">
        <v>4392.8</v>
      </c>
      <c r="L2665" s="2">
        <v>2913.12</v>
      </c>
      <c r="M2665" s="2">
        <v>1479.68</v>
      </c>
      <c r="N2665">
        <v>4</v>
      </c>
      <c r="P2665" t="str">
        <f>TRIM(Table1[[#This Row],[country]])</f>
        <v>USA</v>
      </c>
    </row>
    <row r="2666" spans="1:16" x14ac:dyDescent="0.3">
      <c r="A2666" s="1">
        <v>38406</v>
      </c>
      <c r="B2666">
        <v>10384</v>
      </c>
      <c r="C2666">
        <v>321</v>
      </c>
      <c r="D2666" t="s">
        <v>225</v>
      </c>
      <c r="E2666" t="s">
        <v>14</v>
      </c>
      <c r="F2666" t="s">
        <v>71</v>
      </c>
      <c r="G2666" t="s">
        <v>72</v>
      </c>
      <c r="H2666">
        <v>28</v>
      </c>
      <c r="I2666" s="2">
        <v>114.29</v>
      </c>
      <c r="J2666" s="2">
        <v>82.34</v>
      </c>
      <c r="K2666" s="2">
        <v>3200.12</v>
      </c>
      <c r="L2666" s="2">
        <v>2305.52</v>
      </c>
      <c r="M2666" s="2">
        <v>894.6</v>
      </c>
      <c r="N2666">
        <v>4</v>
      </c>
      <c r="P2666" t="str">
        <f>TRIM(Table1[[#This Row],[country]])</f>
        <v>USA</v>
      </c>
    </row>
    <row r="2667" spans="1:16" x14ac:dyDescent="0.3">
      <c r="A2667" s="1">
        <v>38406</v>
      </c>
      <c r="B2667">
        <v>10384</v>
      </c>
      <c r="C2667">
        <v>321</v>
      </c>
      <c r="D2667" t="s">
        <v>225</v>
      </c>
      <c r="E2667" t="s">
        <v>14</v>
      </c>
      <c r="F2667" t="s">
        <v>15</v>
      </c>
      <c r="G2667" t="s">
        <v>73</v>
      </c>
      <c r="H2667">
        <v>43</v>
      </c>
      <c r="I2667" s="2">
        <v>71.69</v>
      </c>
      <c r="J2667" s="2">
        <v>46.91</v>
      </c>
      <c r="K2667" s="2">
        <v>3082.67</v>
      </c>
      <c r="L2667" s="2">
        <v>2017.13</v>
      </c>
      <c r="M2667" s="2">
        <v>1065.54</v>
      </c>
      <c r="N2667">
        <v>4</v>
      </c>
      <c r="P2667" t="str">
        <f>TRIM(Table1[[#This Row],[country]])</f>
        <v>USA</v>
      </c>
    </row>
    <row r="2668" spans="1:16" x14ac:dyDescent="0.3">
      <c r="A2668" s="1">
        <v>38406</v>
      </c>
      <c r="B2668">
        <v>10384</v>
      </c>
      <c r="C2668">
        <v>321</v>
      </c>
      <c r="D2668" t="s">
        <v>225</v>
      </c>
      <c r="E2668" t="s">
        <v>14</v>
      </c>
      <c r="F2668" t="s">
        <v>71</v>
      </c>
      <c r="G2668" t="s">
        <v>76</v>
      </c>
      <c r="H2668">
        <v>49</v>
      </c>
      <c r="I2668" s="2">
        <v>71.02</v>
      </c>
      <c r="J2668" s="2">
        <v>43.3</v>
      </c>
      <c r="K2668" s="2">
        <v>3479.98</v>
      </c>
      <c r="L2668" s="2">
        <v>2121.6999999999998</v>
      </c>
      <c r="M2668" s="2">
        <v>1358.28</v>
      </c>
      <c r="N2668">
        <v>4</v>
      </c>
      <c r="P2668" t="str">
        <f>TRIM(Table1[[#This Row],[country]])</f>
        <v>USA</v>
      </c>
    </row>
    <row r="2669" spans="1:16" x14ac:dyDescent="0.3">
      <c r="A2669" s="1">
        <v>38411</v>
      </c>
      <c r="B2669">
        <v>10385</v>
      </c>
      <c r="C2669">
        <v>124</v>
      </c>
      <c r="D2669" t="s">
        <v>206</v>
      </c>
      <c r="E2669" t="s">
        <v>14</v>
      </c>
      <c r="F2669" t="s">
        <v>15</v>
      </c>
      <c r="G2669" t="s">
        <v>74</v>
      </c>
      <c r="H2669">
        <v>37</v>
      </c>
      <c r="I2669" s="2">
        <v>78.83</v>
      </c>
      <c r="J2669" s="2">
        <v>48.64</v>
      </c>
      <c r="K2669" s="2">
        <v>2916.71</v>
      </c>
      <c r="L2669" s="2">
        <v>1799.68</v>
      </c>
      <c r="M2669" s="2">
        <v>1117.03</v>
      </c>
      <c r="N2669">
        <v>14</v>
      </c>
      <c r="P2669" t="str">
        <f>TRIM(Table1[[#This Row],[country]])</f>
        <v>USA</v>
      </c>
    </row>
    <row r="2670" spans="1:16" x14ac:dyDescent="0.3">
      <c r="A2670" s="1">
        <v>38411</v>
      </c>
      <c r="B2670">
        <v>10385</v>
      </c>
      <c r="C2670">
        <v>124</v>
      </c>
      <c r="D2670" t="s">
        <v>206</v>
      </c>
      <c r="E2670" t="s">
        <v>14</v>
      </c>
      <c r="F2670" t="s">
        <v>71</v>
      </c>
      <c r="G2670" t="s">
        <v>75</v>
      </c>
      <c r="H2670">
        <v>25</v>
      </c>
      <c r="I2670" s="2">
        <v>62</v>
      </c>
      <c r="J2670" s="2">
        <v>34</v>
      </c>
      <c r="K2670" s="2">
        <v>1550</v>
      </c>
      <c r="L2670" s="2">
        <v>850</v>
      </c>
      <c r="M2670" s="2">
        <v>700</v>
      </c>
      <c r="N2670">
        <v>14</v>
      </c>
      <c r="P2670" t="str">
        <f>TRIM(Table1[[#This Row],[country]])</f>
        <v>USA</v>
      </c>
    </row>
    <row r="2671" spans="1:16" x14ac:dyDescent="0.3">
      <c r="A2671" s="1">
        <v>38412</v>
      </c>
      <c r="B2671">
        <v>10386</v>
      </c>
      <c r="C2671">
        <v>141</v>
      </c>
      <c r="D2671" t="s">
        <v>47</v>
      </c>
      <c r="E2671" t="s">
        <v>48</v>
      </c>
      <c r="F2671" t="s">
        <v>83</v>
      </c>
      <c r="G2671" t="s">
        <v>84</v>
      </c>
      <c r="H2671">
        <v>25</v>
      </c>
      <c r="I2671" s="2">
        <v>130.88</v>
      </c>
      <c r="J2671" s="2">
        <v>77.27</v>
      </c>
      <c r="K2671" s="2">
        <v>3272</v>
      </c>
      <c r="L2671" s="2">
        <v>1931.75</v>
      </c>
      <c r="M2671" s="2">
        <v>1340.25</v>
      </c>
      <c r="N2671">
        <v>21</v>
      </c>
      <c r="P2671" t="str">
        <f>TRIM(Table1[[#This Row],[country]])</f>
        <v>Spain</v>
      </c>
    </row>
    <row r="2672" spans="1:16" x14ac:dyDescent="0.3">
      <c r="A2672" s="1">
        <v>38412</v>
      </c>
      <c r="B2672">
        <v>10386</v>
      </c>
      <c r="C2672">
        <v>141</v>
      </c>
      <c r="D2672" t="s">
        <v>47</v>
      </c>
      <c r="E2672" t="s">
        <v>48</v>
      </c>
      <c r="F2672" t="s">
        <v>83</v>
      </c>
      <c r="G2672" t="s">
        <v>85</v>
      </c>
      <c r="H2672">
        <v>21</v>
      </c>
      <c r="I2672" s="2">
        <v>72.650000000000006</v>
      </c>
      <c r="J2672" s="2">
        <v>49</v>
      </c>
      <c r="K2672" s="2">
        <v>1525.65</v>
      </c>
      <c r="L2672" s="2">
        <v>1029</v>
      </c>
      <c r="M2672" s="2">
        <v>496.65</v>
      </c>
      <c r="N2672">
        <v>21</v>
      </c>
      <c r="P2672" t="str">
        <f>TRIM(Table1[[#This Row],[country]])</f>
        <v>Spain</v>
      </c>
    </row>
    <row r="2673" spans="1:16" x14ac:dyDescent="0.3">
      <c r="A2673" s="1">
        <v>38412</v>
      </c>
      <c r="B2673">
        <v>10386</v>
      </c>
      <c r="C2673">
        <v>141</v>
      </c>
      <c r="D2673" t="s">
        <v>47</v>
      </c>
      <c r="E2673" t="s">
        <v>48</v>
      </c>
      <c r="F2673" t="s">
        <v>71</v>
      </c>
      <c r="G2673" t="s">
        <v>86</v>
      </c>
      <c r="H2673">
        <v>37</v>
      </c>
      <c r="I2673" s="2">
        <v>73.12</v>
      </c>
      <c r="J2673" s="2">
        <v>51.61</v>
      </c>
      <c r="K2673" s="2">
        <v>2705.44</v>
      </c>
      <c r="L2673" s="2">
        <v>1909.57</v>
      </c>
      <c r="M2673" s="2">
        <v>795.87</v>
      </c>
      <c r="N2673">
        <v>21</v>
      </c>
      <c r="P2673" t="str">
        <f>TRIM(Table1[[#This Row],[country]])</f>
        <v>Spain</v>
      </c>
    </row>
    <row r="2674" spans="1:16" x14ac:dyDescent="0.3">
      <c r="A2674" s="1">
        <v>38412</v>
      </c>
      <c r="B2674">
        <v>10386</v>
      </c>
      <c r="C2674">
        <v>141</v>
      </c>
      <c r="D2674" t="s">
        <v>47</v>
      </c>
      <c r="E2674" t="s">
        <v>48</v>
      </c>
      <c r="F2674" t="s">
        <v>15</v>
      </c>
      <c r="G2674" t="s">
        <v>87</v>
      </c>
      <c r="H2674">
        <v>22</v>
      </c>
      <c r="I2674" s="2">
        <v>100.58</v>
      </c>
      <c r="J2674" s="2">
        <v>64.58</v>
      </c>
      <c r="K2674" s="2">
        <v>2212.7600000000002</v>
      </c>
      <c r="L2674" s="2">
        <v>1420.76</v>
      </c>
      <c r="M2674" s="2">
        <v>792</v>
      </c>
      <c r="N2674">
        <v>21</v>
      </c>
      <c r="P2674" t="str">
        <f>TRIM(Table1[[#This Row],[country]])</f>
        <v>Spain</v>
      </c>
    </row>
    <row r="2675" spans="1:16" x14ac:dyDescent="0.3">
      <c r="A2675" s="1">
        <v>38412</v>
      </c>
      <c r="B2675">
        <v>10386</v>
      </c>
      <c r="C2675">
        <v>141</v>
      </c>
      <c r="D2675" t="s">
        <v>47</v>
      </c>
      <c r="E2675" t="s">
        <v>48</v>
      </c>
      <c r="F2675" t="s">
        <v>83</v>
      </c>
      <c r="G2675" t="s">
        <v>88</v>
      </c>
      <c r="H2675">
        <v>33</v>
      </c>
      <c r="I2675" s="2">
        <v>101.76</v>
      </c>
      <c r="J2675" s="2">
        <v>66.739999999999995</v>
      </c>
      <c r="K2675" s="2">
        <v>3358.08</v>
      </c>
      <c r="L2675" s="2">
        <v>2202.42</v>
      </c>
      <c r="M2675" s="2">
        <v>1155.6600000000001</v>
      </c>
      <c r="N2675">
        <v>21</v>
      </c>
      <c r="P2675" t="str">
        <f>TRIM(Table1[[#This Row],[country]])</f>
        <v>Spain</v>
      </c>
    </row>
    <row r="2676" spans="1:16" x14ac:dyDescent="0.3">
      <c r="A2676" s="1">
        <v>38412</v>
      </c>
      <c r="B2676">
        <v>10386</v>
      </c>
      <c r="C2676">
        <v>141</v>
      </c>
      <c r="D2676" t="s">
        <v>47</v>
      </c>
      <c r="E2676" t="s">
        <v>48</v>
      </c>
      <c r="F2676" t="s">
        <v>83</v>
      </c>
      <c r="G2676" t="s">
        <v>89</v>
      </c>
      <c r="H2676">
        <v>39</v>
      </c>
      <c r="I2676" s="2">
        <v>56.86</v>
      </c>
      <c r="J2676" s="2">
        <v>34.25</v>
      </c>
      <c r="K2676" s="2">
        <v>2217.54</v>
      </c>
      <c r="L2676" s="2">
        <v>1335.75</v>
      </c>
      <c r="M2676" s="2">
        <v>881.79</v>
      </c>
      <c r="N2676">
        <v>21</v>
      </c>
      <c r="P2676" t="str">
        <f>TRIM(Table1[[#This Row],[country]])</f>
        <v>Spain</v>
      </c>
    </row>
    <row r="2677" spans="1:16" x14ac:dyDescent="0.3">
      <c r="A2677" s="1">
        <v>38412</v>
      </c>
      <c r="B2677">
        <v>10386</v>
      </c>
      <c r="C2677">
        <v>141</v>
      </c>
      <c r="D2677" t="s">
        <v>47</v>
      </c>
      <c r="E2677" t="s">
        <v>48</v>
      </c>
      <c r="F2677" t="s">
        <v>15</v>
      </c>
      <c r="G2677" t="s">
        <v>90</v>
      </c>
      <c r="H2677">
        <v>35</v>
      </c>
      <c r="I2677" s="2">
        <v>54.57</v>
      </c>
      <c r="J2677" s="2">
        <v>26.3</v>
      </c>
      <c r="K2677" s="2">
        <v>1909.95</v>
      </c>
      <c r="L2677" s="2">
        <v>920.5</v>
      </c>
      <c r="M2677" s="2">
        <v>989.45</v>
      </c>
      <c r="N2677">
        <v>21</v>
      </c>
      <c r="P2677" t="str">
        <f>TRIM(Table1[[#This Row],[country]])</f>
        <v>Spain</v>
      </c>
    </row>
    <row r="2678" spans="1:16" x14ac:dyDescent="0.3">
      <c r="A2678" s="1">
        <v>38412</v>
      </c>
      <c r="B2678">
        <v>10386</v>
      </c>
      <c r="C2678">
        <v>141</v>
      </c>
      <c r="D2678" t="s">
        <v>47</v>
      </c>
      <c r="E2678" t="s">
        <v>48</v>
      </c>
      <c r="F2678" t="s">
        <v>83</v>
      </c>
      <c r="G2678" t="s">
        <v>91</v>
      </c>
      <c r="H2678">
        <v>41</v>
      </c>
      <c r="I2678" s="2">
        <v>55.96</v>
      </c>
      <c r="J2678" s="2">
        <v>29.34</v>
      </c>
      <c r="K2678" s="2">
        <v>2294.36</v>
      </c>
      <c r="L2678" s="2">
        <v>1202.94</v>
      </c>
      <c r="M2678" s="2">
        <v>1091.42</v>
      </c>
      <c r="N2678">
        <v>21</v>
      </c>
      <c r="P2678" t="str">
        <f>TRIM(Table1[[#This Row],[country]])</f>
        <v>Spain</v>
      </c>
    </row>
    <row r="2679" spans="1:16" x14ac:dyDescent="0.3">
      <c r="A2679" s="1">
        <v>38412</v>
      </c>
      <c r="B2679">
        <v>10386</v>
      </c>
      <c r="C2679">
        <v>141</v>
      </c>
      <c r="D2679" t="s">
        <v>47</v>
      </c>
      <c r="E2679" t="s">
        <v>48</v>
      </c>
      <c r="F2679" t="s">
        <v>83</v>
      </c>
      <c r="G2679" t="s">
        <v>92</v>
      </c>
      <c r="H2679">
        <v>50</v>
      </c>
      <c r="I2679" s="2">
        <v>71.73</v>
      </c>
      <c r="J2679" s="2">
        <v>36.229999999999997</v>
      </c>
      <c r="K2679" s="2">
        <v>3586.5</v>
      </c>
      <c r="L2679" s="2">
        <v>1811.5</v>
      </c>
      <c r="M2679" s="2">
        <v>1775</v>
      </c>
      <c r="N2679">
        <v>21</v>
      </c>
      <c r="P2679" t="str">
        <f>TRIM(Table1[[#This Row],[country]])</f>
        <v>Spain</v>
      </c>
    </row>
    <row r="2680" spans="1:16" x14ac:dyDescent="0.3">
      <c r="A2680" s="1">
        <v>38412</v>
      </c>
      <c r="B2680">
        <v>10386</v>
      </c>
      <c r="C2680">
        <v>141</v>
      </c>
      <c r="D2680" t="s">
        <v>47</v>
      </c>
      <c r="E2680" t="s">
        <v>48</v>
      </c>
      <c r="F2680" t="s">
        <v>71</v>
      </c>
      <c r="G2680" t="s">
        <v>96</v>
      </c>
      <c r="H2680">
        <v>29</v>
      </c>
      <c r="I2680" s="2">
        <v>85.09</v>
      </c>
      <c r="J2680" s="2">
        <v>39.83</v>
      </c>
      <c r="K2680" s="2">
        <v>2467.61</v>
      </c>
      <c r="L2680" s="2">
        <v>1155.07</v>
      </c>
      <c r="M2680" s="2">
        <v>1312.54</v>
      </c>
      <c r="N2680">
        <v>21</v>
      </c>
      <c r="P2680" t="str">
        <f>TRIM(Table1[[#This Row],[country]])</f>
        <v>Spain</v>
      </c>
    </row>
    <row r="2681" spans="1:16" x14ac:dyDescent="0.3">
      <c r="A2681" s="1">
        <v>38412</v>
      </c>
      <c r="B2681">
        <v>10386</v>
      </c>
      <c r="C2681">
        <v>141</v>
      </c>
      <c r="D2681" t="s">
        <v>47</v>
      </c>
      <c r="E2681" t="s">
        <v>48</v>
      </c>
      <c r="F2681" t="s">
        <v>83</v>
      </c>
      <c r="G2681" t="s">
        <v>97</v>
      </c>
      <c r="H2681">
        <v>37</v>
      </c>
      <c r="I2681" s="2">
        <v>90.75</v>
      </c>
      <c r="J2681" s="2">
        <v>68.8</v>
      </c>
      <c r="K2681" s="2">
        <v>3357.75</v>
      </c>
      <c r="L2681" s="2">
        <v>2545.6</v>
      </c>
      <c r="M2681" s="2">
        <v>812.15</v>
      </c>
      <c r="N2681">
        <v>21</v>
      </c>
      <c r="P2681" t="str">
        <f>TRIM(Table1[[#This Row],[country]])</f>
        <v>Spain</v>
      </c>
    </row>
    <row r="2682" spans="1:16" x14ac:dyDescent="0.3">
      <c r="A2682" s="1">
        <v>38412</v>
      </c>
      <c r="B2682">
        <v>10386</v>
      </c>
      <c r="C2682">
        <v>141</v>
      </c>
      <c r="D2682" t="s">
        <v>47</v>
      </c>
      <c r="E2682" t="s">
        <v>48</v>
      </c>
      <c r="F2682" t="s">
        <v>71</v>
      </c>
      <c r="G2682" t="s">
        <v>77</v>
      </c>
      <c r="H2682">
        <v>37</v>
      </c>
      <c r="I2682" s="2">
        <v>67.22</v>
      </c>
      <c r="J2682" s="2">
        <v>33.97</v>
      </c>
      <c r="K2682" s="2">
        <v>2487.14</v>
      </c>
      <c r="L2682" s="2">
        <v>1256.8900000000001</v>
      </c>
      <c r="M2682" s="2">
        <v>1230.25</v>
      </c>
      <c r="N2682">
        <v>21</v>
      </c>
      <c r="P2682" t="str">
        <f>TRIM(Table1[[#This Row],[country]])</f>
        <v>Spain</v>
      </c>
    </row>
    <row r="2683" spans="1:16" x14ac:dyDescent="0.3">
      <c r="A2683" s="1">
        <v>38412</v>
      </c>
      <c r="B2683">
        <v>10386</v>
      </c>
      <c r="C2683">
        <v>141</v>
      </c>
      <c r="D2683" t="s">
        <v>47</v>
      </c>
      <c r="E2683" t="s">
        <v>48</v>
      </c>
      <c r="F2683" t="s">
        <v>83</v>
      </c>
      <c r="G2683" t="s">
        <v>99</v>
      </c>
      <c r="H2683">
        <v>32</v>
      </c>
      <c r="I2683" s="2">
        <v>68</v>
      </c>
      <c r="J2683" s="2">
        <v>54.4</v>
      </c>
      <c r="K2683" s="2">
        <v>2176</v>
      </c>
      <c r="L2683" s="2">
        <v>1740.8</v>
      </c>
      <c r="M2683" s="2">
        <v>435.2</v>
      </c>
      <c r="N2683">
        <v>21</v>
      </c>
      <c r="P2683" t="str">
        <f>TRIM(Table1[[#This Row],[country]])</f>
        <v>Spain</v>
      </c>
    </row>
    <row r="2684" spans="1:16" x14ac:dyDescent="0.3">
      <c r="A2684" s="1">
        <v>38412</v>
      </c>
      <c r="B2684">
        <v>10386</v>
      </c>
      <c r="C2684">
        <v>141</v>
      </c>
      <c r="D2684" t="s">
        <v>47</v>
      </c>
      <c r="E2684" t="s">
        <v>48</v>
      </c>
      <c r="F2684" t="s">
        <v>71</v>
      </c>
      <c r="G2684" t="s">
        <v>78</v>
      </c>
      <c r="H2684">
        <v>45</v>
      </c>
      <c r="I2684" s="2">
        <v>83.14</v>
      </c>
      <c r="J2684" s="2">
        <v>51.09</v>
      </c>
      <c r="K2684" s="2">
        <v>3741.3</v>
      </c>
      <c r="L2684" s="2">
        <v>2299.0500000000002</v>
      </c>
      <c r="M2684" s="2">
        <v>1442.25</v>
      </c>
      <c r="N2684">
        <v>21</v>
      </c>
      <c r="P2684" t="str">
        <f>TRIM(Table1[[#This Row],[country]])</f>
        <v>Spain</v>
      </c>
    </row>
    <row r="2685" spans="1:16" x14ac:dyDescent="0.3">
      <c r="A2685" s="1">
        <v>38412</v>
      </c>
      <c r="B2685">
        <v>10386</v>
      </c>
      <c r="C2685">
        <v>141</v>
      </c>
      <c r="D2685" t="s">
        <v>47</v>
      </c>
      <c r="E2685" t="s">
        <v>48</v>
      </c>
      <c r="F2685" t="s">
        <v>71</v>
      </c>
      <c r="G2685" t="s">
        <v>79</v>
      </c>
      <c r="H2685">
        <v>30</v>
      </c>
      <c r="I2685" s="2">
        <v>80.44</v>
      </c>
      <c r="J2685" s="2">
        <v>53.63</v>
      </c>
      <c r="K2685" s="2">
        <v>2413.1999999999998</v>
      </c>
      <c r="L2685" s="2">
        <v>1608.9</v>
      </c>
      <c r="M2685" s="2">
        <v>804.3</v>
      </c>
      <c r="N2685">
        <v>21</v>
      </c>
      <c r="P2685" t="str">
        <f>TRIM(Table1[[#This Row],[country]])</f>
        <v>Spain</v>
      </c>
    </row>
    <row r="2686" spans="1:16" x14ac:dyDescent="0.3">
      <c r="A2686" s="1">
        <v>38412</v>
      </c>
      <c r="B2686">
        <v>10386</v>
      </c>
      <c r="C2686">
        <v>141</v>
      </c>
      <c r="D2686" t="s">
        <v>47</v>
      </c>
      <c r="E2686" t="s">
        <v>48</v>
      </c>
      <c r="F2686" t="s">
        <v>83</v>
      </c>
      <c r="G2686" t="s">
        <v>100</v>
      </c>
      <c r="H2686">
        <v>44</v>
      </c>
      <c r="I2686" s="2">
        <v>59.22</v>
      </c>
      <c r="J2686" s="2">
        <v>36.270000000000003</v>
      </c>
      <c r="K2686" s="2">
        <v>2605.6799999999998</v>
      </c>
      <c r="L2686" s="2">
        <v>1595.88</v>
      </c>
      <c r="M2686" s="2">
        <v>1009.8</v>
      </c>
      <c r="N2686">
        <v>21</v>
      </c>
      <c r="P2686" t="str">
        <f>TRIM(Table1[[#This Row],[country]])</f>
        <v>Spain</v>
      </c>
    </row>
    <row r="2687" spans="1:16" x14ac:dyDescent="0.3">
      <c r="A2687" s="1">
        <v>38412</v>
      </c>
      <c r="B2687">
        <v>10386</v>
      </c>
      <c r="C2687">
        <v>141</v>
      </c>
      <c r="D2687" t="s">
        <v>47</v>
      </c>
      <c r="E2687" t="s">
        <v>48</v>
      </c>
      <c r="F2687" t="s">
        <v>83</v>
      </c>
      <c r="G2687" t="s">
        <v>101</v>
      </c>
      <c r="H2687">
        <v>50</v>
      </c>
      <c r="I2687" s="2">
        <v>47.67</v>
      </c>
      <c r="J2687" s="2">
        <v>32.770000000000003</v>
      </c>
      <c r="K2687" s="2">
        <v>2383.5</v>
      </c>
      <c r="L2687" s="2">
        <v>1638.5</v>
      </c>
      <c r="M2687" s="2">
        <v>745</v>
      </c>
      <c r="N2687">
        <v>21</v>
      </c>
      <c r="P2687" t="str">
        <f>TRIM(Table1[[#This Row],[country]])</f>
        <v>Spain</v>
      </c>
    </row>
    <row r="2688" spans="1:16" x14ac:dyDescent="0.3">
      <c r="A2688" s="1">
        <v>38412</v>
      </c>
      <c r="B2688">
        <v>10386</v>
      </c>
      <c r="C2688">
        <v>141</v>
      </c>
      <c r="D2688" t="s">
        <v>47</v>
      </c>
      <c r="E2688" t="s">
        <v>48</v>
      </c>
      <c r="F2688" t="s">
        <v>71</v>
      </c>
      <c r="G2688" t="s">
        <v>80</v>
      </c>
      <c r="H2688">
        <v>43</v>
      </c>
      <c r="I2688" s="2">
        <v>52.42</v>
      </c>
      <c r="J2688" s="2">
        <v>33.299999999999997</v>
      </c>
      <c r="K2688" s="2">
        <v>2254.06</v>
      </c>
      <c r="L2688" s="2">
        <v>1431.9</v>
      </c>
      <c r="M2688" s="2">
        <v>822.16</v>
      </c>
      <c r="N2688">
        <v>21</v>
      </c>
      <c r="P2688" t="str">
        <f>TRIM(Table1[[#This Row],[country]])</f>
        <v>Spain</v>
      </c>
    </row>
    <row r="2689" spans="1:16" x14ac:dyDescent="0.3">
      <c r="A2689" s="1">
        <v>38413</v>
      </c>
      <c r="B2689">
        <v>10387</v>
      </c>
      <c r="C2689">
        <v>148</v>
      </c>
      <c r="D2689" t="s">
        <v>209</v>
      </c>
      <c r="E2689" t="s">
        <v>147</v>
      </c>
      <c r="F2689" t="s">
        <v>102</v>
      </c>
      <c r="G2689" t="s">
        <v>110</v>
      </c>
      <c r="H2689">
        <v>44</v>
      </c>
      <c r="I2689" s="2">
        <v>79.91</v>
      </c>
      <c r="J2689" s="2">
        <v>66.92</v>
      </c>
      <c r="K2689" s="2">
        <v>3516.04</v>
      </c>
      <c r="L2689" s="2">
        <v>2944.48</v>
      </c>
      <c r="M2689" s="2">
        <v>571.55999999999995</v>
      </c>
      <c r="N2689">
        <v>5</v>
      </c>
      <c r="P2689" t="str">
        <f>TRIM(Table1[[#This Row],[country]])</f>
        <v>Singapore</v>
      </c>
    </row>
    <row r="2690" spans="1:16" x14ac:dyDescent="0.3">
      <c r="A2690" s="1">
        <v>38414</v>
      </c>
      <c r="B2690">
        <v>10389</v>
      </c>
      <c r="C2690">
        <v>448</v>
      </c>
      <c r="D2690" t="s">
        <v>170</v>
      </c>
      <c r="E2690" t="s">
        <v>143</v>
      </c>
      <c r="F2690" t="s">
        <v>29</v>
      </c>
      <c r="G2690" t="s">
        <v>112</v>
      </c>
      <c r="H2690">
        <v>26</v>
      </c>
      <c r="I2690" s="2">
        <v>182.9</v>
      </c>
      <c r="J2690" s="2">
        <v>95.34</v>
      </c>
      <c r="K2690" s="2">
        <v>4755.3999999999996</v>
      </c>
      <c r="L2690" s="2">
        <v>2478.84</v>
      </c>
      <c r="M2690" s="2">
        <v>2276.56</v>
      </c>
      <c r="N2690">
        <v>3</v>
      </c>
      <c r="P2690" t="str">
        <f>TRIM(Table1[[#This Row],[country]])</f>
        <v>Sweden</v>
      </c>
    </row>
    <row r="2691" spans="1:16" x14ac:dyDescent="0.3">
      <c r="A2691" s="1">
        <v>38414</v>
      </c>
      <c r="B2691">
        <v>10389</v>
      </c>
      <c r="C2691">
        <v>448</v>
      </c>
      <c r="D2691" t="s">
        <v>170</v>
      </c>
      <c r="E2691" t="s">
        <v>143</v>
      </c>
      <c r="F2691" t="s">
        <v>29</v>
      </c>
      <c r="G2691" t="s">
        <v>113</v>
      </c>
      <c r="H2691">
        <v>25</v>
      </c>
      <c r="I2691" s="2">
        <v>95.13</v>
      </c>
      <c r="J2691" s="2">
        <v>75.16</v>
      </c>
      <c r="K2691" s="2">
        <v>2378.25</v>
      </c>
      <c r="L2691" s="2">
        <v>1879</v>
      </c>
      <c r="M2691" s="2">
        <v>499.25</v>
      </c>
      <c r="N2691">
        <v>3</v>
      </c>
      <c r="P2691" t="str">
        <f>TRIM(Table1[[#This Row],[country]])</f>
        <v>Sweden</v>
      </c>
    </row>
    <row r="2692" spans="1:16" x14ac:dyDescent="0.3">
      <c r="A2692" s="1">
        <v>38414</v>
      </c>
      <c r="B2692">
        <v>10389</v>
      </c>
      <c r="C2692">
        <v>448</v>
      </c>
      <c r="D2692" t="s">
        <v>170</v>
      </c>
      <c r="E2692" t="s">
        <v>143</v>
      </c>
      <c r="F2692" t="s">
        <v>29</v>
      </c>
      <c r="G2692" t="s">
        <v>114</v>
      </c>
      <c r="H2692">
        <v>36</v>
      </c>
      <c r="I2692" s="2">
        <v>76.61</v>
      </c>
      <c r="J2692" s="2">
        <v>31.92</v>
      </c>
      <c r="K2692" s="2">
        <v>2757.96</v>
      </c>
      <c r="L2692" s="2">
        <v>1149.1199999999999</v>
      </c>
      <c r="M2692" s="2">
        <v>1608.84</v>
      </c>
      <c r="N2692">
        <v>3</v>
      </c>
      <c r="P2692" t="str">
        <f>TRIM(Table1[[#This Row],[country]])</f>
        <v>Sweden</v>
      </c>
    </row>
    <row r="2693" spans="1:16" x14ac:dyDescent="0.3">
      <c r="A2693" s="1">
        <v>38414</v>
      </c>
      <c r="B2693">
        <v>10389</v>
      </c>
      <c r="C2693">
        <v>448</v>
      </c>
      <c r="D2693" t="s">
        <v>170</v>
      </c>
      <c r="E2693" t="s">
        <v>143</v>
      </c>
      <c r="F2693" t="s">
        <v>29</v>
      </c>
      <c r="G2693" t="s">
        <v>115</v>
      </c>
      <c r="H2693">
        <v>47</v>
      </c>
      <c r="I2693" s="2">
        <v>102.49</v>
      </c>
      <c r="J2693" s="2">
        <v>58.73</v>
      </c>
      <c r="K2693" s="2">
        <v>4817.03</v>
      </c>
      <c r="L2693" s="2">
        <v>2760.31</v>
      </c>
      <c r="M2693" s="2">
        <v>2056.7199999999998</v>
      </c>
      <c r="N2693">
        <v>3</v>
      </c>
      <c r="P2693" t="str">
        <f>TRIM(Table1[[#This Row],[country]])</f>
        <v>Sweden</v>
      </c>
    </row>
    <row r="2694" spans="1:16" x14ac:dyDescent="0.3">
      <c r="A2694" s="1">
        <v>38414</v>
      </c>
      <c r="B2694">
        <v>10389</v>
      </c>
      <c r="C2694">
        <v>448</v>
      </c>
      <c r="D2694" t="s">
        <v>170</v>
      </c>
      <c r="E2694" t="s">
        <v>143</v>
      </c>
      <c r="F2694" t="s">
        <v>29</v>
      </c>
      <c r="G2694" t="s">
        <v>116</v>
      </c>
      <c r="H2694">
        <v>49</v>
      </c>
      <c r="I2694" s="2">
        <v>63.91</v>
      </c>
      <c r="J2694" s="2">
        <v>53.9</v>
      </c>
      <c r="K2694" s="2">
        <v>3131.59</v>
      </c>
      <c r="L2694" s="2">
        <v>2641.1</v>
      </c>
      <c r="M2694" s="2">
        <v>490.49</v>
      </c>
      <c r="N2694">
        <v>3</v>
      </c>
      <c r="P2694" t="str">
        <f>TRIM(Table1[[#This Row],[country]])</f>
        <v>Sweden</v>
      </c>
    </row>
    <row r="2695" spans="1:16" x14ac:dyDescent="0.3">
      <c r="A2695" s="1">
        <v>38414</v>
      </c>
      <c r="B2695">
        <v>10389</v>
      </c>
      <c r="C2695">
        <v>448</v>
      </c>
      <c r="D2695" t="s">
        <v>170</v>
      </c>
      <c r="E2695" t="s">
        <v>143</v>
      </c>
      <c r="F2695" t="s">
        <v>102</v>
      </c>
      <c r="G2695" t="s">
        <v>107</v>
      </c>
      <c r="H2695">
        <v>39</v>
      </c>
      <c r="I2695" s="2">
        <v>52.09</v>
      </c>
      <c r="J2695" s="2">
        <v>24.23</v>
      </c>
      <c r="K2695" s="2">
        <v>2031.51</v>
      </c>
      <c r="L2695" s="2">
        <v>944.97</v>
      </c>
      <c r="M2695" s="2">
        <v>1086.54</v>
      </c>
      <c r="N2695">
        <v>3</v>
      </c>
      <c r="P2695" t="str">
        <f>TRIM(Table1[[#This Row],[country]])</f>
        <v>Sweden</v>
      </c>
    </row>
    <row r="2696" spans="1:16" x14ac:dyDescent="0.3">
      <c r="A2696" s="1">
        <v>38414</v>
      </c>
      <c r="B2696">
        <v>10389</v>
      </c>
      <c r="C2696">
        <v>448</v>
      </c>
      <c r="D2696" t="s">
        <v>170</v>
      </c>
      <c r="E2696" t="s">
        <v>143</v>
      </c>
      <c r="F2696" t="s">
        <v>102</v>
      </c>
      <c r="G2696" t="s">
        <v>108</v>
      </c>
      <c r="H2696">
        <v>45</v>
      </c>
      <c r="I2696" s="2">
        <v>112.7</v>
      </c>
      <c r="J2696" s="2">
        <v>60.86</v>
      </c>
      <c r="K2696" s="2">
        <v>5071.5</v>
      </c>
      <c r="L2696" s="2">
        <v>2738.7</v>
      </c>
      <c r="M2696" s="2">
        <v>2332.8000000000002</v>
      </c>
      <c r="N2696">
        <v>3</v>
      </c>
      <c r="P2696" t="str">
        <f>TRIM(Table1[[#This Row],[country]])</f>
        <v>Sweden</v>
      </c>
    </row>
    <row r="2697" spans="1:16" x14ac:dyDescent="0.3">
      <c r="A2697" s="1">
        <v>38414</v>
      </c>
      <c r="B2697">
        <v>10389</v>
      </c>
      <c r="C2697">
        <v>448</v>
      </c>
      <c r="D2697" t="s">
        <v>170</v>
      </c>
      <c r="E2697" t="s">
        <v>143</v>
      </c>
      <c r="F2697" t="s">
        <v>102</v>
      </c>
      <c r="G2697" t="s">
        <v>109</v>
      </c>
      <c r="H2697">
        <v>49</v>
      </c>
      <c r="I2697" s="2">
        <v>61.7</v>
      </c>
      <c r="J2697" s="2">
        <v>37.32</v>
      </c>
      <c r="K2697" s="2">
        <v>3023.3</v>
      </c>
      <c r="L2697" s="2">
        <v>1828.68</v>
      </c>
      <c r="M2697" s="2">
        <v>1194.6199999999999</v>
      </c>
      <c r="N2697">
        <v>3</v>
      </c>
      <c r="P2697" t="str">
        <f>TRIM(Table1[[#This Row],[country]])</f>
        <v>Sweden</v>
      </c>
    </row>
    <row r="2698" spans="1:16" x14ac:dyDescent="0.3">
      <c r="A2698" s="1">
        <v>38414</v>
      </c>
      <c r="B2698">
        <v>10388</v>
      </c>
      <c r="C2698">
        <v>462</v>
      </c>
      <c r="D2698" t="s">
        <v>227</v>
      </c>
      <c r="E2698" t="s">
        <v>14</v>
      </c>
      <c r="F2698" t="s">
        <v>102</v>
      </c>
      <c r="G2698" t="s">
        <v>103</v>
      </c>
      <c r="H2698">
        <v>42</v>
      </c>
      <c r="I2698" s="2">
        <v>80.39</v>
      </c>
      <c r="J2698" s="2">
        <v>48.81</v>
      </c>
      <c r="K2698" s="2">
        <v>3376.38</v>
      </c>
      <c r="L2698" s="2">
        <v>2050.02</v>
      </c>
      <c r="M2698" s="2">
        <v>1326.36</v>
      </c>
      <c r="N2698">
        <v>3</v>
      </c>
      <c r="P2698" t="str">
        <f>TRIM(Table1[[#This Row],[country]])</f>
        <v>USA</v>
      </c>
    </row>
    <row r="2699" spans="1:16" x14ac:dyDescent="0.3">
      <c r="A2699" s="1">
        <v>38414</v>
      </c>
      <c r="B2699">
        <v>10388</v>
      </c>
      <c r="C2699">
        <v>462</v>
      </c>
      <c r="D2699" t="s">
        <v>227</v>
      </c>
      <c r="E2699" t="s">
        <v>14</v>
      </c>
      <c r="F2699" t="s">
        <v>102</v>
      </c>
      <c r="G2699" t="s">
        <v>104</v>
      </c>
      <c r="H2699">
        <v>50</v>
      </c>
      <c r="I2699" s="2">
        <v>118.94</v>
      </c>
      <c r="J2699" s="2">
        <v>68.989999999999995</v>
      </c>
      <c r="K2699" s="2">
        <v>5947</v>
      </c>
      <c r="L2699" s="2">
        <v>3449.5</v>
      </c>
      <c r="M2699" s="2">
        <v>2497.5</v>
      </c>
      <c r="N2699">
        <v>3</v>
      </c>
      <c r="P2699" t="str">
        <f>TRIM(Table1[[#This Row],[country]])</f>
        <v>USA</v>
      </c>
    </row>
    <row r="2700" spans="1:16" x14ac:dyDescent="0.3">
      <c r="A2700" s="1">
        <v>38414</v>
      </c>
      <c r="B2700">
        <v>10388</v>
      </c>
      <c r="C2700">
        <v>462</v>
      </c>
      <c r="D2700" t="s">
        <v>227</v>
      </c>
      <c r="E2700" t="s">
        <v>14</v>
      </c>
      <c r="F2700" t="s">
        <v>102</v>
      </c>
      <c r="G2700" t="s">
        <v>105</v>
      </c>
      <c r="H2700">
        <v>21</v>
      </c>
      <c r="I2700" s="2">
        <v>156.86000000000001</v>
      </c>
      <c r="J2700" s="2">
        <v>91.02</v>
      </c>
      <c r="K2700" s="2">
        <v>3294.06</v>
      </c>
      <c r="L2700" s="2">
        <v>1911.42</v>
      </c>
      <c r="M2700" s="2">
        <v>1382.64</v>
      </c>
      <c r="N2700">
        <v>3</v>
      </c>
      <c r="P2700" t="str">
        <f>TRIM(Table1[[#This Row],[country]])</f>
        <v>USA</v>
      </c>
    </row>
    <row r="2701" spans="1:16" x14ac:dyDescent="0.3">
      <c r="A2701" s="1">
        <v>38414</v>
      </c>
      <c r="B2701">
        <v>10388</v>
      </c>
      <c r="C2701">
        <v>462</v>
      </c>
      <c r="D2701" t="s">
        <v>227</v>
      </c>
      <c r="E2701" t="s">
        <v>14</v>
      </c>
      <c r="F2701" t="s">
        <v>102</v>
      </c>
      <c r="G2701" t="s">
        <v>106</v>
      </c>
      <c r="H2701">
        <v>44</v>
      </c>
      <c r="I2701" s="2">
        <v>125.01</v>
      </c>
      <c r="J2701" s="2">
        <v>66.27</v>
      </c>
      <c r="K2701" s="2">
        <v>5500.44</v>
      </c>
      <c r="L2701" s="2">
        <v>2915.88</v>
      </c>
      <c r="M2701" s="2">
        <v>2584.56</v>
      </c>
      <c r="N2701">
        <v>3</v>
      </c>
      <c r="P2701" t="str">
        <f>TRIM(Table1[[#This Row],[country]])</f>
        <v>USA</v>
      </c>
    </row>
    <row r="2702" spans="1:16" x14ac:dyDescent="0.3">
      <c r="A2702" s="1">
        <v>38414</v>
      </c>
      <c r="B2702">
        <v>10388</v>
      </c>
      <c r="C2702">
        <v>462</v>
      </c>
      <c r="D2702" t="s">
        <v>227</v>
      </c>
      <c r="E2702" t="s">
        <v>14</v>
      </c>
      <c r="F2702" t="s">
        <v>15</v>
      </c>
      <c r="G2702" t="s">
        <v>93</v>
      </c>
      <c r="H2702">
        <v>35</v>
      </c>
      <c r="I2702" s="2">
        <v>58.47</v>
      </c>
      <c r="J2702" s="2">
        <v>33.020000000000003</v>
      </c>
      <c r="K2702" s="2">
        <v>2046.45</v>
      </c>
      <c r="L2702" s="2">
        <v>1155.7</v>
      </c>
      <c r="M2702" s="2">
        <v>890.75</v>
      </c>
      <c r="N2702">
        <v>3</v>
      </c>
      <c r="P2702" t="str">
        <f>TRIM(Table1[[#This Row],[country]])</f>
        <v>USA</v>
      </c>
    </row>
    <row r="2703" spans="1:16" x14ac:dyDescent="0.3">
      <c r="A2703" s="1">
        <v>38414</v>
      </c>
      <c r="B2703">
        <v>10388</v>
      </c>
      <c r="C2703">
        <v>462</v>
      </c>
      <c r="D2703" t="s">
        <v>227</v>
      </c>
      <c r="E2703" t="s">
        <v>14</v>
      </c>
      <c r="F2703" t="s">
        <v>15</v>
      </c>
      <c r="G2703" t="s">
        <v>94</v>
      </c>
      <c r="H2703">
        <v>27</v>
      </c>
      <c r="I2703" s="2">
        <v>41.02</v>
      </c>
      <c r="J2703" s="2">
        <v>27.06</v>
      </c>
      <c r="K2703" s="2">
        <v>1107.54</v>
      </c>
      <c r="L2703" s="2">
        <v>730.62</v>
      </c>
      <c r="M2703" s="2">
        <v>376.92</v>
      </c>
      <c r="N2703">
        <v>3</v>
      </c>
      <c r="P2703" t="str">
        <f>TRIM(Table1[[#This Row],[country]])</f>
        <v>USA</v>
      </c>
    </row>
    <row r="2704" spans="1:16" x14ac:dyDescent="0.3">
      <c r="A2704" s="1">
        <v>38414</v>
      </c>
      <c r="B2704">
        <v>10388</v>
      </c>
      <c r="C2704">
        <v>462</v>
      </c>
      <c r="D2704" t="s">
        <v>227</v>
      </c>
      <c r="E2704" t="s">
        <v>14</v>
      </c>
      <c r="F2704" t="s">
        <v>83</v>
      </c>
      <c r="G2704" t="s">
        <v>95</v>
      </c>
      <c r="H2704">
        <v>46</v>
      </c>
      <c r="I2704" s="2">
        <v>74.900000000000006</v>
      </c>
      <c r="J2704" s="2">
        <v>51.15</v>
      </c>
      <c r="K2704" s="2">
        <v>3445.4</v>
      </c>
      <c r="L2704" s="2">
        <v>2352.9</v>
      </c>
      <c r="M2704" s="2">
        <v>1092.5</v>
      </c>
      <c r="N2704">
        <v>3</v>
      </c>
      <c r="P2704" t="str">
        <f>TRIM(Table1[[#This Row],[country]])</f>
        <v>USA</v>
      </c>
    </row>
    <row r="2705" spans="1:16" x14ac:dyDescent="0.3">
      <c r="A2705" s="1">
        <v>38414</v>
      </c>
      <c r="B2705">
        <v>10388</v>
      </c>
      <c r="C2705">
        <v>462</v>
      </c>
      <c r="D2705" t="s">
        <v>227</v>
      </c>
      <c r="E2705" t="s">
        <v>14</v>
      </c>
      <c r="F2705" t="s">
        <v>83</v>
      </c>
      <c r="G2705" t="s">
        <v>98</v>
      </c>
      <c r="H2705">
        <v>50</v>
      </c>
      <c r="I2705" s="2">
        <v>111.53</v>
      </c>
      <c r="J2705" s="2">
        <v>59.33</v>
      </c>
      <c r="K2705" s="2">
        <v>5576.5</v>
      </c>
      <c r="L2705" s="2">
        <v>2966.5</v>
      </c>
      <c r="M2705" s="2">
        <v>2610</v>
      </c>
      <c r="N2705">
        <v>3</v>
      </c>
      <c r="P2705" t="str">
        <f>TRIM(Table1[[#This Row],[country]])</f>
        <v>USA</v>
      </c>
    </row>
    <row r="2706" spans="1:16" x14ac:dyDescent="0.3">
      <c r="A2706" s="1">
        <v>38415</v>
      </c>
      <c r="B2706">
        <v>10390</v>
      </c>
      <c r="C2706">
        <v>124</v>
      </c>
      <c r="D2706" t="s">
        <v>206</v>
      </c>
      <c r="E2706" t="s">
        <v>14</v>
      </c>
      <c r="F2706" t="s">
        <v>29</v>
      </c>
      <c r="G2706" t="s">
        <v>128</v>
      </c>
      <c r="H2706">
        <v>36</v>
      </c>
      <c r="I2706" s="2">
        <v>117.48</v>
      </c>
      <c r="J2706" s="2">
        <v>83.51</v>
      </c>
      <c r="K2706" s="2">
        <v>4229.28</v>
      </c>
      <c r="L2706" s="2">
        <v>3006.36</v>
      </c>
      <c r="M2706" s="2">
        <v>1222.92</v>
      </c>
      <c r="N2706">
        <v>15</v>
      </c>
      <c r="P2706" t="str">
        <f>TRIM(Table1[[#This Row],[country]])</f>
        <v>USA</v>
      </c>
    </row>
    <row r="2707" spans="1:16" x14ac:dyDescent="0.3">
      <c r="A2707" s="1">
        <v>38415</v>
      </c>
      <c r="B2707">
        <v>10390</v>
      </c>
      <c r="C2707">
        <v>124</v>
      </c>
      <c r="D2707" t="s">
        <v>206</v>
      </c>
      <c r="E2707" t="s">
        <v>14</v>
      </c>
      <c r="F2707" t="s">
        <v>29</v>
      </c>
      <c r="G2707" t="s">
        <v>129</v>
      </c>
      <c r="H2707">
        <v>34</v>
      </c>
      <c r="I2707" s="2">
        <v>132.29</v>
      </c>
      <c r="J2707" s="2">
        <v>93.89</v>
      </c>
      <c r="K2707" s="2">
        <v>4497.8599999999997</v>
      </c>
      <c r="L2707" s="2">
        <v>3192.26</v>
      </c>
      <c r="M2707" s="2">
        <v>1305.5999999999999</v>
      </c>
      <c r="N2707">
        <v>15</v>
      </c>
      <c r="P2707" t="str">
        <f>TRIM(Table1[[#This Row],[country]])</f>
        <v>USA</v>
      </c>
    </row>
    <row r="2708" spans="1:16" x14ac:dyDescent="0.3">
      <c r="A2708" s="1">
        <v>38415</v>
      </c>
      <c r="B2708">
        <v>10390</v>
      </c>
      <c r="C2708">
        <v>124</v>
      </c>
      <c r="D2708" t="s">
        <v>206</v>
      </c>
      <c r="E2708" t="s">
        <v>14</v>
      </c>
      <c r="F2708" t="s">
        <v>15</v>
      </c>
      <c r="G2708" t="s">
        <v>21</v>
      </c>
      <c r="H2708">
        <v>31</v>
      </c>
      <c r="I2708" s="2">
        <v>102.98</v>
      </c>
      <c r="J2708" s="2">
        <v>58.48</v>
      </c>
      <c r="K2708" s="2">
        <v>3192.38</v>
      </c>
      <c r="L2708" s="2">
        <v>1812.88</v>
      </c>
      <c r="M2708" s="2">
        <v>1379.5</v>
      </c>
      <c r="N2708">
        <v>15</v>
      </c>
      <c r="P2708" t="str">
        <f>TRIM(Table1[[#This Row],[country]])</f>
        <v>USA</v>
      </c>
    </row>
    <row r="2709" spans="1:16" x14ac:dyDescent="0.3">
      <c r="A2709" s="1">
        <v>38415</v>
      </c>
      <c r="B2709">
        <v>10390</v>
      </c>
      <c r="C2709">
        <v>124</v>
      </c>
      <c r="D2709" t="s">
        <v>206</v>
      </c>
      <c r="E2709" t="s">
        <v>14</v>
      </c>
      <c r="F2709" t="s">
        <v>15</v>
      </c>
      <c r="G2709" t="s">
        <v>22</v>
      </c>
      <c r="H2709">
        <v>26</v>
      </c>
      <c r="I2709" s="2">
        <v>162</v>
      </c>
      <c r="J2709" s="2">
        <v>72.56</v>
      </c>
      <c r="K2709" s="2">
        <v>4212</v>
      </c>
      <c r="L2709" s="2">
        <v>1886.56</v>
      </c>
      <c r="M2709" s="2">
        <v>2325.44</v>
      </c>
      <c r="N2709">
        <v>15</v>
      </c>
      <c r="P2709" t="str">
        <f>TRIM(Table1[[#This Row],[country]])</f>
        <v>USA</v>
      </c>
    </row>
    <row r="2710" spans="1:16" x14ac:dyDescent="0.3">
      <c r="A2710" s="1">
        <v>38415</v>
      </c>
      <c r="B2710">
        <v>10390</v>
      </c>
      <c r="C2710">
        <v>124</v>
      </c>
      <c r="D2710" t="s">
        <v>206</v>
      </c>
      <c r="E2710" t="s">
        <v>14</v>
      </c>
      <c r="F2710" t="s">
        <v>29</v>
      </c>
      <c r="G2710" t="s">
        <v>117</v>
      </c>
      <c r="H2710">
        <v>40</v>
      </c>
      <c r="I2710" s="2">
        <v>75.59</v>
      </c>
      <c r="J2710" s="2">
        <v>49.05</v>
      </c>
      <c r="K2710" s="2">
        <v>3023.6</v>
      </c>
      <c r="L2710" s="2">
        <v>1962</v>
      </c>
      <c r="M2710" s="2">
        <v>1061.5999999999999</v>
      </c>
      <c r="N2710">
        <v>15</v>
      </c>
      <c r="P2710" t="str">
        <f>TRIM(Table1[[#This Row],[country]])</f>
        <v>USA</v>
      </c>
    </row>
    <row r="2711" spans="1:16" x14ac:dyDescent="0.3">
      <c r="A2711" s="1">
        <v>38415</v>
      </c>
      <c r="B2711">
        <v>10390</v>
      </c>
      <c r="C2711">
        <v>124</v>
      </c>
      <c r="D2711" t="s">
        <v>206</v>
      </c>
      <c r="E2711" t="s">
        <v>14</v>
      </c>
      <c r="F2711" t="s">
        <v>29</v>
      </c>
      <c r="G2711" t="s">
        <v>118</v>
      </c>
      <c r="H2711">
        <v>50</v>
      </c>
      <c r="I2711" s="2">
        <v>135.22999999999999</v>
      </c>
      <c r="J2711" s="2">
        <v>73.489999999999995</v>
      </c>
      <c r="K2711" s="2">
        <v>6761.5</v>
      </c>
      <c r="L2711" s="2">
        <v>3674.5</v>
      </c>
      <c r="M2711" s="2">
        <v>3087</v>
      </c>
      <c r="N2711">
        <v>15</v>
      </c>
      <c r="P2711" t="str">
        <f>TRIM(Table1[[#This Row],[country]])</f>
        <v>USA</v>
      </c>
    </row>
    <row r="2712" spans="1:16" x14ac:dyDescent="0.3">
      <c r="A2712" s="1">
        <v>38415</v>
      </c>
      <c r="B2712">
        <v>10390</v>
      </c>
      <c r="C2712">
        <v>124</v>
      </c>
      <c r="D2712" t="s">
        <v>206</v>
      </c>
      <c r="E2712" t="s">
        <v>14</v>
      </c>
      <c r="F2712" t="s">
        <v>102</v>
      </c>
      <c r="G2712" t="s">
        <v>119</v>
      </c>
      <c r="H2712">
        <v>36</v>
      </c>
      <c r="I2712" s="2">
        <v>54.09</v>
      </c>
      <c r="J2712" s="2">
        <v>32.950000000000003</v>
      </c>
      <c r="K2712" s="2">
        <v>1947.24</v>
      </c>
      <c r="L2712" s="2">
        <v>1186.2</v>
      </c>
      <c r="M2712" s="2">
        <v>761.04</v>
      </c>
      <c r="N2712">
        <v>15</v>
      </c>
      <c r="P2712" t="str">
        <f>TRIM(Table1[[#This Row],[country]])</f>
        <v>USA</v>
      </c>
    </row>
    <row r="2713" spans="1:16" x14ac:dyDescent="0.3">
      <c r="A2713" s="1">
        <v>38415</v>
      </c>
      <c r="B2713">
        <v>10390</v>
      </c>
      <c r="C2713">
        <v>124</v>
      </c>
      <c r="D2713" t="s">
        <v>206</v>
      </c>
      <c r="E2713" t="s">
        <v>14</v>
      </c>
      <c r="F2713" t="s">
        <v>29</v>
      </c>
      <c r="G2713" t="s">
        <v>120</v>
      </c>
      <c r="H2713">
        <v>49</v>
      </c>
      <c r="I2713" s="2">
        <v>122.02</v>
      </c>
      <c r="J2713" s="2">
        <v>69.930000000000007</v>
      </c>
      <c r="K2713" s="2">
        <v>5978.98</v>
      </c>
      <c r="L2713" s="2">
        <v>3426.57</v>
      </c>
      <c r="M2713" s="2">
        <v>2552.41</v>
      </c>
      <c r="N2713">
        <v>15</v>
      </c>
      <c r="P2713" t="str">
        <f>TRIM(Table1[[#This Row],[country]])</f>
        <v>USA</v>
      </c>
    </row>
    <row r="2714" spans="1:16" x14ac:dyDescent="0.3">
      <c r="A2714" s="1">
        <v>38415</v>
      </c>
      <c r="B2714">
        <v>10390</v>
      </c>
      <c r="C2714">
        <v>124</v>
      </c>
      <c r="D2714" t="s">
        <v>206</v>
      </c>
      <c r="E2714" t="s">
        <v>14</v>
      </c>
      <c r="F2714" t="s">
        <v>102</v>
      </c>
      <c r="G2714" t="s">
        <v>121</v>
      </c>
      <c r="H2714">
        <v>35</v>
      </c>
      <c r="I2714" s="2">
        <v>67.87</v>
      </c>
      <c r="J2714" s="2">
        <v>47.1</v>
      </c>
      <c r="K2714" s="2">
        <v>2375.4499999999998</v>
      </c>
      <c r="L2714" s="2">
        <v>1648.5</v>
      </c>
      <c r="M2714" s="2">
        <v>726.95</v>
      </c>
      <c r="N2714">
        <v>15</v>
      </c>
      <c r="P2714" t="str">
        <f>TRIM(Table1[[#This Row],[country]])</f>
        <v>USA</v>
      </c>
    </row>
    <row r="2715" spans="1:16" x14ac:dyDescent="0.3">
      <c r="A2715" s="1">
        <v>38415</v>
      </c>
      <c r="B2715">
        <v>10390</v>
      </c>
      <c r="C2715">
        <v>124</v>
      </c>
      <c r="D2715" t="s">
        <v>206</v>
      </c>
      <c r="E2715" t="s">
        <v>14</v>
      </c>
      <c r="F2715" t="s">
        <v>29</v>
      </c>
      <c r="G2715" t="s">
        <v>132</v>
      </c>
      <c r="H2715">
        <v>37</v>
      </c>
      <c r="I2715" s="2">
        <v>35.869999999999997</v>
      </c>
      <c r="J2715" s="2">
        <v>16.239999999999998</v>
      </c>
      <c r="K2715" s="2">
        <v>1327.19</v>
      </c>
      <c r="L2715" s="2">
        <v>600.88</v>
      </c>
      <c r="M2715" s="2">
        <v>726.31</v>
      </c>
      <c r="N2715">
        <v>15</v>
      </c>
      <c r="P2715" t="str">
        <f>TRIM(Table1[[#This Row],[country]])</f>
        <v>USA</v>
      </c>
    </row>
    <row r="2716" spans="1:16" x14ac:dyDescent="0.3">
      <c r="A2716" s="1">
        <v>38415</v>
      </c>
      <c r="B2716">
        <v>10390</v>
      </c>
      <c r="C2716">
        <v>124</v>
      </c>
      <c r="D2716" t="s">
        <v>206</v>
      </c>
      <c r="E2716" t="s">
        <v>14</v>
      </c>
      <c r="F2716" t="s">
        <v>29</v>
      </c>
      <c r="G2716" t="s">
        <v>122</v>
      </c>
      <c r="H2716">
        <v>46</v>
      </c>
      <c r="I2716" s="2">
        <v>51.43</v>
      </c>
      <c r="J2716" s="2">
        <v>38.58</v>
      </c>
      <c r="K2716" s="2">
        <v>2365.7800000000002</v>
      </c>
      <c r="L2716" s="2">
        <v>1774.68</v>
      </c>
      <c r="M2716" s="2">
        <v>591.1</v>
      </c>
      <c r="N2716">
        <v>15</v>
      </c>
      <c r="P2716" t="str">
        <f>TRIM(Table1[[#This Row],[country]])</f>
        <v>USA</v>
      </c>
    </row>
    <row r="2717" spans="1:16" x14ac:dyDescent="0.3">
      <c r="A2717" s="1">
        <v>38415</v>
      </c>
      <c r="B2717">
        <v>10390</v>
      </c>
      <c r="C2717">
        <v>124</v>
      </c>
      <c r="D2717" t="s">
        <v>206</v>
      </c>
      <c r="E2717" t="s">
        <v>14</v>
      </c>
      <c r="F2717" t="s">
        <v>29</v>
      </c>
      <c r="G2717" t="s">
        <v>123</v>
      </c>
      <c r="H2717">
        <v>45</v>
      </c>
      <c r="I2717" s="2">
        <v>134.81</v>
      </c>
      <c r="J2717" s="2">
        <v>98.3</v>
      </c>
      <c r="K2717" s="2">
        <v>6066.45</v>
      </c>
      <c r="L2717" s="2">
        <v>4423.5</v>
      </c>
      <c r="M2717" s="2">
        <v>1642.95</v>
      </c>
      <c r="N2717">
        <v>15</v>
      </c>
      <c r="P2717" t="str">
        <f>TRIM(Table1[[#This Row],[country]])</f>
        <v>USA</v>
      </c>
    </row>
    <row r="2718" spans="1:16" x14ac:dyDescent="0.3">
      <c r="A2718" s="1">
        <v>38415</v>
      </c>
      <c r="B2718">
        <v>10390</v>
      </c>
      <c r="C2718">
        <v>124</v>
      </c>
      <c r="D2718" t="s">
        <v>206</v>
      </c>
      <c r="E2718" t="s">
        <v>14</v>
      </c>
      <c r="F2718" t="s">
        <v>29</v>
      </c>
      <c r="G2718" t="s">
        <v>124</v>
      </c>
      <c r="H2718">
        <v>30</v>
      </c>
      <c r="I2718" s="2">
        <v>66.290000000000006</v>
      </c>
      <c r="J2718" s="2">
        <v>32.33</v>
      </c>
      <c r="K2718" s="2">
        <v>1988.7</v>
      </c>
      <c r="L2718" s="2">
        <v>969.9</v>
      </c>
      <c r="M2718" s="2">
        <v>1018.8</v>
      </c>
      <c r="N2718">
        <v>15</v>
      </c>
      <c r="P2718" t="str">
        <f>TRIM(Table1[[#This Row],[country]])</f>
        <v>USA</v>
      </c>
    </row>
    <row r="2719" spans="1:16" x14ac:dyDescent="0.3">
      <c r="A2719" s="1">
        <v>38415</v>
      </c>
      <c r="B2719">
        <v>10390</v>
      </c>
      <c r="C2719">
        <v>124</v>
      </c>
      <c r="D2719" t="s">
        <v>206</v>
      </c>
      <c r="E2719" t="s">
        <v>14</v>
      </c>
      <c r="F2719" t="s">
        <v>102</v>
      </c>
      <c r="G2719" t="s">
        <v>125</v>
      </c>
      <c r="H2719">
        <v>41</v>
      </c>
      <c r="I2719" s="2">
        <v>39.020000000000003</v>
      </c>
      <c r="J2719" s="2">
        <v>24.14</v>
      </c>
      <c r="K2719" s="2">
        <v>1599.82</v>
      </c>
      <c r="L2719" s="2">
        <v>989.74</v>
      </c>
      <c r="M2719" s="2">
        <v>610.08000000000004</v>
      </c>
      <c r="N2719">
        <v>15</v>
      </c>
      <c r="P2719" t="str">
        <f>TRIM(Table1[[#This Row],[country]])</f>
        <v>USA</v>
      </c>
    </row>
    <row r="2720" spans="1:16" x14ac:dyDescent="0.3">
      <c r="A2720" s="1">
        <v>38415</v>
      </c>
      <c r="B2720">
        <v>10390</v>
      </c>
      <c r="C2720">
        <v>124</v>
      </c>
      <c r="D2720" t="s">
        <v>206</v>
      </c>
      <c r="E2720" t="s">
        <v>14</v>
      </c>
      <c r="F2720" t="s">
        <v>102</v>
      </c>
      <c r="G2720" t="s">
        <v>126</v>
      </c>
      <c r="H2720">
        <v>45</v>
      </c>
      <c r="I2720" s="2">
        <v>101.03</v>
      </c>
      <c r="J2720" s="2">
        <v>56.13</v>
      </c>
      <c r="K2720" s="2">
        <v>4546.3500000000004</v>
      </c>
      <c r="L2720" s="2">
        <v>2525.85</v>
      </c>
      <c r="M2720" s="2">
        <v>2020.5</v>
      </c>
      <c r="N2720">
        <v>15</v>
      </c>
      <c r="P2720" t="str">
        <f>TRIM(Table1[[#This Row],[country]])</f>
        <v>USA</v>
      </c>
    </row>
    <row r="2721" spans="1:16" x14ac:dyDescent="0.3">
      <c r="A2721" s="1">
        <v>38415</v>
      </c>
      <c r="B2721">
        <v>10390</v>
      </c>
      <c r="C2721">
        <v>124</v>
      </c>
      <c r="D2721" t="s">
        <v>206</v>
      </c>
      <c r="E2721" t="s">
        <v>14</v>
      </c>
      <c r="F2721" t="s">
        <v>102</v>
      </c>
      <c r="G2721" t="s">
        <v>127</v>
      </c>
      <c r="H2721">
        <v>22</v>
      </c>
      <c r="I2721" s="2">
        <v>81.36</v>
      </c>
      <c r="J2721" s="2">
        <v>34.17</v>
      </c>
      <c r="K2721" s="2">
        <v>1789.92</v>
      </c>
      <c r="L2721" s="2">
        <v>751.74</v>
      </c>
      <c r="M2721" s="2">
        <v>1038.18</v>
      </c>
      <c r="N2721">
        <v>15</v>
      </c>
      <c r="P2721" t="str">
        <f>TRIM(Table1[[#This Row],[country]])</f>
        <v>USA</v>
      </c>
    </row>
    <row r="2722" spans="1:16" x14ac:dyDescent="0.3">
      <c r="A2722" s="1">
        <v>38420</v>
      </c>
      <c r="B2722">
        <v>10391</v>
      </c>
      <c r="C2722">
        <v>276</v>
      </c>
      <c r="D2722" t="s">
        <v>165</v>
      </c>
      <c r="E2722" t="s">
        <v>151</v>
      </c>
      <c r="F2722" t="s">
        <v>29</v>
      </c>
      <c r="G2722" t="s">
        <v>30</v>
      </c>
      <c r="H2722">
        <v>24</v>
      </c>
      <c r="I2722" s="2">
        <v>195.01</v>
      </c>
      <c r="J2722" s="2">
        <v>98.58</v>
      </c>
      <c r="K2722" s="2">
        <v>4680.24</v>
      </c>
      <c r="L2722" s="2">
        <v>2365.92</v>
      </c>
      <c r="M2722" s="2">
        <v>2314.3200000000002</v>
      </c>
      <c r="N2722">
        <v>4</v>
      </c>
      <c r="P2722" t="str">
        <f>TRIM(Table1[[#This Row],[country]])</f>
        <v>Australia</v>
      </c>
    </row>
    <row r="2723" spans="1:16" x14ac:dyDescent="0.3">
      <c r="A2723" s="1">
        <v>38420</v>
      </c>
      <c r="B2723">
        <v>10391</v>
      </c>
      <c r="C2723">
        <v>276</v>
      </c>
      <c r="D2723" t="s">
        <v>165</v>
      </c>
      <c r="E2723" t="s">
        <v>151</v>
      </c>
      <c r="F2723" t="s">
        <v>29</v>
      </c>
      <c r="G2723" t="s">
        <v>31</v>
      </c>
      <c r="H2723">
        <v>37</v>
      </c>
      <c r="I2723" s="2">
        <v>121.15</v>
      </c>
      <c r="J2723" s="2">
        <v>103.42</v>
      </c>
      <c r="K2723" s="2">
        <v>4482.55</v>
      </c>
      <c r="L2723" s="2">
        <v>3826.54</v>
      </c>
      <c r="M2723" s="2">
        <v>656.01</v>
      </c>
      <c r="N2723">
        <v>4</v>
      </c>
      <c r="P2723" t="str">
        <f>TRIM(Table1[[#This Row],[country]])</f>
        <v>Australia</v>
      </c>
    </row>
    <row r="2724" spans="1:16" x14ac:dyDescent="0.3">
      <c r="A2724" s="1">
        <v>38420</v>
      </c>
      <c r="B2724">
        <v>10391</v>
      </c>
      <c r="C2724">
        <v>276</v>
      </c>
      <c r="D2724" t="s">
        <v>165</v>
      </c>
      <c r="E2724" t="s">
        <v>151</v>
      </c>
      <c r="F2724" t="s">
        <v>32</v>
      </c>
      <c r="G2724" t="s">
        <v>33</v>
      </c>
      <c r="H2724">
        <v>39</v>
      </c>
      <c r="I2724" s="2">
        <v>110.7</v>
      </c>
      <c r="J2724" s="2">
        <v>77.900000000000006</v>
      </c>
      <c r="K2724" s="2">
        <v>4317.3</v>
      </c>
      <c r="L2724" s="2">
        <v>3038.1</v>
      </c>
      <c r="M2724" s="2">
        <v>1279.2</v>
      </c>
      <c r="N2724">
        <v>4</v>
      </c>
      <c r="P2724" t="str">
        <f>TRIM(Table1[[#This Row],[country]])</f>
        <v>Australia</v>
      </c>
    </row>
    <row r="2725" spans="1:16" x14ac:dyDescent="0.3">
      <c r="A2725" s="1">
        <v>38420</v>
      </c>
      <c r="B2725">
        <v>10391</v>
      </c>
      <c r="C2725">
        <v>276</v>
      </c>
      <c r="D2725" t="s">
        <v>165</v>
      </c>
      <c r="E2725" t="s">
        <v>151</v>
      </c>
      <c r="F2725" t="s">
        <v>32</v>
      </c>
      <c r="G2725" t="s">
        <v>34</v>
      </c>
      <c r="H2725">
        <v>29</v>
      </c>
      <c r="I2725" s="2">
        <v>114.34</v>
      </c>
      <c r="J2725" s="2">
        <v>58.33</v>
      </c>
      <c r="K2725" s="2">
        <v>3315.86</v>
      </c>
      <c r="L2725" s="2">
        <v>1691.57</v>
      </c>
      <c r="M2725" s="2">
        <v>1624.29</v>
      </c>
      <c r="N2725">
        <v>4</v>
      </c>
      <c r="P2725" t="str">
        <f>TRIM(Table1[[#This Row],[country]])</f>
        <v>Australia</v>
      </c>
    </row>
    <row r="2726" spans="1:16" x14ac:dyDescent="0.3">
      <c r="A2726" s="1">
        <v>38420</v>
      </c>
      <c r="B2726">
        <v>10391</v>
      </c>
      <c r="C2726">
        <v>276</v>
      </c>
      <c r="D2726" t="s">
        <v>165</v>
      </c>
      <c r="E2726" t="s">
        <v>151</v>
      </c>
      <c r="F2726" t="s">
        <v>15</v>
      </c>
      <c r="G2726" t="s">
        <v>25</v>
      </c>
      <c r="H2726">
        <v>35</v>
      </c>
      <c r="I2726" s="2">
        <v>102.74</v>
      </c>
      <c r="J2726" s="2">
        <v>60.62</v>
      </c>
      <c r="K2726" s="2">
        <v>3595.9</v>
      </c>
      <c r="L2726" s="2">
        <v>2121.6999999999998</v>
      </c>
      <c r="M2726" s="2">
        <v>1474.2</v>
      </c>
      <c r="N2726">
        <v>4</v>
      </c>
      <c r="P2726" t="str">
        <f>TRIM(Table1[[#This Row],[country]])</f>
        <v>Australia</v>
      </c>
    </row>
    <row r="2727" spans="1:16" x14ac:dyDescent="0.3">
      <c r="A2727" s="1">
        <v>38420</v>
      </c>
      <c r="B2727">
        <v>10391</v>
      </c>
      <c r="C2727">
        <v>276</v>
      </c>
      <c r="D2727" t="s">
        <v>165</v>
      </c>
      <c r="E2727" t="s">
        <v>151</v>
      </c>
      <c r="F2727" t="s">
        <v>15</v>
      </c>
      <c r="G2727" t="s">
        <v>26</v>
      </c>
      <c r="H2727">
        <v>42</v>
      </c>
      <c r="I2727" s="2">
        <v>47.44</v>
      </c>
      <c r="J2727" s="2">
        <v>24.26</v>
      </c>
      <c r="K2727" s="2">
        <v>1992.48</v>
      </c>
      <c r="L2727" s="2">
        <v>1018.92</v>
      </c>
      <c r="M2727" s="2">
        <v>973.56</v>
      </c>
      <c r="N2727">
        <v>4</v>
      </c>
      <c r="P2727" t="str">
        <f>TRIM(Table1[[#This Row],[country]])</f>
        <v>Australia</v>
      </c>
    </row>
    <row r="2728" spans="1:16" x14ac:dyDescent="0.3">
      <c r="A2728" s="1">
        <v>38420</v>
      </c>
      <c r="B2728">
        <v>10391</v>
      </c>
      <c r="C2728">
        <v>276</v>
      </c>
      <c r="D2728" t="s">
        <v>165</v>
      </c>
      <c r="E2728" t="s">
        <v>151</v>
      </c>
      <c r="F2728" t="s">
        <v>32</v>
      </c>
      <c r="G2728" t="s">
        <v>35</v>
      </c>
      <c r="H2728">
        <v>44</v>
      </c>
      <c r="I2728" s="2">
        <v>57.73</v>
      </c>
      <c r="J2728" s="2">
        <v>24.92</v>
      </c>
      <c r="K2728" s="2">
        <v>2540.12</v>
      </c>
      <c r="L2728" s="2">
        <v>1096.48</v>
      </c>
      <c r="M2728" s="2">
        <v>1443.64</v>
      </c>
      <c r="N2728">
        <v>4</v>
      </c>
      <c r="P2728" t="str">
        <f>TRIM(Table1[[#This Row],[country]])</f>
        <v>Australia</v>
      </c>
    </row>
    <row r="2729" spans="1:16" x14ac:dyDescent="0.3">
      <c r="A2729" s="1">
        <v>38420</v>
      </c>
      <c r="B2729">
        <v>10391</v>
      </c>
      <c r="C2729">
        <v>276</v>
      </c>
      <c r="D2729" t="s">
        <v>165</v>
      </c>
      <c r="E2729" t="s">
        <v>151</v>
      </c>
      <c r="F2729" t="s">
        <v>15</v>
      </c>
      <c r="G2729" t="s">
        <v>36</v>
      </c>
      <c r="H2729">
        <v>32</v>
      </c>
      <c r="I2729" s="2">
        <v>99.28</v>
      </c>
      <c r="J2729" s="2">
        <v>60.78</v>
      </c>
      <c r="K2729" s="2">
        <v>3176.96</v>
      </c>
      <c r="L2729" s="2">
        <v>1944.96</v>
      </c>
      <c r="M2729" s="2">
        <v>1232</v>
      </c>
      <c r="N2729">
        <v>4</v>
      </c>
      <c r="P2729" t="str">
        <f>TRIM(Table1[[#This Row],[country]])</f>
        <v>Australia</v>
      </c>
    </row>
    <row r="2730" spans="1:16" x14ac:dyDescent="0.3">
      <c r="A2730" s="1">
        <v>38420</v>
      </c>
      <c r="B2730">
        <v>10391</v>
      </c>
      <c r="C2730">
        <v>276</v>
      </c>
      <c r="D2730" t="s">
        <v>165</v>
      </c>
      <c r="E2730" t="s">
        <v>151</v>
      </c>
      <c r="F2730" t="s">
        <v>15</v>
      </c>
      <c r="G2730" t="s">
        <v>23</v>
      </c>
      <c r="H2730">
        <v>33</v>
      </c>
      <c r="I2730" s="2">
        <v>26.55</v>
      </c>
      <c r="J2730" s="2">
        <v>22.57</v>
      </c>
      <c r="K2730" s="2">
        <v>876.15</v>
      </c>
      <c r="L2730" s="2">
        <v>744.81</v>
      </c>
      <c r="M2730" s="2">
        <v>131.34</v>
      </c>
      <c r="N2730">
        <v>4</v>
      </c>
      <c r="P2730" t="str">
        <f>TRIM(Table1[[#This Row],[country]])</f>
        <v>Australia</v>
      </c>
    </row>
    <row r="2731" spans="1:16" x14ac:dyDescent="0.3">
      <c r="A2731" s="1">
        <v>38420</v>
      </c>
      <c r="B2731">
        <v>10391</v>
      </c>
      <c r="C2731">
        <v>276</v>
      </c>
      <c r="D2731" t="s">
        <v>165</v>
      </c>
      <c r="E2731" t="s">
        <v>151</v>
      </c>
      <c r="F2731" t="s">
        <v>15</v>
      </c>
      <c r="G2731" t="s">
        <v>24</v>
      </c>
      <c r="H2731">
        <v>24</v>
      </c>
      <c r="I2731" s="2">
        <v>36.29</v>
      </c>
      <c r="J2731" s="2">
        <v>20.61</v>
      </c>
      <c r="K2731" s="2">
        <v>870.96</v>
      </c>
      <c r="L2731" s="2">
        <v>494.64</v>
      </c>
      <c r="M2731" s="2">
        <v>376.32</v>
      </c>
      <c r="N2731">
        <v>4</v>
      </c>
      <c r="P2731" t="str">
        <f>TRIM(Table1[[#This Row],[country]])</f>
        <v>Australia</v>
      </c>
    </row>
    <row r="2732" spans="1:16" x14ac:dyDescent="0.3">
      <c r="A2732" s="1">
        <v>38421</v>
      </c>
      <c r="B2732">
        <v>10392</v>
      </c>
      <c r="C2732">
        <v>452</v>
      </c>
      <c r="D2732" t="s">
        <v>169</v>
      </c>
      <c r="E2732" t="s">
        <v>150</v>
      </c>
      <c r="F2732" t="s">
        <v>15</v>
      </c>
      <c r="G2732" t="s">
        <v>37</v>
      </c>
      <c r="H2732">
        <v>37</v>
      </c>
      <c r="I2732" s="2">
        <v>61.21</v>
      </c>
      <c r="J2732" s="2">
        <v>34.35</v>
      </c>
      <c r="K2732" s="2">
        <v>2264.77</v>
      </c>
      <c r="L2732" s="2">
        <v>1270.95</v>
      </c>
      <c r="M2732" s="2">
        <v>993.82</v>
      </c>
      <c r="N2732">
        <v>3</v>
      </c>
      <c r="P2732" t="str">
        <f>TRIM(Table1[[#This Row],[country]])</f>
        <v>Austria</v>
      </c>
    </row>
    <row r="2733" spans="1:16" x14ac:dyDescent="0.3">
      <c r="A2733" s="1">
        <v>38421</v>
      </c>
      <c r="B2733">
        <v>10392</v>
      </c>
      <c r="C2733">
        <v>452</v>
      </c>
      <c r="D2733" t="s">
        <v>169</v>
      </c>
      <c r="E2733" t="s">
        <v>150</v>
      </c>
      <c r="F2733" t="s">
        <v>15</v>
      </c>
      <c r="G2733" t="s">
        <v>38</v>
      </c>
      <c r="H2733">
        <v>29</v>
      </c>
      <c r="I2733" s="2">
        <v>103.67</v>
      </c>
      <c r="J2733" s="2">
        <v>60.74</v>
      </c>
      <c r="K2733" s="2">
        <v>3006.43</v>
      </c>
      <c r="L2733" s="2">
        <v>1761.46</v>
      </c>
      <c r="M2733" s="2">
        <v>1244.97</v>
      </c>
      <c r="N2733">
        <v>3</v>
      </c>
      <c r="P2733" t="str">
        <f>TRIM(Table1[[#This Row],[country]])</f>
        <v>Austria</v>
      </c>
    </row>
    <row r="2734" spans="1:16" x14ac:dyDescent="0.3">
      <c r="A2734" s="1">
        <v>38421</v>
      </c>
      <c r="B2734">
        <v>10392</v>
      </c>
      <c r="C2734">
        <v>452</v>
      </c>
      <c r="D2734" t="s">
        <v>169</v>
      </c>
      <c r="E2734" t="s">
        <v>150</v>
      </c>
      <c r="F2734" t="s">
        <v>15</v>
      </c>
      <c r="G2734" t="s">
        <v>39</v>
      </c>
      <c r="H2734">
        <v>36</v>
      </c>
      <c r="I2734" s="2">
        <v>98.22</v>
      </c>
      <c r="J2734" s="2">
        <v>57.54</v>
      </c>
      <c r="K2734" s="2">
        <v>3535.92</v>
      </c>
      <c r="L2734" s="2">
        <v>2071.44</v>
      </c>
      <c r="M2734" s="2">
        <v>1464.48</v>
      </c>
      <c r="N2734">
        <v>3</v>
      </c>
      <c r="P2734" t="str">
        <f>TRIM(Table1[[#This Row],[country]])</f>
        <v>Austria</v>
      </c>
    </row>
    <row r="2735" spans="1:16" x14ac:dyDescent="0.3">
      <c r="A2735" s="1">
        <v>38422</v>
      </c>
      <c r="B2735">
        <v>10393</v>
      </c>
      <c r="C2735">
        <v>323</v>
      </c>
      <c r="D2735" t="s">
        <v>158</v>
      </c>
      <c r="E2735" t="s">
        <v>159</v>
      </c>
      <c r="F2735" t="s">
        <v>29</v>
      </c>
      <c r="G2735" t="s">
        <v>49</v>
      </c>
      <c r="H2735">
        <v>35</v>
      </c>
      <c r="I2735" s="2">
        <v>145.04</v>
      </c>
      <c r="J2735" s="2">
        <v>89.14</v>
      </c>
      <c r="K2735" s="2">
        <v>5076.3999999999996</v>
      </c>
      <c r="L2735" s="2">
        <v>3119.9</v>
      </c>
      <c r="M2735" s="2">
        <v>1956.5</v>
      </c>
      <c r="N2735">
        <v>4</v>
      </c>
      <c r="P2735" t="str">
        <f>TRIM(Table1[[#This Row],[country]])</f>
        <v>New Zealand</v>
      </c>
    </row>
    <row r="2736" spans="1:16" x14ac:dyDescent="0.3">
      <c r="A2736" s="1">
        <v>38422</v>
      </c>
      <c r="B2736">
        <v>10393</v>
      </c>
      <c r="C2736">
        <v>323</v>
      </c>
      <c r="D2736" t="s">
        <v>158</v>
      </c>
      <c r="E2736" t="s">
        <v>159</v>
      </c>
      <c r="F2736" t="s">
        <v>32</v>
      </c>
      <c r="G2736" t="s">
        <v>50</v>
      </c>
      <c r="H2736">
        <v>32</v>
      </c>
      <c r="I2736" s="2">
        <v>99.54</v>
      </c>
      <c r="J2736" s="2">
        <v>55.7</v>
      </c>
      <c r="K2736" s="2">
        <v>3185.28</v>
      </c>
      <c r="L2736" s="2">
        <v>1782.4</v>
      </c>
      <c r="M2736" s="2">
        <v>1402.88</v>
      </c>
      <c r="N2736">
        <v>4</v>
      </c>
      <c r="P2736" t="str">
        <f>TRIM(Table1[[#This Row],[country]])</f>
        <v>New Zealand</v>
      </c>
    </row>
    <row r="2737" spans="1:16" x14ac:dyDescent="0.3">
      <c r="A2737" s="1">
        <v>38422</v>
      </c>
      <c r="B2737">
        <v>10393</v>
      </c>
      <c r="C2737">
        <v>323</v>
      </c>
      <c r="D2737" t="s">
        <v>158</v>
      </c>
      <c r="E2737" t="s">
        <v>159</v>
      </c>
      <c r="F2737" t="s">
        <v>29</v>
      </c>
      <c r="G2737" t="s">
        <v>51</v>
      </c>
      <c r="H2737">
        <v>20</v>
      </c>
      <c r="I2737" s="2">
        <v>137.53</v>
      </c>
      <c r="J2737" s="2">
        <v>101.51</v>
      </c>
      <c r="K2737" s="2">
        <v>2750.6</v>
      </c>
      <c r="L2737" s="2">
        <v>2030.2</v>
      </c>
      <c r="M2737" s="2">
        <v>720.4</v>
      </c>
      <c r="N2737">
        <v>4</v>
      </c>
      <c r="P2737" t="str">
        <f>TRIM(Table1[[#This Row],[country]])</f>
        <v>New Zealand</v>
      </c>
    </row>
    <row r="2738" spans="1:16" x14ac:dyDescent="0.3">
      <c r="A2738" s="1">
        <v>38422</v>
      </c>
      <c r="B2738">
        <v>10393</v>
      </c>
      <c r="C2738">
        <v>323</v>
      </c>
      <c r="D2738" t="s">
        <v>158</v>
      </c>
      <c r="E2738" t="s">
        <v>159</v>
      </c>
      <c r="F2738" t="s">
        <v>32</v>
      </c>
      <c r="G2738" t="s">
        <v>52</v>
      </c>
      <c r="H2738">
        <v>38</v>
      </c>
      <c r="I2738" s="2">
        <v>104.32</v>
      </c>
      <c r="J2738" s="2">
        <v>74.86</v>
      </c>
      <c r="K2738" s="2">
        <v>3964.16</v>
      </c>
      <c r="L2738" s="2">
        <v>2844.68</v>
      </c>
      <c r="M2738" s="2">
        <v>1119.48</v>
      </c>
      <c r="N2738">
        <v>4</v>
      </c>
      <c r="P2738" t="str">
        <f>TRIM(Table1[[#This Row],[country]])</f>
        <v>New Zealand</v>
      </c>
    </row>
    <row r="2739" spans="1:16" x14ac:dyDescent="0.3">
      <c r="A2739" s="1">
        <v>38422</v>
      </c>
      <c r="B2739">
        <v>10393</v>
      </c>
      <c r="C2739">
        <v>323</v>
      </c>
      <c r="D2739" t="s">
        <v>158</v>
      </c>
      <c r="E2739" t="s">
        <v>159</v>
      </c>
      <c r="F2739" t="s">
        <v>32</v>
      </c>
      <c r="G2739" t="s">
        <v>40</v>
      </c>
      <c r="H2739">
        <v>30</v>
      </c>
      <c r="I2739" s="2">
        <v>106.55</v>
      </c>
      <c r="J2739" s="2">
        <v>84.76</v>
      </c>
      <c r="K2739" s="2">
        <v>3196.5</v>
      </c>
      <c r="L2739" s="2">
        <v>2542.8000000000002</v>
      </c>
      <c r="M2739" s="2">
        <v>653.70000000000005</v>
      </c>
      <c r="N2739">
        <v>4</v>
      </c>
      <c r="P2739" t="str">
        <f>TRIM(Table1[[#This Row],[country]])</f>
        <v>New Zealand</v>
      </c>
    </row>
    <row r="2740" spans="1:16" x14ac:dyDescent="0.3">
      <c r="A2740" s="1">
        <v>38422</v>
      </c>
      <c r="B2740">
        <v>10393</v>
      </c>
      <c r="C2740">
        <v>323</v>
      </c>
      <c r="D2740" t="s">
        <v>158</v>
      </c>
      <c r="E2740" t="s">
        <v>159</v>
      </c>
      <c r="F2740" t="s">
        <v>15</v>
      </c>
      <c r="G2740" t="s">
        <v>41</v>
      </c>
      <c r="H2740">
        <v>44</v>
      </c>
      <c r="I2740" s="2">
        <v>41.76</v>
      </c>
      <c r="J2740" s="2">
        <v>23.14</v>
      </c>
      <c r="K2740" s="2">
        <v>1837.44</v>
      </c>
      <c r="L2740" s="2">
        <v>1018.16</v>
      </c>
      <c r="M2740" s="2">
        <v>819.28</v>
      </c>
      <c r="N2740">
        <v>4</v>
      </c>
      <c r="P2740" t="str">
        <f>TRIM(Table1[[#This Row],[country]])</f>
        <v>New Zealand</v>
      </c>
    </row>
    <row r="2741" spans="1:16" x14ac:dyDescent="0.3">
      <c r="A2741" s="1">
        <v>38422</v>
      </c>
      <c r="B2741">
        <v>10393</v>
      </c>
      <c r="C2741">
        <v>323</v>
      </c>
      <c r="D2741" t="s">
        <v>158</v>
      </c>
      <c r="E2741" t="s">
        <v>159</v>
      </c>
      <c r="F2741" t="s">
        <v>32</v>
      </c>
      <c r="G2741" t="s">
        <v>42</v>
      </c>
      <c r="H2741">
        <v>33</v>
      </c>
      <c r="I2741" s="2">
        <v>112.46</v>
      </c>
      <c r="J2741" s="2">
        <v>61.34</v>
      </c>
      <c r="K2741" s="2">
        <v>3711.18</v>
      </c>
      <c r="L2741" s="2">
        <v>2024.22</v>
      </c>
      <c r="M2741" s="2">
        <v>1686.96</v>
      </c>
      <c r="N2741">
        <v>4</v>
      </c>
      <c r="P2741" t="str">
        <f>TRIM(Table1[[#This Row],[country]])</f>
        <v>New Zealand</v>
      </c>
    </row>
    <row r="2742" spans="1:16" x14ac:dyDescent="0.3">
      <c r="A2742" s="1">
        <v>38422</v>
      </c>
      <c r="B2742">
        <v>10393</v>
      </c>
      <c r="C2742">
        <v>323</v>
      </c>
      <c r="D2742" t="s">
        <v>158</v>
      </c>
      <c r="E2742" t="s">
        <v>159</v>
      </c>
      <c r="F2742" t="s">
        <v>15</v>
      </c>
      <c r="G2742" t="s">
        <v>43</v>
      </c>
      <c r="H2742">
        <v>33</v>
      </c>
      <c r="I2742" s="2">
        <v>88.62</v>
      </c>
      <c r="J2742" s="2">
        <v>57.46</v>
      </c>
      <c r="K2742" s="2">
        <v>2924.46</v>
      </c>
      <c r="L2742" s="2">
        <v>1896.18</v>
      </c>
      <c r="M2742" s="2">
        <v>1028.28</v>
      </c>
      <c r="N2742">
        <v>4</v>
      </c>
      <c r="P2742" t="str">
        <f>TRIM(Table1[[#This Row],[country]])</f>
        <v>New Zealand</v>
      </c>
    </row>
    <row r="2743" spans="1:16" x14ac:dyDescent="0.3">
      <c r="A2743" s="1">
        <v>38422</v>
      </c>
      <c r="B2743">
        <v>10393</v>
      </c>
      <c r="C2743">
        <v>323</v>
      </c>
      <c r="D2743" t="s">
        <v>158</v>
      </c>
      <c r="E2743" t="s">
        <v>159</v>
      </c>
      <c r="F2743" t="s">
        <v>32</v>
      </c>
      <c r="G2743" t="s">
        <v>44</v>
      </c>
      <c r="H2743">
        <v>38</v>
      </c>
      <c r="I2743" s="2">
        <v>84.75</v>
      </c>
      <c r="J2743" s="2">
        <v>53.93</v>
      </c>
      <c r="K2743" s="2">
        <v>3220.5</v>
      </c>
      <c r="L2743" s="2">
        <v>2049.34</v>
      </c>
      <c r="M2743" s="2">
        <v>1171.1600000000001</v>
      </c>
      <c r="N2743">
        <v>4</v>
      </c>
      <c r="P2743" t="str">
        <f>TRIM(Table1[[#This Row],[country]])</f>
        <v>New Zealand</v>
      </c>
    </row>
    <row r="2744" spans="1:16" x14ac:dyDescent="0.3">
      <c r="A2744" s="1">
        <v>38422</v>
      </c>
      <c r="B2744">
        <v>10393</v>
      </c>
      <c r="C2744">
        <v>323</v>
      </c>
      <c r="D2744" t="s">
        <v>158</v>
      </c>
      <c r="E2744" t="s">
        <v>159</v>
      </c>
      <c r="F2744" t="s">
        <v>32</v>
      </c>
      <c r="G2744" t="s">
        <v>45</v>
      </c>
      <c r="H2744">
        <v>31</v>
      </c>
      <c r="I2744" s="2">
        <v>63.35</v>
      </c>
      <c r="J2744" s="2">
        <v>33.61</v>
      </c>
      <c r="K2744" s="2">
        <v>1963.85</v>
      </c>
      <c r="L2744" s="2">
        <v>1041.9100000000001</v>
      </c>
      <c r="M2744" s="2">
        <v>921.94</v>
      </c>
      <c r="N2744">
        <v>4</v>
      </c>
      <c r="P2744" t="str">
        <f>TRIM(Table1[[#This Row],[country]])</f>
        <v>New Zealand</v>
      </c>
    </row>
    <row r="2745" spans="1:16" x14ac:dyDescent="0.3">
      <c r="A2745" s="1">
        <v>38422</v>
      </c>
      <c r="B2745">
        <v>10393</v>
      </c>
      <c r="C2745">
        <v>323</v>
      </c>
      <c r="D2745" t="s">
        <v>158</v>
      </c>
      <c r="E2745" t="s">
        <v>159</v>
      </c>
      <c r="F2745" t="s">
        <v>29</v>
      </c>
      <c r="G2745" t="s">
        <v>46</v>
      </c>
      <c r="H2745">
        <v>21</v>
      </c>
      <c r="I2745" s="2">
        <v>83.95</v>
      </c>
      <c r="J2745" s="2">
        <v>46.53</v>
      </c>
      <c r="K2745" s="2">
        <v>1762.95</v>
      </c>
      <c r="L2745" s="2">
        <v>977.13</v>
      </c>
      <c r="M2745" s="2">
        <v>785.82</v>
      </c>
      <c r="N2745">
        <v>4</v>
      </c>
      <c r="P2745" t="str">
        <f>TRIM(Table1[[#This Row],[country]])</f>
        <v>New Zealand</v>
      </c>
    </row>
    <row r="2746" spans="1:16" x14ac:dyDescent="0.3">
      <c r="A2746" s="1">
        <v>38426</v>
      </c>
      <c r="B2746">
        <v>10394</v>
      </c>
      <c r="C2746">
        <v>141</v>
      </c>
      <c r="D2746" t="s">
        <v>47</v>
      </c>
      <c r="E2746" t="s">
        <v>48</v>
      </c>
      <c r="F2746" t="s">
        <v>29</v>
      </c>
      <c r="G2746" t="s">
        <v>53</v>
      </c>
      <c r="H2746">
        <v>22</v>
      </c>
      <c r="I2746" s="2">
        <v>135.47</v>
      </c>
      <c r="J2746" s="2">
        <v>77.900000000000006</v>
      </c>
      <c r="K2746" s="2">
        <v>2980.34</v>
      </c>
      <c r="L2746" s="2">
        <v>1713.8</v>
      </c>
      <c r="M2746" s="2">
        <v>1266.54</v>
      </c>
      <c r="N2746">
        <v>22</v>
      </c>
      <c r="P2746" t="str">
        <f>TRIM(Table1[[#This Row],[country]])</f>
        <v>Spain</v>
      </c>
    </row>
    <row r="2747" spans="1:16" x14ac:dyDescent="0.3">
      <c r="A2747" s="1">
        <v>38426</v>
      </c>
      <c r="B2747">
        <v>10394</v>
      </c>
      <c r="C2747">
        <v>141</v>
      </c>
      <c r="D2747" t="s">
        <v>47</v>
      </c>
      <c r="E2747" t="s">
        <v>48</v>
      </c>
      <c r="F2747" t="s">
        <v>29</v>
      </c>
      <c r="G2747" t="s">
        <v>54</v>
      </c>
      <c r="H2747">
        <v>37</v>
      </c>
      <c r="I2747" s="2">
        <v>124.95</v>
      </c>
      <c r="J2747" s="2">
        <v>91.92</v>
      </c>
      <c r="K2747" s="2">
        <v>4623.1499999999996</v>
      </c>
      <c r="L2747" s="2">
        <v>3401.04</v>
      </c>
      <c r="M2747" s="2">
        <v>1222.1099999999999</v>
      </c>
      <c r="N2747">
        <v>22</v>
      </c>
      <c r="P2747" t="str">
        <f>TRIM(Table1[[#This Row],[country]])</f>
        <v>Spain</v>
      </c>
    </row>
    <row r="2748" spans="1:16" x14ac:dyDescent="0.3">
      <c r="A2748" s="1">
        <v>38426</v>
      </c>
      <c r="B2748">
        <v>10394</v>
      </c>
      <c r="C2748">
        <v>141</v>
      </c>
      <c r="D2748" t="s">
        <v>47</v>
      </c>
      <c r="E2748" t="s">
        <v>48</v>
      </c>
      <c r="F2748" t="s">
        <v>29</v>
      </c>
      <c r="G2748" t="s">
        <v>55</v>
      </c>
      <c r="H2748">
        <v>31</v>
      </c>
      <c r="I2748" s="2">
        <v>53.18</v>
      </c>
      <c r="J2748" s="2">
        <v>32.369999999999997</v>
      </c>
      <c r="K2748" s="2">
        <v>1648.58</v>
      </c>
      <c r="L2748" s="2">
        <v>1003.47</v>
      </c>
      <c r="M2748" s="2">
        <v>645.11</v>
      </c>
      <c r="N2748">
        <v>22</v>
      </c>
      <c r="P2748" t="str">
        <f>TRIM(Table1[[#This Row],[country]])</f>
        <v>Spain</v>
      </c>
    </row>
    <row r="2749" spans="1:16" x14ac:dyDescent="0.3">
      <c r="A2749" s="1">
        <v>38426</v>
      </c>
      <c r="B2749">
        <v>10394</v>
      </c>
      <c r="C2749">
        <v>141</v>
      </c>
      <c r="D2749" t="s">
        <v>47</v>
      </c>
      <c r="E2749" t="s">
        <v>48</v>
      </c>
      <c r="F2749" t="s">
        <v>29</v>
      </c>
      <c r="G2749" t="s">
        <v>56</v>
      </c>
      <c r="H2749">
        <v>46</v>
      </c>
      <c r="I2749" s="2">
        <v>35.36</v>
      </c>
      <c r="J2749" s="2">
        <v>15.91</v>
      </c>
      <c r="K2749" s="2">
        <v>1626.56</v>
      </c>
      <c r="L2749" s="2">
        <v>731.86</v>
      </c>
      <c r="M2749" s="2">
        <v>894.7</v>
      </c>
      <c r="N2749">
        <v>22</v>
      </c>
      <c r="P2749" t="str">
        <f>TRIM(Table1[[#This Row],[country]])</f>
        <v>Spain</v>
      </c>
    </row>
    <row r="2750" spans="1:16" x14ac:dyDescent="0.3">
      <c r="A2750" s="1">
        <v>38426</v>
      </c>
      <c r="B2750">
        <v>10394</v>
      </c>
      <c r="C2750">
        <v>141</v>
      </c>
      <c r="D2750" t="s">
        <v>47</v>
      </c>
      <c r="E2750" t="s">
        <v>48</v>
      </c>
      <c r="F2750" t="s">
        <v>29</v>
      </c>
      <c r="G2750" t="s">
        <v>57</v>
      </c>
      <c r="H2750">
        <v>37</v>
      </c>
      <c r="I2750" s="2">
        <v>104.09</v>
      </c>
      <c r="J2750" s="2">
        <v>69.78</v>
      </c>
      <c r="K2750" s="2">
        <v>3851.33</v>
      </c>
      <c r="L2750" s="2">
        <v>2581.86</v>
      </c>
      <c r="M2750" s="2">
        <v>1269.47</v>
      </c>
      <c r="N2750">
        <v>22</v>
      </c>
      <c r="P2750" t="str">
        <f>TRIM(Table1[[#This Row],[country]])</f>
        <v>Spain</v>
      </c>
    </row>
    <row r="2751" spans="1:16" x14ac:dyDescent="0.3">
      <c r="A2751" s="1">
        <v>38426</v>
      </c>
      <c r="B2751">
        <v>10394</v>
      </c>
      <c r="C2751">
        <v>141</v>
      </c>
      <c r="D2751" t="s">
        <v>47</v>
      </c>
      <c r="E2751" t="s">
        <v>48</v>
      </c>
      <c r="F2751" t="s">
        <v>32</v>
      </c>
      <c r="G2751" t="s">
        <v>58</v>
      </c>
      <c r="H2751">
        <v>36</v>
      </c>
      <c r="I2751" s="2">
        <v>47.08</v>
      </c>
      <c r="J2751" s="2">
        <v>25.98</v>
      </c>
      <c r="K2751" s="2">
        <v>1694.88</v>
      </c>
      <c r="L2751" s="2">
        <v>935.28</v>
      </c>
      <c r="M2751" s="2">
        <v>759.6</v>
      </c>
      <c r="N2751">
        <v>22</v>
      </c>
      <c r="P2751" t="str">
        <f>TRIM(Table1[[#This Row],[country]])</f>
        <v>Spain</v>
      </c>
    </row>
    <row r="2752" spans="1:16" x14ac:dyDescent="0.3">
      <c r="A2752" s="1">
        <v>38426</v>
      </c>
      <c r="B2752">
        <v>10394</v>
      </c>
      <c r="C2752">
        <v>141</v>
      </c>
      <c r="D2752" t="s">
        <v>47</v>
      </c>
      <c r="E2752" t="s">
        <v>48</v>
      </c>
      <c r="F2752" t="s">
        <v>59</v>
      </c>
      <c r="G2752" t="s">
        <v>60</v>
      </c>
      <c r="H2752">
        <v>30</v>
      </c>
      <c r="I2752" s="2">
        <v>55.93</v>
      </c>
      <c r="J2752" s="2">
        <v>26.72</v>
      </c>
      <c r="K2752" s="2">
        <v>1677.9</v>
      </c>
      <c r="L2752" s="2">
        <v>801.6</v>
      </c>
      <c r="M2752" s="2">
        <v>876.3</v>
      </c>
      <c r="N2752">
        <v>22</v>
      </c>
      <c r="P2752" t="str">
        <f>TRIM(Table1[[#This Row],[country]])</f>
        <v>Spain</v>
      </c>
    </row>
    <row r="2753" spans="1:16" x14ac:dyDescent="0.3">
      <c r="A2753" s="1">
        <v>38428</v>
      </c>
      <c r="B2753">
        <v>10395</v>
      </c>
      <c r="C2753">
        <v>250</v>
      </c>
      <c r="D2753" t="s">
        <v>160</v>
      </c>
      <c r="E2753" t="s">
        <v>144</v>
      </c>
      <c r="F2753" t="s">
        <v>29</v>
      </c>
      <c r="G2753" t="s">
        <v>65</v>
      </c>
      <c r="H2753">
        <v>32</v>
      </c>
      <c r="I2753" s="2">
        <v>125.12</v>
      </c>
      <c r="J2753" s="2">
        <v>85.68</v>
      </c>
      <c r="K2753" s="2">
        <v>4003.84</v>
      </c>
      <c r="L2753" s="2">
        <v>2741.76</v>
      </c>
      <c r="M2753" s="2">
        <v>1262.08</v>
      </c>
      <c r="N2753">
        <v>3</v>
      </c>
      <c r="P2753" t="str">
        <f>TRIM(Table1[[#This Row],[country]])</f>
        <v>France</v>
      </c>
    </row>
    <row r="2754" spans="1:16" x14ac:dyDescent="0.3">
      <c r="A2754" s="1">
        <v>38428</v>
      </c>
      <c r="B2754">
        <v>10395</v>
      </c>
      <c r="C2754">
        <v>250</v>
      </c>
      <c r="D2754" t="s">
        <v>160</v>
      </c>
      <c r="E2754" t="s">
        <v>144</v>
      </c>
      <c r="F2754" t="s">
        <v>29</v>
      </c>
      <c r="G2754" t="s">
        <v>66</v>
      </c>
      <c r="H2754">
        <v>33</v>
      </c>
      <c r="I2754" s="2">
        <v>205.72</v>
      </c>
      <c r="J2754" s="2">
        <v>95.59</v>
      </c>
      <c r="K2754" s="2">
        <v>6788.76</v>
      </c>
      <c r="L2754" s="2">
        <v>3154.47</v>
      </c>
      <c r="M2754" s="2">
        <v>3634.29</v>
      </c>
      <c r="N2754">
        <v>3</v>
      </c>
      <c r="P2754" t="str">
        <f>TRIM(Table1[[#This Row],[country]])</f>
        <v>France</v>
      </c>
    </row>
    <row r="2755" spans="1:16" x14ac:dyDescent="0.3">
      <c r="A2755" s="1">
        <v>38428</v>
      </c>
      <c r="B2755">
        <v>10395</v>
      </c>
      <c r="C2755">
        <v>250</v>
      </c>
      <c r="D2755" t="s">
        <v>160</v>
      </c>
      <c r="E2755" t="s">
        <v>144</v>
      </c>
      <c r="F2755" t="s">
        <v>32</v>
      </c>
      <c r="G2755" t="s">
        <v>61</v>
      </c>
      <c r="H2755">
        <v>46</v>
      </c>
      <c r="I2755" s="2">
        <v>98.39</v>
      </c>
      <c r="J2755" s="2">
        <v>68.290000000000006</v>
      </c>
      <c r="K2755" s="2">
        <v>4525.9399999999996</v>
      </c>
      <c r="L2755" s="2">
        <v>3141.34</v>
      </c>
      <c r="M2755" s="2">
        <v>1384.6</v>
      </c>
      <c r="N2755">
        <v>3</v>
      </c>
      <c r="P2755" t="str">
        <f>TRIM(Table1[[#This Row],[country]])</f>
        <v>France</v>
      </c>
    </row>
    <row r="2756" spans="1:16" x14ac:dyDescent="0.3">
      <c r="A2756" s="1">
        <v>38428</v>
      </c>
      <c r="B2756">
        <v>10395</v>
      </c>
      <c r="C2756">
        <v>250</v>
      </c>
      <c r="D2756" t="s">
        <v>160</v>
      </c>
      <c r="E2756" t="s">
        <v>144</v>
      </c>
      <c r="F2756" t="s">
        <v>59</v>
      </c>
      <c r="G2756" t="s">
        <v>62</v>
      </c>
      <c r="H2756">
        <v>45</v>
      </c>
      <c r="I2756" s="2">
        <v>57.99</v>
      </c>
      <c r="J2756" s="2">
        <v>37.49</v>
      </c>
      <c r="K2756" s="2">
        <v>2609.5500000000002</v>
      </c>
      <c r="L2756" s="2">
        <v>1687.05</v>
      </c>
      <c r="M2756" s="2">
        <v>922.5</v>
      </c>
      <c r="N2756">
        <v>3</v>
      </c>
      <c r="P2756" t="str">
        <f>TRIM(Table1[[#This Row],[country]])</f>
        <v>France</v>
      </c>
    </row>
    <row r="2757" spans="1:16" x14ac:dyDescent="0.3">
      <c r="A2757" s="1">
        <v>38434</v>
      </c>
      <c r="B2757">
        <v>10396</v>
      </c>
      <c r="C2757">
        <v>124</v>
      </c>
      <c r="D2757" t="s">
        <v>206</v>
      </c>
      <c r="E2757" t="s">
        <v>14</v>
      </c>
      <c r="F2757" t="s">
        <v>29</v>
      </c>
      <c r="G2757" t="s">
        <v>67</v>
      </c>
      <c r="H2757">
        <v>33</v>
      </c>
      <c r="I2757" s="2">
        <v>155.72</v>
      </c>
      <c r="J2757" s="2">
        <v>83.05</v>
      </c>
      <c r="K2757" s="2">
        <v>5138.76</v>
      </c>
      <c r="L2757" s="2">
        <v>2740.65</v>
      </c>
      <c r="M2757" s="2">
        <v>2398.11</v>
      </c>
      <c r="N2757">
        <v>16</v>
      </c>
      <c r="P2757" t="str">
        <f>TRIM(Table1[[#This Row],[country]])</f>
        <v>USA</v>
      </c>
    </row>
    <row r="2758" spans="1:16" x14ac:dyDescent="0.3">
      <c r="A2758" s="1">
        <v>38434</v>
      </c>
      <c r="B2758">
        <v>10396</v>
      </c>
      <c r="C2758">
        <v>124</v>
      </c>
      <c r="D2758" t="s">
        <v>206</v>
      </c>
      <c r="E2758" t="s">
        <v>14</v>
      </c>
      <c r="F2758" t="s">
        <v>15</v>
      </c>
      <c r="G2758" t="s">
        <v>68</v>
      </c>
      <c r="H2758">
        <v>33</v>
      </c>
      <c r="I2758" s="2">
        <v>129.76</v>
      </c>
      <c r="J2758" s="2">
        <v>68.3</v>
      </c>
      <c r="K2758" s="2">
        <v>4282.08</v>
      </c>
      <c r="L2758" s="2">
        <v>2253.9</v>
      </c>
      <c r="M2758" s="2">
        <v>2028.18</v>
      </c>
      <c r="N2758">
        <v>16</v>
      </c>
      <c r="P2758" t="str">
        <f>TRIM(Table1[[#This Row],[country]])</f>
        <v>USA</v>
      </c>
    </row>
    <row r="2759" spans="1:16" x14ac:dyDescent="0.3">
      <c r="A2759" s="1">
        <v>38434</v>
      </c>
      <c r="B2759">
        <v>10396</v>
      </c>
      <c r="C2759">
        <v>124</v>
      </c>
      <c r="D2759" t="s">
        <v>206</v>
      </c>
      <c r="E2759" t="s">
        <v>14</v>
      </c>
      <c r="F2759" t="s">
        <v>59</v>
      </c>
      <c r="G2759" t="s">
        <v>69</v>
      </c>
      <c r="H2759">
        <v>24</v>
      </c>
      <c r="I2759" s="2">
        <v>91.76</v>
      </c>
      <c r="J2759" s="2">
        <v>67.56</v>
      </c>
      <c r="K2759" s="2">
        <v>2202.2399999999998</v>
      </c>
      <c r="L2759" s="2">
        <v>1621.44</v>
      </c>
      <c r="M2759" s="2">
        <v>580.79999999999995</v>
      </c>
      <c r="N2759">
        <v>16</v>
      </c>
      <c r="P2759" t="str">
        <f>TRIM(Table1[[#This Row],[country]])</f>
        <v>USA</v>
      </c>
    </row>
    <row r="2760" spans="1:16" x14ac:dyDescent="0.3">
      <c r="A2760" s="1">
        <v>38434</v>
      </c>
      <c r="B2760">
        <v>10396</v>
      </c>
      <c r="C2760">
        <v>124</v>
      </c>
      <c r="D2760" t="s">
        <v>206</v>
      </c>
      <c r="E2760" t="s">
        <v>14</v>
      </c>
      <c r="F2760" t="s">
        <v>15</v>
      </c>
      <c r="G2760" t="s">
        <v>70</v>
      </c>
      <c r="H2760">
        <v>45</v>
      </c>
      <c r="I2760" s="2">
        <v>83.38</v>
      </c>
      <c r="J2760" s="2">
        <v>52.66</v>
      </c>
      <c r="K2760" s="2">
        <v>3752.1</v>
      </c>
      <c r="L2760" s="2">
        <v>2369.6999999999998</v>
      </c>
      <c r="M2760" s="2">
        <v>1382.4</v>
      </c>
      <c r="N2760">
        <v>16</v>
      </c>
      <c r="P2760" t="str">
        <f>TRIM(Table1[[#This Row],[country]])</f>
        <v>USA</v>
      </c>
    </row>
    <row r="2761" spans="1:16" x14ac:dyDescent="0.3">
      <c r="A2761" s="1">
        <v>38434</v>
      </c>
      <c r="B2761">
        <v>10396</v>
      </c>
      <c r="C2761">
        <v>124</v>
      </c>
      <c r="D2761" t="s">
        <v>206</v>
      </c>
      <c r="E2761" t="s">
        <v>14</v>
      </c>
      <c r="F2761" t="s">
        <v>71</v>
      </c>
      <c r="G2761" t="s">
        <v>72</v>
      </c>
      <c r="H2761">
        <v>49</v>
      </c>
      <c r="I2761" s="2">
        <v>100.77</v>
      </c>
      <c r="J2761" s="2">
        <v>82.34</v>
      </c>
      <c r="K2761" s="2">
        <v>4937.7299999999996</v>
      </c>
      <c r="L2761" s="2">
        <v>4034.66</v>
      </c>
      <c r="M2761" s="2">
        <v>903.07</v>
      </c>
      <c r="N2761">
        <v>16</v>
      </c>
      <c r="P2761" t="str">
        <f>TRIM(Table1[[#This Row],[country]])</f>
        <v>USA</v>
      </c>
    </row>
    <row r="2762" spans="1:16" x14ac:dyDescent="0.3">
      <c r="A2762" s="1">
        <v>38434</v>
      </c>
      <c r="B2762">
        <v>10396</v>
      </c>
      <c r="C2762">
        <v>124</v>
      </c>
      <c r="D2762" t="s">
        <v>206</v>
      </c>
      <c r="E2762" t="s">
        <v>14</v>
      </c>
      <c r="F2762" t="s">
        <v>15</v>
      </c>
      <c r="G2762" t="s">
        <v>73</v>
      </c>
      <c r="H2762">
        <v>27</v>
      </c>
      <c r="I2762" s="2">
        <v>77</v>
      </c>
      <c r="J2762" s="2">
        <v>46.91</v>
      </c>
      <c r="K2762" s="2">
        <v>2079</v>
      </c>
      <c r="L2762" s="2">
        <v>1266.57</v>
      </c>
      <c r="M2762" s="2">
        <v>812.43</v>
      </c>
      <c r="N2762">
        <v>16</v>
      </c>
      <c r="P2762" t="str">
        <f>TRIM(Table1[[#This Row],[country]])</f>
        <v>USA</v>
      </c>
    </row>
    <row r="2763" spans="1:16" x14ac:dyDescent="0.3">
      <c r="A2763" s="1">
        <v>38434</v>
      </c>
      <c r="B2763">
        <v>10396</v>
      </c>
      <c r="C2763">
        <v>124</v>
      </c>
      <c r="D2763" t="s">
        <v>206</v>
      </c>
      <c r="E2763" t="s">
        <v>14</v>
      </c>
      <c r="F2763" t="s">
        <v>15</v>
      </c>
      <c r="G2763" t="s">
        <v>74</v>
      </c>
      <c r="H2763">
        <v>37</v>
      </c>
      <c r="I2763" s="2">
        <v>77.989999999999995</v>
      </c>
      <c r="J2763" s="2">
        <v>48.64</v>
      </c>
      <c r="K2763" s="2">
        <v>2885.63</v>
      </c>
      <c r="L2763" s="2">
        <v>1799.68</v>
      </c>
      <c r="M2763" s="2">
        <v>1085.95</v>
      </c>
      <c r="N2763">
        <v>16</v>
      </c>
      <c r="P2763" t="str">
        <f>TRIM(Table1[[#This Row],[country]])</f>
        <v>USA</v>
      </c>
    </row>
    <row r="2764" spans="1:16" x14ac:dyDescent="0.3">
      <c r="A2764" s="1">
        <v>38434</v>
      </c>
      <c r="B2764">
        <v>10396</v>
      </c>
      <c r="C2764">
        <v>124</v>
      </c>
      <c r="D2764" t="s">
        <v>206</v>
      </c>
      <c r="E2764" t="s">
        <v>14</v>
      </c>
      <c r="F2764" t="s">
        <v>71</v>
      </c>
      <c r="G2764" t="s">
        <v>75</v>
      </c>
      <c r="H2764">
        <v>39</v>
      </c>
      <c r="I2764" s="2">
        <v>62</v>
      </c>
      <c r="J2764" s="2">
        <v>34</v>
      </c>
      <c r="K2764" s="2">
        <v>2418</v>
      </c>
      <c r="L2764" s="2">
        <v>1326</v>
      </c>
      <c r="M2764" s="2">
        <v>1092</v>
      </c>
      <c r="N2764">
        <v>16</v>
      </c>
      <c r="P2764" t="str">
        <f>TRIM(Table1[[#This Row],[country]])</f>
        <v>USA</v>
      </c>
    </row>
    <row r="2765" spans="1:16" x14ac:dyDescent="0.3">
      <c r="A2765" s="1">
        <v>38439</v>
      </c>
      <c r="B2765">
        <v>10397</v>
      </c>
      <c r="C2765">
        <v>242</v>
      </c>
      <c r="D2765" t="s">
        <v>161</v>
      </c>
      <c r="E2765" t="s">
        <v>144</v>
      </c>
      <c r="F2765" t="s">
        <v>71</v>
      </c>
      <c r="G2765" t="s">
        <v>76</v>
      </c>
      <c r="H2765">
        <v>32</v>
      </c>
      <c r="I2765" s="2">
        <v>69.290000000000006</v>
      </c>
      <c r="J2765" s="2">
        <v>43.3</v>
      </c>
      <c r="K2765" s="2">
        <v>2217.2800000000002</v>
      </c>
      <c r="L2765" s="2">
        <v>1385.6</v>
      </c>
      <c r="M2765" s="2">
        <v>831.68</v>
      </c>
      <c r="N2765">
        <v>3</v>
      </c>
      <c r="P2765" t="str">
        <f>TRIM(Table1[[#This Row],[country]])</f>
        <v>France</v>
      </c>
    </row>
    <row r="2766" spans="1:16" x14ac:dyDescent="0.3">
      <c r="A2766" s="1">
        <v>38439</v>
      </c>
      <c r="B2766">
        <v>10397</v>
      </c>
      <c r="C2766">
        <v>242</v>
      </c>
      <c r="D2766" t="s">
        <v>161</v>
      </c>
      <c r="E2766" t="s">
        <v>144</v>
      </c>
      <c r="F2766" t="s">
        <v>71</v>
      </c>
      <c r="G2766" t="s">
        <v>77</v>
      </c>
      <c r="H2766">
        <v>22</v>
      </c>
      <c r="I2766" s="2">
        <v>62.88</v>
      </c>
      <c r="J2766" s="2">
        <v>33.97</v>
      </c>
      <c r="K2766" s="2">
        <v>1383.36</v>
      </c>
      <c r="L2766" s="2">
        <v>747.34</v>
      </c>
      <c r="M2766" s="2">
        <v>636.02</v>
      </c>
      <c r="N2766">
        <v>3</v>
      </c>
      <c r="P2766" t="str">
        <f>TRIM(Table1[[#This Row],[country]])</f>
        <v>France</v>
      </c>
    </row>
    <row r="2767" spans="1:16" x14ac:dyDescent="0.3">
      <c r="A2767" s="1">
        <v>38439</v>
      </c>
      <c r="B2767">
        <v>10397</v>
      </c>
      <c r="C2767">
        <v>242</v>
      </c>
      <c r="D2767" t="s">
        <v>161</v>
      </c>
      <c r="E2767" t="s">
        <v>144</v>
      </c>
      <c r="F2767" t="s">
        <v>71</v>
      </c>
      <c r="G2767" t="s">
        <v>78</v>
      </c>
      <c r="H2767">
        <v>48</v>
      </c>
      <c r="I2767" s="2">
        <v>86.15</v>
      </c>
      <c r="J2767" s="2">
        <v>51.09</v>
      </c>
      <c r="K2767" s="2">
        <v>4135.2</v>
      </c>
      <c r="L2767" s="2">
        <v>2452.3200000000002</v>
      </c>
      <c r="M2767" s="2">
        <v>1682.88</v>
      </c>
      <c r="N2767">
        <v>3</v>
      </c>
      <c r="P2767" t="str">
        <f>TRIM(Table1[[#This Row],[country]])</f>
        <v>France</v>
      </c>
    </row>
    <row r="2768" spans="1:16" x14ac:dyDescent="0.3">
      <c r="A2768" s="1">
        <v>38439</v>
      </c>
      <c r="B2768">
        <v>10397</v>
      </c>
      <c r="C2768">
        <v>242</v>
      </c>
      <c r="D2768" t="s">
        <v>161</v>
      </c>
      <c r="E2768" t="s">
        <v>144</v>
      </c>
      <c r="F2768" t="s">
        <v>71</v>
      </c>
      <c r="G2768" t="s">
        <v>79</v>
      </c>
      <c r="H2768">
        <v>36</v>
      </c>
      <c r="I2768" s="2">
        <v>80.44</v>
      </c>
      <c r="J2768" s="2">
        <v>53.63</v>
      </c>
      <c r="K2768" s="2">
        <v>2895.84</v>
      </c>
      <c r="L2768" s="2">
        <v>1930.68</v>
      </c>
      <c r="M2768" s="2">
        <v>965.16</v>
      </c>
      <c r="N2768">
        <v>3</v>
      </c>
      <c r="P2768" t="str">
        <f>TRIM(Table1[[#This Row],[country]])</f>
        <v>France</v>
      </c>
    </row>
    <row r="2769" spans="1:16" x14ac:dyDescent="0.3">
      <c r="A2769" s="1">
        <v>38439</v>
      </c>
      <c r="B2769">
        <v>10397</v>
      </c>
      <c r="C2769">
        <v>242</v>
      </c>
      <c r="D2769" t="s">
        <v>161</v>
      </c>
      <c r="E2769" t="s">
        <v>144</v>
      </c>
      <c r="F2769" t="s">
        <v>71</v>
      </c>
      <c r="G2769" t="s">
        <v>80</v>
      </c>
      <c r="H2769">
        <v>34</v>
      </c>
      <c r="I2769" s="2">
        <v>52.96</v>
      </c>
      <c r="J2769" s="2">
        <v>33.299999999999997</v>
      </c>
      <c r="K2769" s="2">
        <v>1800.64</v>
      </c>
      <c r="L2769" s="2">
        <v>1132.2</v>
      </c>
      <c r="M2769" s="2">
        <v>668.44</v>
      </c>
      <c r="N2769">
        <v>3</v>
      </c>
      <c r="P2769" t="str">
        <f>TRIM(Table1[[#This Row],[country]])</f>
        <v>France</v>
      </c>
    </row>
    <row r="2770" spans="1:16" x14ac:dyDescent="0.3">
      <c r="A2770" s="1">
        <v>38441</v>
      </c>
      <c r="B2770">
        <v>10398</v>
      </c>
      <c r="C2770">
        <v>353</v>
      </c>
      <c r="D2770" t="s">
        <v>152</v>
      </c>
      <c r="E2770" t="s">
        <v>144</v>
      </c>
      <c r="F2770" t="s">
        <v>83</v>
      </c>
      <c r="G2770" t="s">
        <v>84</v>
      </c>
      <c r="H2770">
        <v>33</v>
      </c>
      <c r="I2770" s="2">
        <v>130.88</v>
      </c>
      <c r="J2770" s="2">
        <v>77.27</v>
      </c>
      <c r="K2770" s="2">
        <v>4319.04</v>
      </c>
      <c r="L2770" s="2">
        <v>2549.91</v>
      </c>
      <c r="M2770" s="2">
        <v>1769.13</v>
      </c>
      <c r="N2770">
        <v>5</v>
      </c>
      <c r="P2770" t="str">
        <f>TRIM(Table1[[#This Row],[country]])</f>
        <v>France</v>
      </c>
    </row>
    <row r="2771" spans="1:16" x14ac:dyDescent="0.3">
      <c r="A2771" s="1">
        <v>38441</v>
      </c>
      <c r="B2771">
        <v>10398</v>
      </c>
      <c r="C2771">
        <v>353</v>
      </c>
      <c r="D2771" t="s">
        <v>152</v>
      </c>
      <c r="E2771" t="s">
        <v>144</v>
      </c>
      <c r="F2771" t="s">
        <v>83</v>
      </c>
      <c r="G2771" t="s">
        <v>85</v>
      </c>
      <c r="H2771">
        <v>34</v>
      </c>
      <c r="I2771" s="2">
        <v>82.79</v>
      </c>
      <c r="J2771" s="2">
        <v>49</v>
      </c>
      <c r="K2771" s="2">
        <v>2814.86</v>
      </c>
      <c r="L2771" s="2">
        <v>1666</v>
      </c>
      <c r="M2771" s="2">
        <v>1148.8599999999999</v>
      </c>
      <c r="N2771">
        <v>5</v>
      </c>
      <c r="P2771" t="str">
        <f>TRIM(Table1[[#This Row],[country]])</f>
        <v>France</v>
      </c>
    </row>
    <row r="2772" spans="1:16" x14ac:dyDescent="0.3">
      <c r="A2772" s="1">
        <v>38441</v>
      </c>
      <c r="B2772">
        <v>10398</v>
      </c>
      <c r="C2772">
        <v>353</v>
      </c>
      <c r="D2772" t="s">
        <v>152</v>
      </c>
      <c r="E2772" t="s">
        <v>144</v>
      </c>
      <c r="F2772" t="s">
        <v>71</v>
      </c>
      <c r="G2772" t="s">
        <v>86</v>
      </c>
      <c r="H2772">
        <v>28</v>
      </c>
      <c r="I2772" s="2">
        <v>70.540000000000006</v>
      </c>
      <c r="J2772" s="2">
        <v>51.61</v>
      </c>
      <c r="K2772" s="2">
        <v>1975.12</v>
      </c>
      <c r="L2772" s="2">
        <v>1445.08</v>
      </c>
      <c r="M2772" s="2">
        <v>530.04</v>
      </c>
      <c r="N2772">
        <v>5</v>
      </c>
      <c r="P2772" t="str">
        <f>TRIM(Table1[[#This Row],[country]])</f>
        <v>France</v>
      </c>
    </row>
    <row r="2773" spans="1:16" x14ac:dyDescent="0.3">
      <c r="A2773" s="1">
        <v>38441</v>
      </c>
      <c r="B2773">
        <v>10398</v>
      </c>
      <c r="C2773">
        <v>353</v>
      </c>
      <c r="D2773" t="s">
        <v>152</v>
      </c>
      <c r="E2773" t="s">
        <v>144</v>
      </c>
      <c r="F2773" t="s">
        <v>15</v>
      </c>
      <c r="G2773" t="s">
        <v>87</v>
      </c>
      <c r="H2773">
        <v>45</v>
      </c>
      <c r="I2773" s="2">
        <v>92.11</v>
      </c>
      <c r="J2773" s="2">
        <v>64.58</v>
      </c>
      <c r="K2773" s="2">
        <v>4144.95</v>
      </c>
      <c r="L2773" s="2">
        <v>2906.1</v>
      </c>
      <c r="M2773" s="2">
        <v>1238.8499999999999</v>
      </c>
      <c r="N2773">
        <v>5</v>
      </c>
      <c r="P2773" t="str">
        <f>TRIM(Table1[[#This Row],[country]])</f>
        <v>France</v>
      </c>
    </row>
    <row r="2774" spans="1:16" x14ac:dyDescent="0.3">
      <c r="A2774" s="1">
        <v>38441</v>
      </c>
      <c r="B2774">
        <v>10398</v>
      </c>
      <c r="C2774">
        <v>353</v>
      </c>
      <c r="D2774" t="s">
        <v>152</v>
      </c>
      <c r="E2774" t="s">
        <v>144</v>
      </c>
      <c r="F2774" t="s">
        <v>83</v>
      </c>
      <c r="G2774" t="s">
        <v>88</v>
      </c>
      <c r="H2774">
        <v>43</v>
      </c>
      <c r="I2774" s="2">
        <v>100.67</v>
      </c>
      <c r="J2774" s="2">
        <v>66.739999999999995</v>
      </c>
      <c r="K2774" s="2">
        <v>4328.8100000000004</v>
      </c>
      <c r="L2774" s="2">
        <v>2869.82</v>
      </c>
      <c r="M2774" s="2">
        <v>1458.99</v>
      </c>
      <c r="N2774">
        <v>5</v>
      </c>
      <c r="P2774" t="str">
        <f>TRIM(Table1[[#This Row],[country]])</f>
        <v>France</v>
      </c>
    </row>
    <row r="2775" spans="1:16" x14ac:dyDescent="0.3">
      <c r="A2775" s="1">
        <v>38441</v>
      </c>
      <c r="B2775">
        <v>10398</v>
      </c>
      <c r="C2775">
        <v>353</v>
      </c>
      <c r="D2775" t="s">
        <v>152</v>
      </c>
      <c r="E2775" t="s">
        <v>144</v>
      </c>
      <c r="F2775" t="s">
        <v>83</v>
      </c>
      <c r="G2775" t="s">
        <v>89</v>
      </c>
      <c r="H2775">
        <v>28</v>
      </c>
      <c r="I2775" s="2">
        <v>60.29</v>
      </c>
      <c r="J2775" s="2">
        <v>34.25</v>
      </c>
      <c r="K2775" s="2">
        <v>1688.12</v>
      </c>
      <c r="L2775" s="2">
        <v>959</v>
      </c>
      <c r="M2775" s="2">
        <v>729.12</v>
      </c>
      <c r="N2775">
        <v>5</v>
      </c>
      <c r="P2775" t="str">
        <f>TRIM(Table1[[#This Row],[country]])</f>
        <v>France</v>
      </c>
    </row>
    <row r="2776" spans="1:16" x14ac:dyDescent="0.3">
      <c r="A2776" s="1">
        <v>38441</v>
      </c>
      <c r="B2776">
        <v>10398</v>
      </c>
      <c r="C2776">
        <v>353</v>
      </c>
      <c r="D2776" t="s">
        <v>152</v>
      </c>
      <c r="E2776" t="s">
        <v>144</v>
      </c>
      <c r="F2776" t="s">
        <v>15</v>
      </c>
      <c r="G2776" t="s">
        <v>90</v>
      </c>
      <c r="H2776">
        <v>34</v>
      </c>
      <c r="I2776" s="2">
        <v>61.15</v>
      </c>
      <c r="J2776" s="2">
        <v>26.3</v>
      </c>
      <c r="K2776" s="2">
        <v>2079.1</v>
      </c>
      <c r="L2776" s="2">
        <v>894.2</v>
      </c>
      <c r="M2776" s="2">
        <v>1184.9000000000001</v>
      </c>
      <c r="N2776">
        <v>5</v>
      </c>
      <c r="P2776" t="str">
        <f>TRIM(Table1[[#This Row],[country]])</f>
        <v>France</v>
      </c>
    </row>
    <row r="2777" spans="1:16" x14ac:dyDescent="0.3">
      <c r="A2777" s="1">
        <v>38441</v>
      </c>
      <c r="B2777">
        <v>10398</v>
      </c>
      <c r="C2777">
        <v>353</v>
      </c>
      <c r="D2777" t="s">
        <v>152</v>
      </c>
      <c r="E2777" t="s">
        <v>144</v>
      </c>
      <c r="F2777" t="s">
        <v>83</v>
      </c>
      <c r="G2777" t="s">
        <v>91</v>
      </c>
      <c r="H2777">
        <v>41</v>
      </c>
      <c r="I2777" s="2">
        <v>56.64</v>
      </c>
      <c r="J2777" s="2">
        <v>29.34</v>
      </c>
      <c r="K2777" s="2">
        <v>2322.2399999999998</v>
      </c>
      <c r="L2777" s="2">
        <v>1202.94</v>
      </c>
      <c r="M2777" s="2">
        <v>1119.3</v>
      </c>
      <c r="N2777">
        <v>5</v>
      </c>
      <c r="P2777" t="str">
        <f>TRIM(Table1[[#This Row],[country]])</f>
        <v>France</v>
      </c>
    </row>
    <row r="2778" spans="1:16" x14ac:dyDescent="0.3">
      <c r="A2778" s="1">
        <v>38441</v>
      </c>
      <c r="B2778">
        <v>10398</v>
      </c>
      <c r="C2778">
        <v>353</v>
      </c>
      <c r="D2778" t="s">
        <v>152</v>
      </c>
      <c r="E2778" t="s">
        <v>144</v>
      </c>
      <c r="F2778" t="s">
        <v>83</v>
      </c>
      <c r="G2778" t="s">
        <v>92</v>
      </c>
      <c r="H2778">
        <v>45</v>
      </c>
      <c r="I2778" s="2">
        <v>65.930000000000007</v>
      </c>
      <c r="J2778" s="2">
        <v>36.229999999999997</v>
      </c>
      <c r="K2778" s="2">
        <v>2966.85</v>
      </c>
      <c r="L2778" s="2">
        <v>1630.35</v>
      </c>
      <c r="M2778" s="2">
        <v>1336.5</v>
      </c>
      <c r="N2778">
        <v>5</v>
      </c>
      <c r="P2778" t="str">
        <f>TRIM(Table1[[#This Row],[country]])</f>
        <v>France</v>
      </c>
    </row>
    <row r="2779" spans="1:16" x14ac:dyDescent="0.3">
      <c r="A2779" s="1">
        <v>38441</v>
      </c>
      <c r="B2779">
        <v>10398</v>
      </c>
      <c r="C2779">
        <v>353</v>
      </c>
      <c r="D2779" t="s">
        <v>152</v>
      </c>
      <c r="E2779" t="s">
        <v>144</v>
      </c>
      <c r="F2779" t="s">
        <v>15</v>
      </c>
      <c r="G2779" t="s">
        <v>93</v>
      </c>
      <c r="H2779">
        <v>22</v>
      </c>
      <c r="I2779" s="2">
        <v>60.54</v>
      </c>
      <c r="J2779" s="2">
        <v>33.020000000000003</v>
      </c>
      <c r="K2779" s="2">
        <v>1331.88</v>
      </c>
      <c r="L2779" s="2">
        <v>726.44</v>
      </c>
      <c r="M2779" s="2">
        <v>605.44000000000005</v>
      </c>
      <c r="N2779">
        <v>5</v>
      </c>
      <c r="P2779" t="str">
        <f>TRIM(Table1[[#This Row],[country]])</f>
        <v>France</v>
      </c>
    </row>
    <row r="2780" spans="1:16" x14ac:dyDescent="0.3">
      <c r="A2780" s="1">
        <v>38441</v>
      </c>
      <c r="B2780">
        <v>10398</v>
      </c>
      <c r="C2780">
        <v>353</v>
      </c>
      <c r="D2780" t="s">
        <v>152</v>
      </c>
      <c r="E2780" t="s">
        <v>144</v>
      </c>
      <c r="F2780" t="s">
        <v>15</v>
      </c>
      <c r="G2780" t="s">
        <v>94</v>
      </c>
      <c r="H2780">
        <v>49</v>
      </c>
      <c r="I2780" s="2">
        <v>38.840000000000003</v>
      </c>
      <c r="J2780" s="2">
        <v>27.06</v>
      </c>
      <c r="K2780" s="2">
        <v>1903.16</v>
      </c>
      <c r="L2780" s="2">
        <v>1325.94</v>
      </c>
      <c r="M2780" s="2">
        <v>577.22</v>
      </c>
      <c r="N2780">
        <v>5</v>
      </c>
      <c r="P2780" t="str">
        <f>TRIM(Table1[[#This Row],[country]])</f>
        <v>France</v>
      </c>
    </row>
    <row r="2781" spans="1:16" x14ac:dyDescent="0.3">
      <c r="A2781" s="1">
        <v>38441</v>
      </c>
      <c r="B2781">
        <v>10398</v>
      </c>
      <c r="C2781">
        <v>353</v>
      </c>
      <c r="D2781" t="s">
        <v>152</v>
      </c>
      <c r="E2781" t="s">
        <v>144</v>
      </c>
      <c r="F2781" t="s">
        <v>83</v>
      </c>
      <c r="G2781" t="s">
        <v>95</v>
      </c>
      <c r="H2781">
        <v>47</v>
      </c>
      <c r="I2781" s="2">
        <v>78.55</v>
      </c>
      <c r="J2781" s="2">
        <v>51.15</v>
      </c>
      <c r="K2781" s="2">
        <v>3691.85</v>
      </c>
      <c r="L2781" s="2">
        <v>2404.0500000000002</v>
      </c>
      <c r="M2781" s="2">
        <v>1287.8</v>
      </c>
      <c r="N2781">
        <v>5</v>
      </c>
      <c r="P2781" t="str">
        <f>TRIM(Table1[[#This Row],[country]])</f>
        <v>France</v>
      </c>
    </row>
    <row r="2782" spans="1:16" x14ac:dyDescent="0.3">
      <c r="A2782" s="1">
        <v>38441</v>
      </c>
      <c r="B2782">
        <v>10398</v>
      </c>
      <c r="C2782">
        <v>353</v>
      </c>
      <c r="D2782" t="s">
        <v>152</v>
      </c>
      <c r="E2782" t="s">
        <v>144</v>
      </c>
      <c r="F2782" t="s">
        <v>71</v>
      </c>
      <c r="G2782" t="s">
        <v>96</v>
      </c>
      <c r="H2782">
        <v>36</v>
      </c>
      <c r="I2782" s="2">
        <v>75.13</v>
      </c>
      <c r="J2782" s="2">
        <v>39.83</v>
      </c>
      <c r="K2782" s="2">
        <v>2704.68</v>
      </c>
      <c r="L2782" s="2">
        <v>1433.88</v>
      </c>
      <c r="M2782" s="2">
        <v>1270.8</v>
      </c>
      <c r="N2782">
        <v>5</v>
      </c>
      <c r="P2782" t="str">
        <f>TRIM(Table1[[#This Row],[country]])</f>
        <v>France</v>
      </c>
    </row>
    <row r="2783" spans="1:16" x14ac:dyDescent="0.3">
      <c r="A2783" s="1">
        <v>38441</v>
      </c>
      <c r="B2783">
        <v>10398</v>
      </c>
      <c r="C2783">
        <v>353</v>
      </c>
      <c r="D2783" t="s">
        <v>152</v>
      </c>
      <c r="E2783" t="s">
        <v>144</v>
      </c>
      <c r="F2783" t="s">
        <v>83</v>
      </c>
      <c r="G2783" t="s">
        <v>97</v>
      </c>
      <c r="H2783">
        <v>22</v>
      </c>
      <c r="I2783" s="2">
        <v>98.72</v>
      </c>
      <c r="J2783" s="2">
        <v>68.8</v>
      </c>
      <c r="K2783" s="2">
        <v>2171.84</v>
      </c>
      <c r="L2783" s="2">
        <v>1513.6</v>
      </c>
      <c r="M2783" s="2">
        <v>658.24</v>
      </c>
      <c r="N2783">
        <v>5</v>
      </c>
      <c r="P2783" t="str">
        <f>TRIM(Table1[[#This Row],[country]])</f>
        <v>France</v>
      </c>
    </row>
    <row r="2784" spans="1:16" x14ac:dyDescent="0.3">
      <c r="A2784" s="1">
        <v>38441</v>
      </c>
      <c r="B2784">
        <v>10398</v>
      </c>
      <c r="C2784">
        <v>353</v>
      </c>
      <c r="D2784" t="s">
        <v>152</v>
      </c>
      <c r="E2784" t="s">
        <v>144</v>
      </c>
      <c r="F2784" t="s">
        <v>83</v>
      </c>
      <c r="G2784" t="s">
        <v>98</v>
      </c>
      <c r="H2784">
        <v>23</v>
      </c>
      <c r="I2784" s="2">
        <v>102.04</v>
      </c>
      <c r="J2784" s="2">
        <v>59.33</v>
      </c>
      <c r="K2784" s="2">
        <v>2346.92</v>
      </c>
      <c r="L2784" s="2">
        <v>1364.59</v>
      </c>
      <c r="M2784" s="2">
        <v>982.33</v>
      </c>
      <c r="N2784">
        <v>5</v>
      </c>
      <c r="P2784" t="str">
        <f>TRIM(Table1[[#This Row],[country]])</f>
        <v>France</v>
      </c>
    </row>
    <row r="2785" spans="1:16" x14ac:dyDescent="0.3">
      <c r="A2785" s="1">
        <v>38441</v>
      </c>
      <c r="B2785">
        <v>10398</v>
      </c>
      <c r="C2785">
        <v>353</v>
      </c>
      <c r="D2785" t="s">
        <v>152</v>
      </c>
      <c r="E2785" t="s">
        <v>144</v>
      </c>
      <c r="F2785" t="s">
        <v>83</v>
      </c>
      <c r="G2785" t="s">
        <v>99</v>
      </c>
      <c r="H2785">
        <v>29</v>
      </c>
      <c r="I2785" s="2">
        <v>76.8</v>
      </c>
      <c r="J2785" s="2">
        <v>54.4</v>
      </c>
      <c r="K2785" s="2">
        <v>2227.1999999999998</v>
      </c>
      <c r="L2785" s="2">
        <v>1577.6</v>
      </c>
      <c r="M2785" s="2">
        <v>649.6</v>
      </c>
      <c r="N2785">
        <v>5</v>
      </c>
      <c r="P2785" t="str">
        <f>TRIM(Table1[[#This Row],[country]])</f>
        <v>France</v>
      </c>
    </row>
    <row r="2786" spans="1:16" x14ac:dyDescent="0.3">
      <c r="A2786" s="1">
        <v>38441</v>
      </c>
      <c r="B2786">
        <v>10398</v>
      </c>
      <c r="C2786">
        <v>353</v>
      </c>
      <c r="D2786" t="s">
        <v>152</v>
      </c>
      <c r="E2786" t="s">
        <v>144</v>
      </c>
      <c r="F2786" t="s">
        <v>83</v>
      </c>
      <c r="G2786" t="s">
        <v>100</v>
      </c>
      <c r="H2786">
        <v>36</v>
      </c>
      <c r="I2786" s="2">
        <v>62.19</v>
      </c>
      <c r="J2786" s="2">
        <v>36.270000000000003</v>
      </c>
      <c r="K2786" s="2">
        <v>2238.84</v>
      </c>
      <c r="L2786" s="2">
        <v>1305.72</v>
      </c>
      <c r="M2786" s="2">
        <v>933.12</v>
      </c>
      <c r="N2786">
        <v>5</v>
      </c>
      <c r="P2786" t="str">
        <f>TRIM(Table1[[#This Row],[country]])</f>
        <v>France</v>
      </c>
    </row>
    <row r="2787" spans="1:16" x14ac:dyDescent="0.3">
      <c r="A2787" s="1">
        <v>38441</v>
      </c>
      <c r="B2787">
        <v>10398</v>
      </c>
      <c r="C2787">
        <v>353</v>
      </c>
      <c r="D2787" t="s">
        <v>152</v>
      </c>
      <c r="E2787" t="s">
        <v>144</v>
      </c>
      <c r="F2787" t="s">
        <v>83</v>
      </c>
      <c r="G2787" t="s">
        <v>101</v>
      </c>
      <c r="H2787">
        <v>34</v>
      </c>
      <c r="I2787" s="2">
        <v>41.22</v>
      </c>
      <c r="J2787" s="2">
        <v>32.770000000000003</v>
      </c>
      <c r="K2787" s="2">
        <v>1401.48</v>
      </c>
      <c r="L2787" s="2">
        <v>1114.18</v>
      </c>
      <c r="M2787" s="2">
        <v>287.3</v>
      </c>
      <c r="N2787">
        <v>5</v>
      </c>
      <c r="P2787" t="str">
        <f>TRIM(Table1[[#This Row],[country]])</f>
        <v>France</v>
      </c>
    </row>
    <row r="2788" spans="1:16" x14ac:dyDescent="0.3">
      <c r="A2788" s="1">
        <v>38443</v>
      </c>
      <c r="B2788">
        <v>10400</v>
      </c>
      <c r="C2788">
        <v>450</v>
      </c>
      <c r="D2788" t="s">
        <v>194</v>
      </c>
      <c r="E2788" t="s">
        <v>14</v>
      </c>
      <c r="F2788" t="s">
        <v>29</v>
      </c>
      <c r="G2788" t="s">
        <v>65</v>
      </c>
      <c r="H2788">
        <v>64</v>
      </c>
      <c r="I2788" s="2">
        <v>134.63999999999999</v>
      </c>
      <c r="J2788" s="2">
        <v>85.68</v>
      </c>
      <c r="K2788" s="2">
        <v>8616.9599999999991</v>
      </c>
      <c r="L2788" s="2">
        <v>5483.52</v>
      </c>
      <c r="M2788" s="2">
        <v>3133.44</v>
      </c>
      <c r="N2788">
        <v>3</v>
      </c>
      <c r="P2788" t="str">
        <f>TRIM(Table1[[#This Row],[country]])</f>
        <v>USA</v>
      </c>
    </row>
    <row r="2789" spans="1:16" x14ac:dyDescent="0.3">
      <c r="A2789" s="1">
        <v>38443</v>
      </c>
      <c r="B2789">
        <v>10400</v>
      </c>
      <c r="C2789">
        <v>450</v>
      </c>
      <c r="D2789" t="s">
        <v>194</v>
      </c>
      <c r="E2789" t="s">
        <v>14</v>
      </c>
      <c r="F2789" t="s">
        <v>83</v>
      </c>
      <c r="G2789" t="s">
        <v>84</v>
      </c>
      <c r="H2789">
        <v>34</v>
      </c>
      <c r="I2789" s="2">
        <v>129.31</v>
      </c>
      <c r="J2789" s="2">
        <v>77.27</v>
      </c>
      <c r="K2789" s="2">
        <v>4396.54</v>
      </c>
      <c r="L2789" s="2">
        <v>2627.18</v>
      </c>
      <c r="M2789" s="2">
        <v>1769.36</v>
      </c>
      <c r="N2789">
        <v>3</v>
      </c>
      <c r="P2789" t="str">
        <f>TRIM(Table1[[#This Row],[country]])</f>
        <v>USA</v>
      </c>
    </row>
    <row r="2790" spans="1:16" x14ac:dyDescent="0.3">
      <c r="A2790" s="1">
        <v>38443</v>
      </c>
      <c r="B2790">
        <v>10400</v>
      </c>
      <c r="C2790">
        <v>450</v>
      </c>
      <c r="D2790" t="s">
        <v>194</v>
      </c>
      <c r="E2790" t="s">
        <v>14</v>
      </c>
      <c r="F2790" t="s">
        <v>71</v>
      </c>
      <c r="G2790" t="s">
        <v>86</v>
      </c>
      <c r="H2790">
        <v>30</v>
      </c>
      <c r="I2790" s="2">
        <v>74.84</v>
      </c>
      <c r="J2790" s="2">
        <v>51.61</v>
      </c>
      <c r="K2790" s="2">
        <v>2245.1999999999998</v>
      </c>
      <c r="L2790" s="2">
        <v>1548.3</v>
      </c>
      <c r="M2790" s="2">
        <v>696.9</v>
      </c>
      <c r="N2790">
        <v>3</v>
      </c>
      <c r="P2790" t="str">
        <f>TRIM(Table1[[#This Row],[country]])</f>
        <v>USA</v>
      </c>
    </row>
    <row r="2791" spans="1:16" x14ac:dyDescent="0.3">
      <c r="A2791" s="1">
        <v>38443</v>
      </c>
      <c r="B2791">
        <v>10400</v>
      </c>
      <c r="C2791">
        <v>450</v>
      </c>
      <c r="D2791" t="s">
        <v>194</v>
      </c>
      <c r="E2791" t="s">
        <v>14</v>
      </c>
      <c r="F2791" t="s">
        <v>15</v>
      </c>
      <c r="G2791" t="s">
        <v>87</v>
      </c>
      <c r="H2791">
        <v>58</v>
      </c>
      <c r="I2791" s="2">
        <v>88.93</v>
      </c>
      <c r="J2791" s="2">
        <v>64.58</v>
      </c>
      <c r="K2791" s="2">
        <v>5157.9399999999996</v>
      </c>
      <c r="L2791" s="2">
        <v>3745.64</v>
      </c>
      <c r="M2791" s="2">
        <v>1412.3</v>
      </c>
      <c r="N2791">
        <v>3</v>
      </c>
      <c r="P2791" t="str">
        <f>TRIM(Table1[[#This Row],[country]])</f>
        <v>USA</v>
      </c>
    </row>
    <row r="2792" spans="1:16" x14ac:dyDescent="0.3">
      <c r="A2792" s="1">
        <v>38443</v>
      </c>
      <c r="B2792">
        <v>10400</v>
      </c>
      <c r="C2792">
        <v>450</v>
      </c>
      <c r="D2792" t="s">
        <v>194</v>
      </c>
      <c r="E2792" t="s">
        <v>14</v>
      </c>
      <c r="F2792" t="s">
        <v>83</v>
      </c>
      <c r="G2792" t="s">
        <v>89</v>
      </c>
      <c r="H2792">
        <v>24</v>
      </c>
      <c r="I2792" s="2">
        <v>55.49</v>
      </c>
      <c r="J2792" s="2">
        <v>34.25</v>
      </c>
      <c r="K2792" s="2">
        <v>1331.76</v>
      </c>
      <c r="L2792" s="2">
        <v>822</v>
      </c>
      <c r="M2792" s="2">
        <v>509.76</v>
      </c>
      <c r="N2792">
        <v>3</v>
      </c>
      <c r="P2792" t="str">
        <f>TRIM(Table1[[#This Row],[country]])</f>
        <v>USA</v>
      </c>
    </row>
    <row r="2793" spans="1:16" x14ac:dyDescent="0.3">
      <c r="A2793" s="1">
        <v>38443</v>
      </c>
      <c r="B2793">
        <v>10400</v>
      </c>
      <c r="C2793">
        <v>450</v>
      </c>
      <c r="D2793" t="s">
        <v>194</v>
      </c>
      <c r="E2793" t="s">
        <v>14</v>
      </c>
      <c r="F2793" t="s">
        <v>15</v>
      </c>
      <c r="G2793" t="s">
        <v>90</v>
      </c>
      <c r="H2793">
        <v>38</v>
      </c>
      <c r="I2793" s="2">
        <v>59.18</v>
      </c>
      <c r="J2793" s="2">
        <v>26.3</v>
      </c>
      <c r="K2793" s="2">
        <v>2248.84</v>
      </c>
      <c r="L2793" s="2">
        <v>999.4</v>
      </c>
      <c r="M2793" s="2">
        <v>1249.44</v>
      </c>
      <c r="N2793">
        <v>3</v>
      </c>
      <c r="P2793" t="str">
        <f>TRIM(Table1[[#This Row],[country]])</f>
        <v>USA</v>
      </c>
    </row>
    <row r="2794" spans="1:16" x14ac:dyDescent="0.3">
      <c r="A2794" s="1">
        <v>38443</v>
      </c>
      <c r="B2794">
        <v>10400</v>
      </c>
      <c r="C2794">
        <v>450</v>
      </c>
      <c r="D2794" t="s">
        <v>194</v>
      </c>
      <c r="E2794" t="s">
        <v>14</v>
      </c>
      <c r="F2794" t="s">
        <v>15</v>
      </c>
      <c r="G2794" t="s">
        <v>74</v>
      </c>
      <c r="H2794">
        <v>42</v>
      </c>
      <c r="I2794" s="2">
        <v>74.64</v>
      </c>
      <c r="J2794" s="2">
        <v>48.64</v>
      </c>
      <c r="K2794" s="2">
        <v>3134.88</v>
      </c>
      <c r="L2794" s="2">
        <v>2042.88</v>
      </c>
      <c r="M2794" s="2">
        <v>1092</v>
      </c>
      <c r="N2794">
        <v>3</v>
      </c>
      <c r="P2794" t="str">
        <f>TRIM(Table1[[#This Row],[country]])</f>
        <v>USA</v>
      </c>
    </row>
    <row r="2795" spans="1:16" x14ac:dyDescent="0.3">
      <c r="A2795" s="1">
        <v>38443</v>
      </c>
      <c r="B2795">
        <v>10400</v>
      </c>
      <c r="C2795">
        <v>450</v>
      </c>
      <c r="D2795" t="s">
        <v>194</v>
      </c>
      <c r="E2795" t="s">
        <v>14</v>
      </c>
      <c r="F2795" t="s">
        <v>71</v>
      </c>
      <c r="G2795" t="s">
        <v>96</v>
      </c>
      <c r="H2795">
        <v>46</v>
      </c>
      <c r="I2795" s="2">
        <v>82.37</v>
      </c>
      <c r="J2795" s="2">
        <v>39.83</v>
      </c>
      <c r="K2795" s="2">
        <v>3789.02</v>
      </c>
      <c r="L2795" s="2">
        <v>1832.18</v>
      </c>
      <c r="M2795" s="2">
        <v>1956.84</v>
      </c>
      <c r="N2795">
        <v>3</v>
      </c>
      <c r="P2795" t="str">
        <f>TRIM(Table1[[#This Row],[country]])</f>
        <v>USA</v>
      </c>
    </row>
    <row r="2796" spans="1:16" x14ac:dyDescent="0.3">
      <c r="A2796" s="1">
        <v>38443</v>
      </c>
      <c r="B2796">
        <v>10400</v>
      </c>
      <c r="C2796">
        <v>450</v>
      </c>
      <c r="D2796" t="s">
        <v>194</v>
      </c>
      <c r="E2796" t="s">
        <v>14</v>
      </c>
      <c r="F2796" t="s">
        <v>83</v>
      </c>
      <c r="G2796" t="s">
        <v>101</v>
      </c>
      <c r="H2796">
        <v>20</v>
      </c>
      <c r="I2796" s="2">
        <v>41.71</v>
      </c>
      <c r="J2796" s="2">
        <v>32.770000000000003</v>
      </c>
      <c r="K2796" s="2">
        <v>834.2</v>
      </c>
      <c r="L2796" s="2">
        <v>655.4</v>
      </c>
      <c r="M2796" s="2">
        <v>178.8</v>
      </c>
      <c r="N2796">
        <v>3</v>
      </c>
      <c r="P2796" t="str">
        <f>TRIM(Table1[[#This Row],[country]])</f>
        <v>USA</v>
      </c>
    </row>
    <row r="2797" spans="1:16" x14ac:dyDescent="0.3">
      <c r="A2797" s="1">
        <v>38443</v>
      </c>
      <c r="B2797">
        <v>10399</v>
      </c>
      <c r="C2797">
        <v>496</v>
      </c>
      <c r="D2797" t="s">
        <v>162</v>
      </c>
      <c r="E2797" t="s">
        <v>159</v>
      </c>
      <c r="F2797" t="s">
        <v>102</v>
      </c>
      <c r="G2797" t="s">
        <v>103</v>
      </c>
      <c r="H2797">
        <v>40</v>
      </c>
      <c r="I2797" s="2">
        <v>77.52</v>
      </c>
      <c r="J2797" s="2">
        <v>48.81</v>
      </c>
      <c r="K2797" s="2">
        <v>3100.8</v>
      </c>
      <c r="L2797" s="2">
        <v>1952.4</v>
      </c>
      <c r="M2797" s="2">
        <v>1148.4000000000001</v>
      </c>
      <c r="N2797">
        <v>4</v>
      </c>
      <c r="P2797" t="str">
        <f>TRIM(Table1[[#This Row],[country]])</f>
        <v>New Zealand</v>
      </c>
    </row>
    <row r="2798" spans="1:16" x14ac:dyDescent="0.3">
      <c r="A2798" s="1">
        <v>38443</v>
      </c>
      <c r="B2798">
        <v>10399</v>
      </c>
      <c r="C2798">
        <v>496</v>
      </c>
      <c r="D2798" t="s">
        <v>162</v>
      </c>
      <c r="E2798" t="s">
        <v>159</v>
      </c>
      <c r="F2798" t="s">
        <v>102</v>
      </c>
      <c r="G2798" t="s">
        <v>104</v>
      </c>
      <c r="H2798">
        <v>51</v>
      </c>
      <c r="I2798" s="2">
        <v>99.91</v>
      </c>
      <c r="J2798" s="2">
        <v>68.989999999999995</v>
      </c>
      <c r="K2798" s="2">
        <v>5095.41</v>
      </c>
      <c r="L2798" s="2">
        <v>3518.49</v>
      </c>
      <c r="M2798" s="2">
        <v>1576.92</v>
      </c>
      <c r="N2798">
        <v>4</v>
      </c>
      <c r="P2798" t="str">
        <f>TRIM(Table1[[#This Row],[country]])</f>
        <v>New Zealand</v>
      </c>
    </row>
    <row r="2799" spans="1:16" x14ac:dyDescent="0.3">
      <c r="A2799" s="1">
        <v>38443</v>
      </c>
      <c r="B2799">
        <v>10399</v>
      </c>
      <c r="C2799">
        <v>496</v>
      </c>
      <c r="D2799" t="s">
        <v>162</v>
      </c>
      <c r="E2799" t="s">
        <v>159</v>
      </c>
      <c r="F2799" t="s">
        <v>102</v>
      </c>
      <c r="G2799" t="s">
        <v>105</v>
      </c>
      <c r="H2799">
        <v>22</v>
      </c>
      <c r="I2799" s="2">
        <v>156.86000000000001</v>
      </c>
      <c r="J2799" s="2">
        <v>91.02</v>
      </c>
      <c r="K2799" s="2">
        <v>3450.92</v>
      </c>
      <c r="L2799" s="2">
        <v>2002.44</v>
      </c>
      <c r="M2799" s="2">
        <v>1448.48</v>
      </c>
      <c r="N2799">
        <v>4</v>
      </c>
      <c r="P2799" t="str">
        <f>TRIM(Table1[[#This Row],[country]])</f>
        <v>New Zealand</v>
      </c>
    </row>
    <row r="2800" spans="1:16" x14ac:dyDescent="0.3">
      <c r="A2800" s="1">
        <v>38443</v>
      </c>
      <c r="B2800">
        <v>10399</v>
      </c>
      <c r="C2800">
        <v>496</v>
      </c>
      <c r="D2800" t="s">
        <v>162</v>
      </c>
      <c r="E2800" t="s">
        <v>159</v>
      </c>
      <c r="F2800" t="s">
        <v>102</v>
      </c>
      <c r="G2800" t="s">
        <v>106</v>
      </c>
      <c r="H2800">
        <v>29</v>
      </c>
      <c r="I2800" s="2">
        <v>123.51</v>
      </c>
      <c r="J2800" s="2">
        <v>66.27</v>
      </c>
      <c r="K2800" s="2">
        <v>3581.79</v>
      </c>
      <c r="L2800" s="2">
        <v>1921.83</v>
      </c>
      <c r="M2800" s="2">
        <v>1659.96</v>
      </c>
      <c r="N2800">
        <v>4</v>
      </c>
      <c r="P2800" t="str">
        <f>TRIM(Table1[[#This Row],[country]])</f>
        <v>New Zealand</v>
      </c>
    </row>
    <row r="2801" spans="1:16" x14ac:dyDescent="0.3">
      <c r="A2801" s="1">
        <v>38443</v>
      </c>
      <c r="B2801">
        <v>10399</v>
      </c>
      <c r="C2801">
        <v>496</v>
      </c>
      <c r="D2801" t="s">
        <v>162</v>
      </c>
      <c r="E2801" t="s">
        <v>159</v>
      </c>
      <c r="F2801" t="s">
        <v>102</v>
      </c>
      <c r="G2801" t="s">
        <v>107</v>
      </c>
      <c r="H2801">
        <v>30</v>
      </c>
      <c r="I2801" s="2">
        <v>51.48</v>
      </c>
      <c r="J2801" s="2">
        <v>24.23</v>
      </c>
      <c r="K2801" s="2">
        <v>1544.4</v>
      </c>
      <c r="L2801" s="2">
        <v>726.9</v>
      </c>
      <c r="M2801" s="2">
        <v>817.5</v>
      </c>
      <c r="N2801">
        <v>4</v>
      </c>
      <c r="P2801" t="str">
        <f>TRIM(Table1[[#This Row],[country]])</f>
        <v>New Zealand</v>
      </c>
    </row>
    <row r="2802" spans="1:16" x14ac:dyDescent="0.3">
      <c r="A2802" s="1">
        <v>38443</v>
      </c>
      <c r="B2802">
        <v>10399</v>
      </c>
      <c r="C2802">
        <v>496</v>
      </c>
      <c r="D2802" t="s">
        <v>162</v>
      </c>
      <c r="E2802" t="s">
        <v>159</v>
      </c>
      <c r="F2802" t="s">
        <v>102</v>
      </c>
      <c r="G2802" t="s">
        <v>108</v>
      </c>
      <c r="H2802">
        <v>57</v>
      </c>
      <c r="I2802" s="2">
        <v>104.81</v>
      </c>
      <c r="J2802" s="2">
        <v>60.86</v>
      </c>
      <c r="K2802" s="2">
        <v>5974.17</v>
      </c>
      <c r="L2802" s="2">
        <v>3469.02</v>
      </c>
      <c r="M2802" s="2">
        <v>2505.15</v>
      </c>
      <c r="N2802">
        <v>4</v>
      </c>
      <c r="P2802" t="str">
        <f>TRIM(Table1[[#This Row],[country]])</f>
        <v>New Zealand</v>
      </c>
    </row>
    <row r="2803" spans="1:16" x14ac:dyDescent="0.3">
      <c r="A2803" s="1">
        <v>38443</v>
      </c>
      <c r="B2803">
        <v>10399</v>
      </c>
      <c r="C2803">
        <v>496</v>
      </c>
      <c r="D2803" t="s">
        <v>162</v>
      </c>
      <c r="E2803" t="s">
        <v>159</v>
      </c>
      <c r="F2803" t="s">
        <v>102</v>
      </c>
      <c r="G2803" t="s">
        <v>109</v>
      </c>
      <c r="H2803">
        <v>58</v>
      </c>
      <c r="I2803" s="2">
        <v>75.41</v>
      </c>
      <c r="J2803" s="2">
        <v>37.32</v>
      </c>
      <c r="K2803" s="2">
        <v>4373.78</v>
      </c>
      <c r="L2803" s="2">
        <v>2164.56</v>
      </c>
      <c r="M2803" s="2">
        <v>2209.2199999999998</v>
      </c>
      <c r="N2803">
        <v>4</v>
      </c>
      <c r="P2803" t="str">
        <f>TRIM(Table1[[#This Row],[country]])</f>
        <v>New Zealand</v>
      </c>
    </row>
    <row r="2804" spans="1:16" x14ac:dyDescent="0.3">
      <c r="A2804" s="1">
        <v>38443</v>
      </c>
      <c r="B2804">
        <v>10399</v>
      </c>
      <c r="C2804">
        <v>496</v>
      </c>
      <c r="D2804" t="s">
        <v>162</v>
      </c>
      <c r="E2804" t="s">
        <v>159</v>
      </c>
      <c r="F2804" t="s">
        <v>102</v>
      </c>
      <c r="G2804" t="s">
        <v>110</v>
      </c>
      <c r="H2804">
        <v>32</v>
      </c>
      <c r="I2804" s="2">
        <v>97.89</v>
      </c>
      <c r="J2804" s="2">
        <v>66.92</v>
      </c>
      <c r="K2804" s="2">
        <v>3132.48</v>
      </c>
      <c r="L2804" s="2">
        <v>2141.44</v>
      </c>
      <c r="M2804" s="2">
        <v>991.04</v>
      </c>
      <c r="N2804">
        <v>4</v>
      </c>
      <c r="P2804" t="str">
        <f>TRIM(Table1[[#This Row],[country]])</f>
        <v>New Zealand</v>
      </c>
    </row>
    <row r="2805" spans="1:16" x14ac:dyDescent="0.3">
      <c r="A2805" s="1">
        <v>38445</v>
      </c>
      <c r="B2805">
        <v>10401</v>
      </c>
      <c r="C2805">
        <v>328</v>
      </c>
      <c r="D2805" t="s">
        <v>241</v>
      </c>
      <c r="E2805" t="s">
        <v>14</v>
      </c>
      <c r="F2805" t="s">
        <v>83</v>
      </c>
      <c r="G2805" t="s">
        <v>85</v>
      </c>
      <c r="H2805">
        <v>42</v>
      </c>
      <c r="I2805" s="2">
        <v>75.19</v>
      </c>
      <c r="J2805" s="2">
        <v>49</v>
      </c>
      <c r="K2805" s="2">
        <v>3157.98</v>
      </c>
      <c r="L2805" s="2">
        <v>2058</v>
      </c>
      <c r="M2805" s="2">
        <v>1099.98</v>
      </c>
      <c r="N2805">
        <v>3</v>
      </c>
      <c r="P2805" t="str">
        <f>TRIM(Table1[[#This Row],[country]])</f>
        <v>USA</v>
      </c>
    </row>
    <row r="2806" spans="1:16" x14ac:dyDescent="0.3">
      <c r="A2806" s="1">
        <v>38445</v>
      </c>
      <c r="B2806">
        <v>10401</v>
      </c>
      <c r="C2806">
        <v>328</v>
      </c>
      <c r="D2806" t="s">
        <v>241</v>
      </c>
      <c r="E2806" t="s">
        <v>14</v>
      </c>
      <c r="F2806" t="s">
        <v>83</v>
      </c>
      <c r="G2806" t="s">
        <v>88</v>
      </c>
      <c r="H2806">
        <v>38</v>
      </c>
      <c r="I2806" s="2">
        <v>87.54</v>
      </c>
      <c r="J2806" s="2">
        <v>66.739999999999995</v>
      </c>
      <c r="K2806" s="2">
        <v>3326.52</v>
      </c>
      <c r="L2806" s="2">
        <v>2536.12</v>
      </c>
      <c r="M2806" s="2">
        <v>790.4</v>
      </c>
      <c r="N2806">
        <v>3</v>
      </c>
      <c r="P2806" t="str">
        <f>TRIM(Table1[[#This Row],[country]])</f>
        <v>USA</v>
      </c>
    </row>
    <row r="2807" spans="1:16" x14ac:dyDescent="0.3">
      <c r="A2807" s="1">
        <v>38445</v>
      </c>
      <c r="B2807">
        <v>10401</v>
      </c>
      <c r="C2807">
        <v>328</v>
      </c>
      <c r="D2807" t="s">
        <v>241</v>
      </c>
      <c r="E2807" t="s">
        <v>14</v>
      </c>
      <c r="F2807" t="s">
        <v>83</v>
      </c>
      <c r="G2807" t="s">
        <v>91</v>
      </c>
      <c r="H2807">
        <v>64</v>
      </c>
      <c r="I2807" s="2">
        <v>59.37</v>
      </c>
      <c r="J2807" s="2">
        <v>29.34</v>
      </c>
      <c r="K2807" s="2">
        <v>3799.68</v>
      </c>
      <c r="L2807" s="2">
        <v>1877.76</v>
      </c>
      <c r="M2807" s="2">
        <v>1921.92</v>
      </c>
      <c r="N2807">
        <v>3</v>
      </c>
      <c r="P2807" t="str">
        <f>TRIM(Table1[[#This Row],[country]])</f>
        <v>USA</v>
      </c>
    </row>
    <row r="2808" spans="1:16" x14ac:dyDescent="0.3">
      <c r="A2808" s="1">
        <v>38445</v>
      </c>
      <c r="B2808">
        <v>10401</v>
      </c>
      <c r="C2808">
        <v>328</v>
      </c>
      <c r="D2808" t="s">
        <v>241</v>
      </c>
      <c r="E2808" t="s">
        <v>14</v>
      </c>
      <c r="F2808" t="s">
        <v>83</v>
      </c>
      <c r="G2808" t="s">
        <v>92</v>
      </c>
      <c r="H2808">
        <v>52</v>
      </c>
      <c r="I2808" s="2">
        <v>65.930000000000007</v>
      </c>
      <c r="J2808" s="2">
        <v>36.229999999999997</v>
      </c>
      <c r="K2808" s="2">
        <v>3428.36</v>
      </c>
      <c r="L2808" s="2">
        <v>1883.96</v>
      </c>
      <c r="M2808" s="2">
        <v>1544.4</v>
      </c>
      <c r="N2808">
        <v>3</v>
      </c>
      <c r="P2808" t="str">
        <f>TRIM(Table1[[#This Row],[country]])</f>
        <v>USA</v>
      </c>
    </row>
    <row r="2809" spans="1:16" x14ac:dyDescent="0.3">
      <c r="A2809" s="1">
        <v>38445</v>
      </c>
      <c r="B2809">
        <v>10401</v>
      </c>
      <c r="C2809">
        <v>328</v>
      </c>
      <c r="D2809" t="s">
        <v>241</v>
      </c>
      <c r="E2809" t="s">
        <v>14</v>
      </c>
      <c r="F2809" t="s">
        <v>102</v>
      </c>
      <c r="G2809" t="s">
        <v>110</v>
      </c>
      <c r="H2809">
        <v>49</v>
      </c>
      <c r="I2809" s="2">
        <v>81.91</v>
      </c>
      <c r="J2809" s="2">
        <v>66.92</v>
      </c>
      <c r="K2809" s="2">
        <v>4013.59</v>
      </c>
      <c r="L2809" s="2">
        <v>3279.08</v>
      </c>
      <c r="M2809" s="2">
        <v>734.51</v>
      </c>
      <c r="N2809">
        <v>3</v>
      </c>
      <c r="P2809" t="str">
        <f>TRIM(Table1[[#This Row],[country]])</f>
        <v>USA</v>
      </c>
    </row>
    <row r="2810" spans="1:16" x14ac:dyDescent="0.3">
      <c r="A2810" s="1">
        <v>38445</v>
      </c>
      <c r="B2810">
        <v>10401</v>
      </c>
      <c r="C2810">
        <v>328</v>
      </c>
      <c r="D2810" t="s">
        <v>241</v>
      </c>
      <c r="E2810" t="s">
        <v>14</v>
      </c>
      <c r="F2810" t="s">
        <v>15</v>
      </c>
      <c r="G2810" t="s">
        <v>93</v>
      </c>
      <c r="H2810">
        <v>62</v>
      </c>
      <c r="I2810" s="2">
        <v>62.6</v>
      </c>
      <c r="J2810" s="2">
        <v>33.020000000000003</v>
      </c>
      <c r="K2810" s="2">
        <v>3881.2</v>
      </c>
      <c r="L2810" s="2">
        <v>2047.24</v>
      </c>
      <c r="M2810" s="2">
        <v>1833.96</v>
      </c>
      <c r="N2810">
        <v>3</v>
      </c>
      <c r="P2810" t="str">
        <f>TRIM(Table1[[#This Row],[country]])</f>
        <v>USA</v>
      </c>
    </row>
    <row r="2811" spans="1:16" x14ac:dyDescent="0.3">
      <c r="A2811" s="1">
        <v>38445</v>
      </c>
      <c r="B2811">
        <v>10401</v>
      </c>
      <c r="C2811">
        <v>328</v>
      </c>
      <c r="D2811" t="s">
        <v>241</v>
      </c>
      <c r="E2811" t="s">
        <v>14</v>
      </c>
      <c r="F2811" t="s">
        <v>15</v>
      </c>
      <c r="G2811" t="s">
        <v>94</v>
      </c>
      <c r="H2811">
        <v>56</v>
      </c>
      <c r="I2811" s="2">
        <v>41.46</v>
      </c>
      <c r="J2811" s="2">
        <v>27.06</v>
      </c>
      <c r="K2811" s="2">
        <v>2321.7600000000002</v>
      </c>
      <c r="L2811" s="2">
        <v>1515.36</v>
      </c>
      <c r="M2811" s="2">
        <v>806.4</v>
      </c>
      <c r="N2811">
        <v>3</v>
      </c>
      <c r="P2811" t="str">
        <f>TRIM(Table1[[#This Row],[country]])</f>
        <v>USA</v>
      </c>
    </row>
    <row r="2812" spans="1:16" x14ac:dyDescent="0.3">
      <c r="A2812" s="1">
        <v>38445</v>
      </c>
      <c r="B2812">
        <v>10401</v>
      </c>
      <c r="C2812">
        <v>328</v>
      </c>
      <c r="D2812" t="s">
        <v>241</v>
      </c>
      <c r="E2812" t="s">
        <v>14</v>
      </c>
      <c r="F2812" t="s">
        <v>83</v>
      </c>
      <c r="G2812" t="s">
        <v>95</v>
      </c>
      <c r="H2812">
        <v>11</v>
      </c>
      <c r="I2812" s="2">
        <v>77.64</v>
      </c>
      <c r="J2812" s="2">
        <v>51.15</v>
      </c>
      <c r="K2812" s="2">
        <v>854.04</v>
      </c>
      <c r="L2812" s="2">
        <v>562.65</v>
      </c>
      <c r="M2812" s="2">
        <v>291.39</v>
      </c>
      <c r="N2812">
        <v>3</v>
      </c>
      <c r="P2812" t="str">
        <f>TRIM(Table1[[#This Row],[country]])</f>
        <v>USA</v>
      </c>
    </row>
    <row r="2813" spans="1:16" x14ac:dyDescent="0.3">
      <c r="A2813" s="1">
        <v>38445</v>
      </c>
      <c r="B2813">
        <v>10401</v>
      </c>
      <c r="C2813">
        <v>328</v>
      </c>
      <c r="D2813" t="s">
        <v>241</v>
      </c>
      <c r="E2813" t="s">
        <v>14</v>
      </c>
      <c r="F2813" t="s">
        <v>83</v>
      </c>
      <c r="G2813" t="s">
        <v>97</v>
      </c>
      <c r="H2813">
        <v>85</v>
      </c>
      <c r="I2813" s="2">
        <v>98.72</v>
      </c>
      <c r="J2813" s="2">
        <v>68.8</v>
      </c>
      <c r="K2813" s="2">
        <v>8391.2000000000007</v>
      </c>
      <c r="L2813" s="2">
        <v>5848</v>
      </c>
      <c r="M2813" s="2">
        <v>2543.1999999999998</v>
      </c>
      <c r="N2813">
        <v>3</v>
      </c>
      <c r="P2813" t="str">
        <f>TRIM(Table1[[#This Row],[country]])</f>
        <v>USA</v>
      </c>
    </row>
    <row r="2814" spans="1:16" x14ac:dyDescent="0.3">
      <c r="A2814" s="1">
        <v>38445</v>
      </c>
      <c r="B2814">
        <v>10401</v>
      </c>
      <c r="C2814">
        <v>328</v>
      </c>
      <c r="D2814" t="s">
        <v>241</v>
      </c>
      <c r="E2814" t="s">
        <v>14</v>
      </c>
      <c r="F2814" t="s">
        <v>83</v>
      </c>
      <c r="G2814" t="s">
        <v>98</v>
      </c>
      <c r="H2814">
        <v>21</v>
      </c>
      <c r="I2814" s="2">
        <v>96.11</v>
      </c>
      <c r="J2814" s="2">
        <v>59.33</v>
      </c>
      <c r="K2814" s="2">
        <v>2018.31</v>
      </c>
      <c r="L2814" s="2">
        <v>1245.93</v>
      </c>
      <c r="M2814" s="2">
        <v>772.38</v>
      </c>
      <c r="N2814">
        <v>3</v>
      </c>
      <c r="P2814" t="str">
        <f>TRIM(Table1[[#This Row],[country]])</f>
        <v>USA</v>
      </c>
    </row>
    <row r="2815" spans="1:16" x14ac:dyDescent="0.3">
      <c r="A2815" s="1">
        <v>38445</v>
      </c>
      <c r="B2815">
        <v>10401</v>
      </c>
      <c r="C2815">
        <v>328</v>
      </c>
      <c r="D2815" t="s">
        <v>241</v>
      </c>
      <c r="E2815" t="s">
        <v>14</v>
      </c>
      <c r="F2815" t="s">
        <v>83</v>
      </c>
      <c r="G2815" t="s">
        <v>99</v>
      </c>
      <c r="H2815">
        <v>77</v>
      </c>
      <c r="I2815" s="2">
        <v>73.599999999999994</v>
      </c>
      <c r="J2815" s="2">
        <v>54.4</v>
      </c>
      <c r="K2815" s="2">
        <v>5667.2</v>
      </c>
      <c r="L2815" s="2">
        <v>4188.8</v>
      </c>
      <c r="M2815" s="2">
        <v>1478.4</v>
      </c>
      <c r="N2815">
        <v>3</v>
      </c>
      <c r="P2815" t="str">
        <f>TRIM(Table1[[#This Row],[country]])</f>
        <v>USA</v>
      </c>
    </row>
    <row r="2816" spans="1:16" x14ac:dyDescent="0.3">
      <c r="A2816" s="1">
        <v>38445</v>
      </c>
      <c r="B2816">
        <v>10401</v>
      </c>
      <c r="C2816">
        <v>328</v>
      </c>
      <c r="D2816" t="s">
        <v>241</v>
      </c>
      <c r="E2816" t="s">
        <v>14</v>
      </c>
      <c r="F2816" t="s">
        <v>83</v>
      </c>
      <c r="G2816" t="s">
        <v>100</v>
      </c>
      <c r="H2816">
        <v>40</v>
      </c>
      <c r="I2816" s="2">
        <v>66.63</v>
      </c>
      <c r="J2816" s="2">
        <v>36.270000000000003</v>
      </c>
      <c r="K2816" s="2">
        <v>2665.2</v>
      </c>
      <c r="L2816" s="2">
        <v>1450.8</v>
      </c>
      <c r="M2816" s="2">
        <v>1214.4000000000001</v>
      </c>
      <c r="N2816">
        <v>3</v>
      </c>
      <c r="P2816" t="str">
        <f>TRIM(Table1[[#This Row],[country]])</f>
        <v>USA</v>
      </c>
    </row>
    <row r="2817" spans="1:16" x14ac:dyDescent="0.3">
      <c r="A2817" s="1">
        <v>38449</v>
      </c>
      <c r="B2817">
        <v>10402</v>
      </c>
      <c r="C2817">
        <v>406</v>
      </c>
      <c r="D2817" t="s">
        <v>186</v>
      </c>
      <c r="E2817" t="s">
        <v>144</v>
      </c>
      <c r="F2817" t="s">
        <v>102</v>
      </c>
      <c r="G2817" t="s">
        <v>104</v>
      </c>
      <c r="H2817">
        <v>45</v>
      </c>
      <c r="I2817" s="2">
        <v>118.94</v>
      </c>
      <c r="J2817" s="2">
        <v>68.989999999999995</v>
      </c>
      <c r="K2817" s="2">
        <v>5352.3</v>
      </c>
      <c r="L2817" s="2">
        <v>3104.55</v>
      </c>
      <c r="M2817" s="2">
        <v>2247.75</v>
      </c>
      <c r="N2817">
        <v>3</v>
      </c>
      <c r="P2817" t="str">
        <f>TRIM(Table1[[#This Row],[country]])</f>
        <v>France</v>
      </c>
    </row>
    <row r="2818" spans="1:16" x14ac:dyDescent="0.3">
      <c r="A2818" s="1">
        <v>38449</v>
      </c>
      <c r="B2818">
        <v>10402</v>
      </c>
      <c r="C2818">
        <v>406</v>
      </c>
      <c r="D2818" t="s">
        <v>186</v>
      </c>
      <c r="E2818" t="s">
        <v>144</v>
      </c>
      <c r="F2818" t="s">
        <v>102</v>
      </c>
      <c r="G2818" t="s">
        <v>107</v>
      </c>
      <c r="H2818">
        <v>55</v>
      </c>
      <c r="I2818" s="2">
        <v>58.15</v>
      </c>
      <c r="J2818" s="2">
        <v>24.23</v>
      </c>
      <c r="K2818" s="2">
        <v>3198.25</v>
      </c>
      <c r="L2818" s="2">
        <v>1332.65</v>
      </c>
      <c r="M2818" s="2">
        <v>1865.6</v>
      </c>
      <c r="N2818">
        <v>3</v>
      </c>
      <c r="P2818" t="str">
        <f>TRIM(Table1[[#This Row],[country]])</f>
        <v>France</v>
      </c>
    </row>
    <row r="2819" spans="1:16" x14ac:dyDescent="0.3">
      <c r="A2819" s="1">
        <v>38449</v>
      </c>
      <c r="B2819">
        <v>10402</v>
      </c>
      <c r="C2819">
        <v>406</v>
      </c>
      <c r="D2819" t="s">
        <v>186</v>
      </c>
      <c r="E2819" t="s">
        <v>144</v>
      </c>
      <c r="F2819" t="s">
        <v>102</v>
      </c>
      <c r="G2819" t="s">
        <v>109</v>
      </c>
      <c r="H2819">
        <v>59</v>
      </c>
      <c r="I2819" s="2">
        <v>61.7</v>
      </c>
      <c r="J2819" s="2">
        <v>37.32</v>
      </c>
      <c r="K2819" s="2">
        <v>3640.3</v>
      </c>
      <c r="L2819" s="2">
        <v>2201.88</v>
      </c>
      <c r="M2819" s="2">
        <v>1438.42</v>
      </c>
      <c r="N2819">
        <v>3</v>
      </c>
      <c r="P2819" t="str">
        <f>TRIM(Table1[[#This Row],[country]])</f>
        <v>France</v>
      </c>
    </row>
    <row r="2820" spans="1:16" x14ac:dyDescent="0.3">
      <c r="A2820" s="1">
        <v>38450</v>
      </c>
      <c r="B2820">
        <v>10404</v>
      </c>
      <c r="C2820">
        <v>323</v>
      </c>
      <c r="D2820" t="s">
        <v>158</v>
      </c>
      <c r="E2820" t="s">
        <v>159</v>
      </c>
      <c r="F2820" t="s">
        <v>29</v>
      </c>
      <c r="G2820" t="s">
        <v>112</v>
      </c>
      <c r="H2820">
        <v>64</v>
      </c>
      <c r="I2820" s="2">
        <v>163.44</v>
      </c>
      <c r="J2820" s="2">
        <v>95.34</v>
      </c>
      <c r="K2820" s="2">
        <v>10460.16</v>
      </c>
      <c r="L2820" s="2">
        <v>6101.76</v>
      </c>
      <c r="M2820" s="2">
        <v>4358.3999999999996</v>
      </c>
      <c r="N2820">
        <v>5</v>
      </c>
      <c r="P2820" t="str">
        <f>TRIM(Table1[[#This Row],[country]])</f>
        <v>New Zealand</v>
      </c>
    </row>
    <row r="2821" spans="1:16" x14ac:dyDescent="0.3">
      <c r="A2821" s="1">
        <v>38450</v>
      </c>
      <c r="B2821">
        <v>10404</v>
      </c>
      <c r="C2821">
        <v>323</v>
      </c>
      <c r="D2821" t="s">
        <v>158</v>
      </c>
      <c r="E2821" t="s">
        <v>159</v>
      </c>
      <c r="F2821" t="s">
        <v>29</v>
      </c>
      <c r="G2821" t="s">
        <v>113</v>
      </c>
      <c r="H2821">
        <v>43</v>
      </c>
      <c r="I2821" s="2">
        <v>102.17</v>
      </c>
      <c r="J2821" s="2">
        <v>75.16</v>
      </c>
      <c r="K2821" s="2">
        <v>4393.3100000000004</v>
      </c>
      <c r="L2821" s="2">
        <v>3231.88</v>
      </c>
      <c r="M2821" s="2">
        <v>1161.43</v>
      </c>
      <c r="N2821">
        <v>5</v>
      </c>
      <c r="P2821" t="str">
        <f>TRIM(Table1[[#This Row],[country]])</f>
        <v>New Zealand</v>
      </c>
    </row>
    <row r="2822" spans="1:16" x14ac:dyDescent="0.3">
      <c r="A2822" s="1">
        <v>38450</v>
      </c>
      <c r="B2822">
        <v>10404</v>
      </c>
      <c r="C2822">
        <v>323</v>
      </c>
      <c r="D2822" t="s">
        <v>158</v>
      </c>
      <c r="E2822" t="s">
        <v>159</v>
      </c>
      <c r="F2822" t="s">
        <v>29</v>
      </c>
      <c r="G2822" t="s">
        <v>114</v>
      </c>
      <c r="H2822">
        <v>77</v>
      </c>
      <c r="I2822" s="2">
        <v>67.03</v>
      </c>
      <c r="J2822" s="2">
        <v>31.92</v>
      </c>
      <c r="K2822" s="2">
        <v>5161.3100000000004</v>
      </c>
      <c r="L2822" s="2">
        <v>2457.84</v>
      </c>
      <c r="M2822" s="2">
        <v>2703.47</v>
      </c>
      <c r="N2822">
        <v>5</v>
      </c>
      <c r="P2822" t="str">
        <f>TRIM(Table1[[#This Row],[country]])</f>
        <v>New Zealand</v>
      </c>
    </row>
    <row r="2823" spans="1:16" x14ac:dyDescent="0.3">
      <c r="A2823" s="1">
        <v>38450</v>
      </c>
      <c r="B2823">
        <v>10404</v>
      </c>
      <c r="C2823">
        <v>323</v>
      </c>
      <c r="D2823" t="s">
        <v>158</v>
      </c>
      <c r="E2823" t="s">
        <v>159</v>
      </c>
      <c r="F2823" t="s">
        <v>29</v>
      </c>
      <c r="G2823" t="s">
        <v>117</v>
      </c>
      <c r="H2823">
        <v>90</v>
      </c>
      <c r="I2823" s="2">
        <v>67.540000000000006</v>
      </c>
      <c r="J2823" s="2">
        <v>49.05</v>
      </c>
      <c r="K2823" s="2">
        <v>6078.6</v>
      </c>
      <c r="L2823" s="2">
        <v>4414.5</v>
      </c>
      <c r="M2823" s="2">
        <v>1664.1</v>
      </c>
      <c r="N2823">
        <v>5</v>
      </c>
      <c r="P2823" t="str">
        <f>TRIM(Table1[[#This Row],[country]])</f>
        <v>New Zealand</v>
      </c>
    </row>
    <row r="2824" spans="1:16" x14ac:dyDescent="0.3">
      <c r="A2824" s="1">
        <v>38450</v>
      </c>
      <c r="B2824">
        <v>10404</v>
      </c>
      <c r="C2824">
        <v>323</v>
      </c>
      <c r="D2824" t="s">
        <v>158</v>
      </c>
      <c r="E2824" t="s">
        <v>159</v>
      </c>
      <c r="F2824" t="s">
        <v>29</v>
      </c>
      <c r="G2824" t="s">
        <v>118</v>
      </c>
      <c r="H2824">
        <v>28</v>
      </c>
      <c r="I2824" s="2">
        <v>127.88</v>
      </c>
      <c r="J2824" s="2">
        <v>73.489999999999995</v>
      </c>
      <c r="K2824" s="2">
        <v>3580.64</v>
      </c>
      <c r="L2824" s="2">
        <v>2057.7199999999998</v>
      </c>
      <c r="M2824" s="2">
        <v>1522.92</v>
      </c>
      <c r="N2824">
        <v>5</v>
      </c>
      <c r="P2824" t="str">
        <f>TRIM(Table1[[#This Row],[country]])</f>
        <v>New Zealand</v>
      </c>
    </row>
    <row r="2825" spans="1:16" x14ac:dyDescent="0.3">
      <c r="A2825" s="1">
        <v>38450</v>
      </c>
      <c r="B2825">
        <v>10404</v>
      </c>
      <c r="C2825">
        <v>323</v>
      </c>
      <c r="D2825" t="s">
        <v>158</v>
      </c>
      <c r="E2825" t="s">
        <v>159</v>
      </c>
      <c r="F2825" t="s">
        <v>29</v>
      </c>
      <c r="G2825" t="s">
        <v>120</v>
      </c>
      <c r="H2825">
        <v>48</v>
      </c>
      <c r="I2825" s="2">
        <v>124.99</v>
      </c>
      <c r="J2825" s="2">
        <v>69.930000000000007</v>
      </c>
      <c r="K2825" s="2">
        <v>5999.52</v>
      </c>
      <c r="L2825" s="2">
        <v>3356.64</v>
      </c>
      <c r="M2825" s="2">
        <v>2642.88</v>
      </c>
      <c r="N2825">
        <v>5</v>
      </c>
      <c r="P2825" t="str">
        <f>TRIM(Table1[[#This Row],[country]])</f>
        <v>New Zealand</v>
      </c>
    </row>
    <row r="2826" spans="1:16" x14ac:dyDescent="0.3">
      <c r="A2826" s="1">
        <v>38450</v>
      </c>
      <c r="B2826">
        <v>10404</v>
      </c>
      <c r="C2826">
        <v>323</v>
      </c>
      <c r="D2826" t="s">
        <v>158</v>
      </c>
      <c r="E2826" t="s">
        <v>159</v>
      </c>
      <c r="F2826" t="s">
        <v>29</v>
      </c>
      <c r="G2826" t="s">
        <v>122</v>
      </c>
      <c r="H2826">
        <v>49</v>
      </c>
      <c r="I2826" s="2">
        <v>53.27</v>
      </c>
      <c r="J2826" s="2">
        <v>38.58</v>
      </c>
      <c r="K2826" s="2">
        <v>2610.23</v>
      </c>
      <c r="L2826" s="2">
        <v>1890.42</v>
      </c>
      <c r="M2826" s="2">
        <v>719.81</v>
      </c>
      <c r="N2826">
        <v>5</v>
      </c>
      <c r="P2826" t="str">
        <f>TRIM(Table1[[#This Row],[country]])</f>
        <v>New Zealand</v>
      </c>
    </row>
    <row r="2827" spans="1:16" x14ac:dyDescent="0.3">
      <c r="A2827" s="1">
        <v>38450</v>
      </c>
      <c r="B2827">
        <v>10404</v>
      </c>
      <c r="C2827">
        <v>323</v>
      </c>
      <c r="D2827" t="s">
        <v>158</v>
      </c>
      <c r="E2827" t="s">
        <v>159</v>
      </c>
      <c r="F2827" t="s">
        <v>29</v>
      </c>
      <c r="G2827" t="s">
        <v>124</v>
      </c>
      <c r="H2827">
        <v>48</v>
      </c>
      <c r="I2827" s="2">
        <v>65.48</v>
      </c>
      <c r="J2827" s="2">
        <v>32.33</v>
      </c>
      <c r="K2827" s="2">
        <v>3143.04</v>
      </c>
      <c r="L2827" s="2">
        <v>1551.84</v>
      </c>
      <c r="M2827" s="2">
        <v>1591.2</v>
      </c>
      <c r="N2827">
        <v>5</v>
      </c>
      <c r="P2827" t="str">
        <f>TRIM(Table1[[#This Row],[country]])</f>
        <v>New Zealand</v>
      </c>
    </row>
    <row r="2828" spans="1:16" x14ac:dyDescent="0.3">
      <c r="A2828" s="1">
        <v>38450</v>
      </c>
      <c r="B2828">
        <v>10403</v>
      </c>
      <c r="C2828">
        <v>201</v>
      </c>
      <c r="D2828" t="s">
        <v>224</v>
      </c>
      <c r="E2828" t="s">
        <v>133</v>
      </c>
      <c r="F2828" t="s">
        <v>102</v>
      </c>
      <c r="G2828" t="s">
        <v>103</v>
      </c>
      <c r="H2828">
        <v>24</v>
      </c>
      <c r="I2828" s="2">
        <v>85.17</v>
      </c>
      <c r="J2828" s="2">
        <v>48.81</v>
      </c>
      <c r="K2828" s="2">
        <v>2044.08</v>
      </c>
      <c r="L2828" s="2">
        <v>1171.44</v>
      </c>
      <c r="M2828" s="2">
        <v>872.64</v>
      </c>
      <c r="N2828">
        <v>3</v>
      </c>
      <c r="P2828" t="str">
        <f>TRIM(Table1[[#This Row],[country]])</f>
        <v>UK</v>
      </c>
    </row>
    <row r="2829" spans="1:16" x14ac:dyDescent="0.3">
      <c r="A2829" s="1">
        <v>38450</v>
      </c>
      <c r="B2829">
        <v>10403</v>
      </c>
      <c r="C2829">
        <v>201</v>
      </c>
      <c r="D2829" t="s">
        <v>224</v>
      </c>
      <c r="E2829" t="s">
        <v>133</v>
      </c>
      <c r="F2829" t="s">
        <v>102</v>
      </c>
      <c r="G2829" t="s">
        <v>105</v>
      </c>
      <c r="H2829">
        <v>66</v>
      </c>
      <c r="I2829" s="2">
        <v>174.29</v>
      </c>
      <c r="J2829" s="2">
        <v>91.02</v>
      </c>
      <c r="K2829" s="2">
        <v>11503.14</v>
      </c>
      <c r="L2829" s="2">
        <v>6007.32</v>
      </c>
      <c r="M2829" s="2">
        <v>5495.82</v>
      </c>
      <c r="N2829">
        <v>3</v>
      </c>
      <c r="P2829" t="str">
        <f>TRIM(Table1[[#This Row],[country]])</f>
        <v>UK</v>
      </c>
    </row>
    <row r="2830" spans="1:16" x14ac:dyDescent="0.3">
      <c r="A2830" s="1">
        <v>38450</v>
      </c>
      <c r="B2830">
        <v>10403</v>
      </c>
      <c r="C2830">
        <v>201</v>
      </c>
      <c r="D2830" t="s">
        <v>224</v>
      </c>
      <c r="E2830" t="s">
        <v>133</v>
      </c>
      <c r="F2830" t="s">
        <v>102</v>
      </c>
      <c r="G2830" t="s">
        <v>106</v>
      </c>
      <c r="H2830">
        <v>66</v>
      </c>
      <c r="I2830" s="2">
        <v>122</v>
      </c>
      <c r="J2830" s="2">
        <v>66.27</v>
      </c>
      <c r="K2830" s="2">
        <v>8052</v>
      </c>
      <c r="L2830" s="2">
        <v>4373.82</v>
      </c>
      <c r="M2830" s="2">
        <v>3678.18</v>
      </c>
      <c r="N2830">
        <v>3</v>
      </c>
      <c r="P2830" t="str">
        <f>TRIM(Table1[[#This Row],[country]])</f>
        <v>UK</v>
      </c>
    </row>
    <row r="2831" spans="1:16" x14ac:dyDescent="0.3">
      <c r="A2831" s="1">
        <v>38450</v>
      </c>
      <c r="B2831">
        <v>10403</v>
      </c>
      <c r="C2831">
        <v>201</v>
      </c>
      <c r="D2831" t="s">
        <v>224</v>
      </c>
      <c r="E2831" t="s">
        <v>133</v>
      </c>
      <c r="F2831" t="s">
        <v>102</v>
      </c>
      <c r="G2831" t="s">
        <v>119</v>
      </c>
      <c r="H2831">
        <v>36</v>
      </c>
      <c r="I2831" s="2">
        <v>55.33</v>
      </c>
      <c r="J2831" s="2">
        <v>32.950000000000003</v>
      </c>
      <c r="K2831" s="2">
        <v>1991.88</v>
      </c>
      <c r="L2831" s="2">
        <v>1186.2</v>
      </c>
      <c r="M2831" s="2">
        <v>805.68</v>
      </c>
      <c r="N2831">
        <v>3</v>
      </c>
      <c r="P2831" t="str">
        <f>TRIM(Table1[[#This Row],[country]])</f>
        <v>UK</v>
      </c>
    </row>
    <row r="2832" spans="1:16" x14ac:dyDescent="0.3">
      <c r="A2832" s="1">
        <v>38450</v>
      </c>
      <c r="B2832">
        <v>10403</v>
      </c>
      <c r="C2832">
        <v>201</v>
      </c>
      <c r="D2832" t="s">
        <v>224</v>
      </c>
      <c r="E2832" t="s">
        <v>133</v>
      </c>
      <c r="F2832" t="s">
        <v>102</v>
      </c>
      <c r="G2832" t="s">
        <v>108</v>
      </c>
      <c r="H2832">
        <v>46</v>
      </c>
      <c r="I2832" s="2">
        <v>109.32</v>
      </c>
      <c r="J2832" s="2">
        <v>60.86</v>
      </c>
      <c r="K2832" s="2">
        <v>5028.72</v>
      </c>
      <c r="L2832" s="2">
        <v>2799.56</v>
      </c>
      <c r="M2832" s="2">
        <v>2229.16</v>
      </c>
      <c r="N2832">
        <v>3</v>
      </c>
      <c r="P2832" t="str">
        <f>TRIM(Table1[[#This Row],[country]])</f>
        <v>UK</v>
      </c>
    </row>
    <row r="2833" spans="1:16" x14ac:dyDescent="0.3">
      <c r="A2833" s="1">
        <v>38450</v>
      </c>
      <c r="B2833">
        <v>10403</v>
      </c>
      <c r="C2833">
        <v>201</v>
      </c>
      <c r="D2833" t="s">
        <v>224</v>
      </c>
      <c r="E2833" t="s">
        <v>133</v>
      </c>
      <c r="F2833" t="s">
        <v>102</v>
      </c>
      <c r="G2833" t="s">
        <v>121</v>
      </c>
      <c r="H2833">
        <v>27</v>
      </c>
      <c r="I2833" s="2">
        <v>57.49</v>
      </c>
      <c r="J2833" s="2">
        <v>47.1</v>
      </c>
      <c r="K2833" s="2">
        <v>1552.23</v>
      </c>
      <c r="L2833" s="2">
        <v>1271.7</v>
      </c>
      <c r="M2833" s="2">
        <v>280.52999999999997</v>
      </c>
      <c r="N2833">
        <v>3</v>
      </c>
      <c r="P2833" t="str">
        <f>TRIM(Table1[[#This Row],[country]])</f>
        <v>UK</v>
      </c>
    </row>
    <row r="2834" spans="1:16" x14ac:dyDescent="0.3">
      <c r="A2834" s="1">
        <v>38450</v>
      </c>
      <c r="B2834">
        <v>10403</v>
      </c>
      <c r="C2834">
        <v>201</v>
      </c>
      <c r="D2834" t="s">
        <v>224</v>
      </c>
      <c r="E2834" t="s">
        <v>133</v>
      </c>
      <c r="F2834" t="s">
        <v>102</v>
      </c>
      <c r="G2834" t="s">
        <v>125</v>
      </c>
      <c r="H2834">
        <v>30</v>
      </c>
      <c r="I2834" s="2">
        <v>35.799999999999997</v>
      </c>
      <c r="J2834" s="2">
        <v>24.14</v>
      </c>
      <c r="K2834" s="2">
        <v>1074</v>
      </c>
      <c r="L2834" s="2">
        <v>724.2</v>
      </c>
      <c r="M2834" s="2">
        <v>349.8</v>
      </c>
      <c r="N2834">
        <v>3</v>
      </c>
      <c r="P2834" t="str">
        <f>TRIM(Table1[[#This Row],[country]])</f>
        <v>UK</v>
      </c>
    </row>
    <row r="2835" spans="1:16" x14ac:dyDescent="0.3">
      <c r="A2835" s="1">
        <v>38450</v>
      </c>
      <c r="B2835">
        <v>10403</v>
      </c>
      <c r="C2835">
        <v>201</v>
      </c>
      <c r="D2835" t="s">
        <v>224</v>
      </c>
      <c r="E2835" t="s">
        <v>133</v>
      </c>
      <c r="F2835" t="s">
        <v>102</v>
      </c>
      <c r="G2835" t="s">
        <v>126</v>
      </c>
      <c r="H2835">
        <v>45</v>
      </c>
      <c r="I2835" s="2">
        <v>88.78</v>
      </c>
      <c r="J2835" s="2">
        <v>56.13</v>
      </c>
      <c r="K2835" s="2">
        <v>3995.1</v>
      </c>
      <c r="L2835" s="2">
        <v>2525.85</v>
      </c>
      <c r="M2835" s="2">
        <v>1469.25</v>
      </c>
      <c r="N2835">
        <v>3</v>
      </c>
      <c r="P2835" t="str">
        <f>TRIM(Table1[[#This Row],[country]])</f>
        <v>UK</v>
      </c>
    </row>
    <row r="2836" spans="1:16" x14ac:dyDescent="0.3">
      <c r="A2836" s="1">
        <v>38450</v>
      </c>
      <c r="B2836">
        <v>10403</v>
      </c>
      <c r="C2836">
        <v>201</v>
      </c>
      <c r="D2836" t="s">
        <v>224</v>
      </c>
      <c r="E2836" t="s">
        <v>133</v>
      </c>
      <c r="F2836" t="s">
        <v>102</v>
      </c>
      <c r="G2836" t="s">
        <v>127</v>
      </c>
      <c r="H2836">
        <v>31</v>
      </c>
      <c r="I2836" s="2">
        <v>65.09</v>
      </c>
      <c r="J2836" s="2">
        <v>34.17</v>
      </c>
      <c r="K2836" s="2">
        <v>2017.79</v>
      </c>
      <c r="L2836" s="2">
        <v>1059.27</v>
      </c>
      <c r="M2836" s="2">
        <v>958.52</v>
      </c>
      <c r="N2836">
        <v>3</v>
      </c>
      <c r="P2836" t="str">
        <f>TRIM(Table1[[#This Row],[country]])</f>
        <v>UK</v>
      </c>
    </row>
    <row r="2837" spans="1:16" x14ac:dyDescent="0.3">
      <c r="A2837" s="1">
        <v>38456</v>
      </c>
      <c r="B2837">
        <v>10405</v>
      </c>
      <c r="C2837">
        <v>209</v>
      </c>
      <c r="D2837" t="s">
        <v>193</v>
      </c>
      <c r="E2837" t="s">
        <v>144</v>
      </c>
      <c r="F2837" t="s">
        <v>29</v>
      </c>
      <c r="G2837" t="s">
        <v>115</v>
      </c>
      <c r="H2837">
        <v>97</v>
      </c>
      <c r="I2837" s="2">
        <v>115.16</v>
      </c>
      <c r="J2837" s="2">
        <v>58.73</v>
      </c>
      <c r="K2837" s="2">
        <v>11170.52</v>
      </c>
      <c r="L2837" s="2">
        <v>5696.81</v>
      </c>
      <c r="M2837" s="2">
        <v>5473.71</v>
      </c>
      <c r="N2837">
        <v>3</v>
      </c>
      <c r="P2837" t="str">
        <f>TRIM(Table1[[#This Row],[country]])</f>
        <v>France</v>
      </c>
    </row>
    <row r="2838" spans="1:16" x14ac:dyDescent="0.3">
      <c r="A2838" s="1">
        <v>38456</v>
      </c>
      <c r="B2838">
        <v>10405</v>
      </c>
      <c r="C2838">
        <v>209</v>
      </c>
      <c r="D2838" t="s">
        <v>193</v>
      </c>
      <c r="E2838" t="s">
        <v>144</v>
      </c>
      <c r="F2838" t="s">
        <v>29</v>
      </c>
      <c r="G2838" t="s">
        <v>116</v>
      </c>
      <c r="H2838">
        <v>61</v>
      </c>
      <c r="I2838" s="2">
        <v>72.38</v>
      </c>
      <c r="J2838" s="2">
        <v>53.9</v>
      </c>
      <c r="K2838" s="2">
        <v>4415.18</v>
      </c>
      <c r="L2838" s="2">
        <v>3287.9</v>
      </c>
      <c r="M2838" s="2">
        <v>1127.28</v>
      </c>
      <c r="N2838">
        <v>3</v>
      </c>
      <c r="P2838" t="str">
        <f>TRIM(Table1[[#This Row],[country]])</f>
        <v>France</v>
      </c>
    </row>
    <row r="2839" spans="1:16" x14ac:dyDescent="0.3">
      <c r="A2839" s="1">
        <v>38456</v>
      </c>
      <c r="B2839">
        <v>10405</v>
      </c>
      <c r="C2839">
        <v>209</v>
      </c>
      <c r="D2839" t="s">
        <v>193</v>
      </c>
      <c r="E2839" t="s">
        <v>144</v>
      </c>
      <c r="F2839" t="s">
        <v>29</v>
      </c>
      <c r="G2839" t="s">
        <v>53</v>
      </c>
      <c r="H2839">
        <v>55</v>
      </c>
      <c r="I2839" s="2">
        <v>147.33000000000001</v>
      </c>
      <c r="J2839" s="2">
        <v>77.900000000000006</v>
      </c>
      <c r="K2839" s="2">
        <v>8103.15</v>
      </c>
      <c r="L2839" s="2">
        <v>4284.5</v>
      </c>
      <c r="M2839" s="2">
        <v>3818.65</v>
      </c>
      <c r="N2839">
        <v>3</v>
      </c>
      <c r="P2839" t="str">
        <f>TRIM(Table1[[#This Row],[country]])</f>
        <v>France</v>
      </c>
    </row>
    <row r="2840" spans="1:16" x14ac:dyDescent="0.3">
      <c r="A2840" s="1">
        <v>38456</v>
      </c>
      <c r="B2840">
        <v>10405</v>
      </c>
      <c r="C2840">
        <v>209</v>
      </c>
      <c r="D2840" t="s">
        <v>193</v>
      </c>
      <c r="E2840" t="s">
        <v>144</v>
      </c>
      <c r="F2840" t="s">
        <v>29</v>
      </c>
      <c r="G2840" t="s">
        <v>132</v>
      </c>
      <c r="H2840">
        <v>47</v>
      </c>
      <c r="I2840" s="2">
        <v>37.380000000000003</v>
      </c>
      <c r="J2840" s="2">
        <v>16.239999999999998</v>
      </c>
      <c r="K2840" s="2">
        <v>1756.86</v>
      </c>
      <c r="L2840" s="2">
        <v>763.28</v>
      </c>
      <c r="M2840" s="2">
        <v>993.58</v>
      </c>
      <c r="N2840">
        <v>3</v>
      </c>
      <c r="P2840" t="str">
        <f>TRIM(Table1[[#This Row],[country]])</f>
        <v>France</v>
      </c>
    </row>
    <row r="2841" spans="1:16" x14ac:dyDescent="0.3">
      <c r="A2841" s="1">
        <v>38456</v>
      </c>
      <c r="B2841">
        <v>10405</v>
      </c>
      <c r="C2841">
        <v>209</v>
      </c>
      <c r="D2841" t="s">
        <v>193</v>
      </c>
      <c r="E2841" t="s">
        <v>144</v>
      </c>
      <c r="F2841" t="s">
        <v>29</v>
      </c>
      <c r="G2841" t="s">
        <v>123</v>
      </c>
      <c r="H2841">
        <v>76</v>
      </c>
      <c r="I2841" s="2">
        <v>127.79</v>
      </c>
      <c r="J2841" s="2">
        <v>98.3</v>
      </c>
      <c r="K2841" s="2">
        <v>9712.0400000000009</v>
      </c>
      <c r="L2841" s="2">
        <v>7470.8</v>
      </c>
      <c r="M2841" s="2">
        <v>2241.2399999999998</v>
      </c>
      <c r="N2841">
        <v>3</v>
      </c>
      <c r="P2841" t="str">
        <f>TRIM(Table1[[#This Row],[country]])</f>
        <v>France</v>
      </c>
    </row>
    <row r="2842" spans="1:16" x14ac:dyDescent="0.3">
      <c r="A2842" s="1">
        <v>38457</v>
      </c>
      <c r="B2842">
        <v>10406</v>
      </c>
      <c r="C2842">
        <v>145</v>
      </c>
      <c r="D2842" t="s">
        <v>63</v>
      </c>
      <c r="E2842" t="s">
        <v>64</v>
      </c>
      <c r="F2842" t="s">
        <v>29</v>
      </c>
      <c r="G2842" t="s">
        <v>128</v>
      </c>
      <c r="H2842">
        <v>61</v>
      </c>
      <c r="I2842" s="2">
        <v>124.56</v>
      </c>
      <c r="J2842" s="2">
        <v>83.51</v>
      </c>
      <c r="K2842" s="2">
        <v>7598.16</v>
      </c>
      <c r="L2842" s="2">
        <v>5094.1099999999997</v>
      </c>
      <c r="M2842" s="2">
        <v>2504.0500000000002</v>
      </c>
      <c r="N2842">
        <v>5</v>
      </c>
      <c r="P2842" t="str">
        <f>TRIM(Table1[[#This Row],[country]])</f>
        <v>Denmark</v>
      </c>
    </row>
    <row r="2843" spans="1:16" x14ac:dyDescent="0.3">
      <c r="A2843" s="1">
        <v>38457</v>
      </c>
      <c r="B2843">
        <v>10406</v>
      </c>
      <c r="C2843">
        <v>145</v>
      </c>
      <c r="D2843" t="s">
        <v>63</v>
      </c>
      <c r="E2843" t="s">
        <v>64</v>
      </c>
      <c r="F2843" t="s">
        <v>29</v>
      </c>
      <c r="G2843" t="s">
        <v>129</v>
      </c>
      <c r="H2843">
        <v>48</v>
      </c>
      <c r="I2843" s="2">
        <v>133.72</v>
      </c>
      <c r="J2843" s="2">
        <v>93.89</v>
      </c>
      <c r="K2843" s="2">
        <v>6418.56</v>
      </c>
      <c r="L2843" s="2">
        <v>4506.72</v>
      </c>
      <c r="M2843" s="2">
        <v>1911.84</v>
      </c>
      <c r="N2843">
        <v>5</v>
      </c>
      <c r="P2843" t="str">
        <f>TRIM(Table1[[#This Row],[country]])</f>
        <v>Denmark</v>
      </c>
    </row>
    <row r="2844" spans="1:16" x14ac:dyDescent="0.3">
      <c r="A2844" s="1">
        <v>38457</v>
      </c>
      <c r="B2844">
        <v>10406</v>
      </c>
      <c r="C2844">
        <v>145</v>
      </c>
      <c r="D2844" t="s">
        <v>63</v>
      </c>
      <c r="E2844" t="s">
        <v>64</v>
      </c>
      <c r="F2844" t="s">
        <v>29</v>
      </c>
      <c r="G2844" t="s">
        <v>131</v>
      </c>
      <c r="H2844">
        <v>65</v>
      </c>
      <c r="I2844" s="2">
        <v>117.26</v>
      </c>
      <c r="J2844" s="2">
        <v>62.16</v>
      </c>
      <c r="K2844" s="2">
        <v>7621.9</v>
      </c>
      <c r="L2844" s="2">
        <v>4040.4</v>
      </c>
      <c r="M2844" s="2">
        <v>3581.5</v>
      </c>
      <c r="N2844">
        <v>5</v>
      </c>
      <c r="P2844" t="str">
        <f>TRIM(Table1[[#This Row],[country]])</f>
        <v>Denmark</v>
      </c>
    </row>
    <row r="2845" spans="1:16" x14ac:dyDescent="0.3">
      <c r="A2845" s="1">
        <v>38464</v>
      </c>
      <c r="B2845">
        <v>10408</v>
      </c>
      <c r="C2845">
        <v>398</v>
      </c>
      <c r="D2845" t="s">
        <v>195</v>
      </c>
      <c r="E2845" t="s">
        <v>185</v>
      </c>
      <c r="F2845" t="s">
        <v>15</v>
      </c>
      <c r="G2845" t="s">
        <v>19</v>
      </c>
      <c r="H2845">
        <v>15</v>
      </c>
      <c r="I2845" s="2">
        <v>41.03</v>
      </c>
      <c r="J2845" s="2">
        <v>21.75</v>
      </c>
      <c r="K2845" s="2">
        <v>615.45000000000005</v>
      </c>
      <c r="L2845" s="2">
        <v>326.25</v>
      </c>
      <c r="M2845" s="2">
        <v>289.2</v>
      </c>
      <c r="N2845">
        <v>4</v>
      </c>
      <c r="P2845" t="str">
        <f>TRIM(Table1[[#This Row],[country]])</f>
        <v>Japan</v>
      </c>
    </row>
    <row r="2846" spans="1:16" x14ac:dyDescent="0.3">
      <c r="A2846" s="1">
        <v>38464</v>
      </c>
      <c r="B2846">
        <v>10407</v>
      </c>
      <c r="C2846">
        <v>450</v>
      </c>
      <c r="D2846" t="s">
        <v>194</v>
      </c>
      <c r="E2846" t="s">
        <v>14</v>
      </c>
      <c r="F2846" t="s">
        <v>29</v>
      </c>
      <c r="G2846" t="s">
        <v>134</v>
      </c>
      <c r="H2846">
        <v>59</v>
      </c>
      <c r="I2846" s="2">
        <v>114.48</v>
      </c>
      <c r="J2846" s="2">
        <v>65.959999999999994</v>
      </c>
      <c r="K2846" s="2">
        <v>6754.32</v>
      </c>
      <c r="L2846" s="2">
        <v>3891.64</v>
      </c>
      <c r="M2846" s="2">
        <v>2862.68</v>
      </c>
      <c r="N2846">
        <v>4</v>
      </c>
      <c r="P2846" t="str">
        <f>TRIM(Table1[[#This Row],[country]])</f>
        <v>USA</v>
      </c>
    </row>
    <row r="2847" spans="1:16" x14ac:dyDescent="0.3">
      <c r="A2847" s="1">
        <v>38464</v>
      </c>
      <c r="B2847">
        <v>10407</v>
      </c>
      <c r="C2847">
        <v>450</v>
      </c>
      <c r="D2847" t="s">
        <v>194</v>
      </c>
      <c r="E2847" t="s">
        <v>14</v>
      </c>
      <c r="F2847" t="s">
        <v>15</v>
      </c>
      <c r="G2847" t="s">
        <v>16</v>
      </c>
      <c r="H2847">
        <v>76</v>
      </c>
      <c r="I2847" s="2">
        <v>141.1</v>
      </c>
      <c r="J2847" s="2">
        <v>86.7</v>
      </c>
      <c r="K2847" s="2">
        <v>10723.6</v>
      </c>
      <c r="L2847" s="2">
        <v>6589.2</v>
      </c>
      <c r="M2847" s="2">
        <v>4134.3999999999996</v>
      </c>
      <c r="N2847">
        <v>4</v>
      </c>
      <c r="P2847" t="str">
        <f>TRIM(Table1[[#This Row],[country]])</f>
        <v>USA</v>
      </c>
    </row>
    <row r="2848" spans="1:16" x14ac:dyDescent="0.3">
      <c r="A2848" s="1">
        <v>38464</v>
      </c>
      <c r="B2848">
        <v>10407</v>
      </c>
      <c r="C2848">
        <v>450</v>
      </c>
      <c r="D2848" t="s">
        <v>194</v>
      </c>
      <c r="E2848" t="s">
        <v>14</v>
      </c>
      <c r="F2848" t="s">
        <v>15</v>
      </c>
      <c r="G2848" t="s">
        <v>17</v>
      </c>
      <c r="H2848">
        <v>42</v>
      </c>
      <c r="I2848" s="2">
        <v>58.12</v>
      </c>
      <c r="J2848" s="2">
        <v>33.299999999999997</v>
      </c>
      <c r="K2848" s="2">
        <v>2441.04</v>
      </c>
      <c r="L2848" s="2">
        <v>1398.6</v>
      </c>
      <c r="M2848" s="2">
        <v>1042.44</v>
      </c>
      <c r="N2848">
        <v>4</v>
      </c>
      <c r="P2848" t="str">
        <f>TRIM(Table1[[#This Row],[country]])</f>
        <v>USA</v>
      </c>
    </row>
    <row r="2849" spans="1:16" x14ac:dyDescent="0.3">
      <c r="A2849" s="1">
        <v>38464</v>
      </c>
      <c r="B2849">
        <v>10407</v>
      </c>
      <c r="C2849">
        <v>450</v>
      </c>
      <c r="D2849" t="s">
        <v>194</v>
      </c>
      <c r="E2849" t="s">
        <v>14</v>
      </c>
      <c r="F2849" t="s">
        <v>29</v>
      </c>
      <c r="G2849" t="s">
        <v>130</v>
      </c>
      <c r="H2849">
        <v>41</v>
      </c>
      <c r="I2849" s="2">
        <v>132</v>
      </c>
      <c r="J2849" s="2">
        <v>56.76</v>
      </c>
      <c r="K2849" s="2">
        <v>5412</v>
      </c>
      <c r="L2849" s="2">
        <v>2327.16</v>
      </c>
      <c r="M2849" s="2">
        <v>3084.84</v>
      </c>
      <c r="N2849">
        <v>4</v>
      </c>
      <c r="P2849" t="str">
        <f>TRIM(Table1[[#This Row],[country]])</f>
        <v>USA</v>
      </c>
    </row>
    <row r="2850" spans="1:16" x14ac:dyDescent="0.3">
      <c r="A2850" s="1">
        <v>38464</v>
      </c>
      <c r="B2850">
        <v>10407</v>
      </c>
      <c r="C2850">
        <v>450</v>
      </c>
      <c r="D2850" t="s">
        <v>194</v>
      </c>
      <c r="E2850" t="s">
        <v>14</v>
      </c>
      <c r="F2850" t="s">
        <v>15</v>
      </c>
      <c r="G2850" t="s">
        <v>18</v>
      </c>
      <c r="H2850">
        <v>6</v>
      </c>
      <c r="I2850" s="2">
        <v>91.11</v>
      </c>
      <c r="J2850" s="2">
        <v>43.26</v>
      </c>
      <c r="K2850" s="2">
        <v>546.66</v>
      </c>
      <c r="L2850" s="2">
        <v>259.56</v>
      </c>
      <c r="M2850" s="2">
        <v>287.10000000000002</v>
      </c>
      <c r="N2850">
        <v>4</v>
      </c>
      <c r="P2850" t="str">
        <f>TRIM(Table1[[#This Row],[country]])</f>
        <v>USA</v>
      </c>
    </row>
    <row r="2851" spans="1:16" x14ac:dyDescent="0.3">
      <c r="A2851" s="1">
        <v>38464</v>
      </c>
      <c r="B2851">
        <v>10407</v>
      </c>
      <c r="C2851">
        <v>450</v>
      </c>
      <c r="D2851" t="s">
        <v>194</v>
      </c>
      <c r="E2851" t="s">
        <v>14</v>
      </c>
      <c r="F2851" t="s">
        <v>29</v>
      </c>
      <c r="G2851" t="s">
        <v>135</v>
      </c>
      <c r="H2851">
        <v>66</v>
      </c>
      <c r="I2851" s="2">
        <v>64.14</v>
      </c>
      <c r="J2851" s="2">
        <v>34.21</v>
      </c>
      <c r="K2851" s="2">
        <v>4233.24</v>
      </c>
      <c r="L2851" s="2">
        <v>2257.86</v>
      </c>
      <c r="M2851" s="2">
        <v>1975.38</v>
      </c>
      <c r="N2851">
        <v>4</v>
      </c>
      <c r="P2851" t="str">
        <f>TRIM(Table1[[#This Row],[country]])</f>
        <v>USA</v>
      </c>
    </row>
    <row r="2852" spans="1:16" x14ac:dyDescent="0.3">
      <c r="A2852" s="1">
        <v>38464</v>
      </c>
      <c r="B2852">
        <v>10407</v>
      </c>
      <c r="C2852">
        <v>450</v>
      </c>
      <c r="D2852" t="s">
        <v>194</v>
      </c>
      <c r="E2852" t="s">
        <v>14</v>
      </c>
      <c r="F2852" t="s">
        <v>29</v>
      </c>
      <c r="G2852" t="s">
        <v>136</v>
      </c>
      <c r="H2852">
        <v>26</v>
      </c>
      <c r="I2852" s="2">
        <v>68.349999999999994</v>
      </c>
      <c r="J2852" s="2">
        <v>49.24</v>
      </c>
      <c r="K2852" s="2">
        <v>1777.1</v>
      </c>
      <c r="L2852" s="2">
        <v>1280.24</v>
      </c>
      <c r="M2852" s="2">
        <v>496.86</v>
      </c>
      <c r="N2852">
        <v>4</v>
      </c>
      <c r="P2852" t="str">
        <f>TRIM(Table1[[#This Row],[country]])</f>
        <v>USA</v>
      </c>
    </row>
    <row r="2853" spans="1:16" x14ac:dyDescent="0.3">
      <c r="A2853" s="1">
        <v>38464</v>
      </c>
      <c r="B2853">
        <v>10407</v>
      </c>
      <c r="C2853">
        <v>450</v>
      </c>
      <c r="D2853" t="s">
        <v>194</v>
      </c>
      <c r="E2853" t="s">
        <v>14</v>
      </c>
      <c r="F2853" t="s">
        <v>29</v>
      </c>
      <c r="G2853" t="s">
        <v>137</v>
      </c>
      <c r="H2853">
        <v>64</v>
      </c>
      <c r="I2853" s="2">
        <v>45.78</v>
      </c>
      <c r="J2853" s="2">
        <v>29.18</v>
      </c>
      <c r="K2853" s="2">
        <v>2929.92</v>
      </c>
      <c r="L2853" s="2">
        <v>1867.52</v>
      </c>
      <c r="M2853" s="2">
        <v>1062.4000000000001</v>
      </c>
      <c r="N2853">
        <v>4</v>
      </c>
      <c r="P2853" t="str">
        <f>TRIM(Table1[[#This Row],[country]])</f>
        <v>USA</v>
      </c>
    </row>
    <row r="2854" spans="1:16" x14ac:dyDescent="0.3">
      <c r="A2854" s="1">
        <v>38464</v>
      </c>
      <c r="B2854">
        <v>10407</v>
      </c>
      <c r="C2854">
        <v>450</v>
      </c>
      <c r="D2854" t="s">
        <v>194</v>
      </c>
      <c r="E2854" t="s">
        <v>14</v>
      </c>
      <c r="F2854" t="s">
        <v>29</v>
      </c>
      <c r="G2854" t="s">
        <v>138</v>
      </c>
      <c r="H2854">
        <v>76</v>
      </c>
      <c r="I2854" s="2">
        <v>81.78</v>
      </c>
      <c r="J2854" s="2">
        <v>47.25</v>
      </c>
      <c r="K2854" s="2">
        <v>6215.28</v>
      </c>
      <c r="L2854" s="2">
        <v>3591</v>
      </c>
      <c r="M2854" s="2">
        <v>2624.28</v>
      </c>
      <c r="N2854">
        <v>4</v>
      </c>
      <c r="P2854" t="str">
        <f>TRIM(Table1[[#This Row],[country]])</f>
        <v>USA</v>
      </c>
    </row>
    <row r="2855" spans="1:16" x14ac:dyDescent="0.3">
      <c r="A2855" s="1">
        <v>38464</v>
      </c>
      <c r="B2855">
        <v>10407</v>
      </c>
      <c r="C2855">
        <v>450</v>
      </c>
      <c r="D2855" t="s">
        <v>194</v>
      </c>
      <c r="E2855" t="s">
        <v>14</v>
      </c>
      <c r="F2855" t="s">
        <v>29</v>
      </c>
      <c r="G2855" t="s">
        <v>139</v>
      </c>
      <c r="H2855">
        <v>59</v>
      </c>
      <c r="I2855" s="2">
        <v>98.65</v>
      </c>
      <c r="J2855" s="2">
        <v>72.819999999999993</v>
      </c>
      <c r="K2855" s="2">
        <v>5820.35</v>
      </c>
      <c r="L2855" s="2">
        <v>4296.38</v>
      </c>
      <c r="M2855" s="2">
        <v>1523.97</v>
      </c>
      <c r="N2855">
        <v>4</v>
      </c>
      <c r="P2855" t="str">
        <f>TRIM(Table1[[#This Row],[country]])</f>
        <v>USA</v>
      </c>
    </row>
    <row r="2856" spans="1:16" x14ac:dyDescent="0.3">
      <c r="A2856" s="1">
        <v>38464</v>
      </c>
      <c r="B2856">
        <v>10407</v>
      </c>
      <c r="C2856">
        <v>450</v>
      </c>
      <c r="D2856" t="s">
        <v>194</v>
      </c>
      <c r="E2856" t="s">
        <v>14</v>
      </c>
      <c r="F2856" t="s">
        <v>29</v>
      </c>
      <c r="G2856" t="s">
        <v>140</v>
      </c>
      <c r="H2856">
        <v>13</v>
      </c>
      <c r="I2856" s="2">
        <v>77.05</v>
      </c>
      <c r="J2856" s="2">
        <v>50.51</v>
      </c>
      <c r="K2856" s="2">
        <v>1001.65</v>
      </c>
      <c r="L2856" s="2">
        <v>656.63</v>
      </c>
      <c r="M2856" s="2">
        <v>345.02</v>
      </c>
      <c r="N2856">
        <v>4</v>
      </c>
      <c r="P2856" t="str">
        <f>TRIM(Table1[[#This Row],[country]])</f>
        <v>USA</v>
      </c>
    </row>
    <row r="2857" spans="1:16" x14ac:dyDescent="0.3">
      <c r="A2857" s="1">
        <v>38464</v>
      </c>
      <c r="B2857">
        <v>10407</v>
      </c>
      <c r="C2857">
        <v>450</v>
      </c>
      <c r="D2857" t="s">
        <v>194</v>
      </c>
      <c r="E2857" t="s">
        <v>14</v>
      </c>
      <c r="F2857" t="s">
        <v>29</v>
      </c>
      <c r="G2857" t="s">
        <v>141</v>
      </c>
      <c r="H2857">
        <v>43</v>
      </c>
      <c r="I2857" s="2">
        <v>101.73</v>
      </c>
      <c r="J2857" s="2">
        <v>62.11</v>
      </c>
      <c r="K2857" s="2">
        <v>4374.3900000000003</v>
      </c>
      <c r="L2857" s="2">
        <v>2670.73</v>
      </c>
      <c r="M2857" s="2">
        <v>1703.66</v>
      </c>
      <c r="N2857">
        <v>4</v>
      </c>
      <c r="P2857" t="str">
        <f>TRIM(Table1[[#This Row],[country]])</f>
        <v>USA</v>
      </c>
    </row>
    <row r="2858" spans="1:16" x14ac:dyDescent="0.3">
      <c r="A2858" s="1">
        <v>38465</v>
      </c>
      <c r="B2858">
        <v>10409</v>
      </c>
      <c r="C2858">
        <v>166</v>
      </c>
      <c r="D2858" t="s">
        <v>187</v>
      </c>
      <c r="E2858" t="s">
        <v>147</v>
      </c>
      <c r="F2858" t="s">
        <v>15</v>
      </c>
      <c r="G2858" t="s">
        <v>21</v>
      </c>
      <c r="H2858">
        <v>6</v>
      </c>
      <c r="I2858" s="2">
        <v>104.25</v>
      </c>
      <c r="J2858" s="2">
        <v>58.48</v>
      </c>
      <c r="K2858" s="2">
        <v>625.5</v>
      </c>
      <c r="L2858" s="2">
        <v>350.88</v>
      </c>
      <c r="M2858" s="2">
        <v>274.62</v>
      </c>
      <c r="N2858">
        <v>4</v>
      </c>
      <c r="P2858" t="str">
        <f>TRIM(Table1[[#This Row],[country]])</f>
        <v>Singapore</v>
      </c>
    </row>
    <row r="2859" spans="1:16" x14ac:dyDescent="0.3">
      <c r="A2859" s="1">
        <v>38465</v>
      </c>
      <c r="B2859">
        <v>10409</v>
      </c>
      <c r="C2859">
        <v>166</v>
      </c>
      <c r="D2859" t="s">
        <v>187</v>
      </c>
      <c r="E2859" t="s">
        <v>147</v>
      </c>
      <c r="F2859" t="s">
        <v>15</v>
      </c>
      <c r="G2859" t="s">
        <v>23</v>
      </c>
      <c r="H2859">
        <v>61</v>
      </c>
      <c r="I2859" s="2">
        <v>27.88</v>
      </c>
      <c r="J2859" s="2">
        <v>22.57</v>
      </c>
      <c r="K2859" s="2">
        <v>1700.68</v>
      </c>
      <c r="L2859" s="2">
        <v>1376.77</v>
      </c>
      <c r="M2859" s="2">
        <v>323.91000000000003</v>
      </c>
      <c r="N2859">
        <v>4</v>
      </c>
      <c r="P2859" t="str">
        <f>TRIM(Table1[[#This Row],[country]])</f>
        <v>Singapore</v>
      </c>
    </row>
    <row r="2860" spans="1:16" x14ac:dyDescent="0.3">
      <c r="A2860" s="1">
        <v>38471</v>
      </c>
      <c r="B2860">
        <v>10410</v>
      </c>
      <c r="C2860">
        <v>357</v>
      </c>
      <c r="D2860" t="s">
        <v>234</v>
      </c>
      <c r="E2860" t="s">
        <v>159</v>
      </c>
      <c r="F2860" t="s">
        <v>15</v>
      </c>
      <c r="G2860" t="s">
        <v>25</v>
      </c>
      <c r="H2860">
        <v>65</v>
      </c>
      <c r="I2860" s="2">
        <v>99.66</v>
      </c>
      <c r="J2860" s="2">
        <v>60.62</v>
      </c>
      <c r="K2860" s="2">
        <v>6477.9</v>
      </c>
      <c r="L2860" s="2">
        <v>3940.3</v>
      </c>
      <c r="M2860" s="2">
        <v>2537.6</v>
      </c>
      <c r="N2860">
        <v>3</v>
      </c>
      <c r="P2860" t="str">
        <f>TRIM(Table1[[#This Row],[country]])</f>
        <v>New Zealand</v>
      </c>
    </row>
    <row r="2861" spans="1:16" x14ac:dyDescent="0.3">
      <c r="A2861" s="1">
        <v>38471</v>
      </c>
      <c r="B2861">
        <v>10410</v>
      </c>
      <c r="C2861">
        <v>357</v>
      </c>
      <c r="D2861" t="s">
        <v>234</v>
      </c>
      <c r="E2861" t="s">
        <v>159</v>
      </c>
      <c r="F2861" t="s">
        <v>15</v>
      </c>
      <c r="G2861" t="s">
        <v>26</v>
      </c>
      <c r="H2861">
        <v>44</v>
      </c>
      <c r="I2861" s="2">
        <v>51.21</v>
      </c>
      <c r="J2861" s="2">
        <v>24.26</v>
      </c>
      <c r="K2861" s="2">
        <v>2253.2399999999998</v>
      </c>
      <c r="L2861" s="2">
        <v>1067.44</v>
      </c>
      <c r="M2861" s="2">
        <v>1185.8</v>
      </c>
      <c r="N2861">
        <v>3</v>
      </c>
      <c r="P2861" t="str">
        <f>TRIM(Table1[[#This Row],[country]])</f>
        <v>New Zealand</v>
      </c>
    </row>
    <row r="2862" spans="1:16" x14ac:dyDescent="0.3">
      <c r="A2862" s="1">
        <v>38471</v>
      </c>
      <c r="B2862">
        <v>10410</v>
      </c>
      <c r="C2862">
        <v>357</v>
      </c>
      <c r="D2862" t="s">
        <v>234</v>
      </c>
      <c r="E2862" t="s">
        <v>159</v>
      </c>
      <c r="F2862" t="s">
        <v>15</v>
      </c>
      <c r="G2862" t="s">
        <v>22</v>
      </c>
      <c r="H2862">
        <v>56</v>
      </c>
      <c r="I2862" s="2">
        <v>145.13</v>
      </c>
      <c r="J2862" s="2">
        <v>72.56</v>
      </c>
      <c r="K2862" s="2">
        <v>8127.28</v>
      </c>
      <c r="L2862" s="2">
        <v>4063.36</v>
      </c>
      <c r="M2862" s="2">
        <v>4063.92</v>
      </c>
      <c r="N2862">
        <v>3</v>
      </c>
      <c r="P2862" t="str">
        <f>TRIM(Table1[[#This Row],[country]])</f>
        <v>New Zealand</v>
      </c>
    </row>
    <row r="2863" spans="1:16" x14ac:dyDescent="0.3">
      <c r="A2863" s="1">
        <v>38471</v>
      </c>
      <c r="B2863">
        <v>10410</v>
      </c>
      <c r="C2863">
        <v>357</v>
      </c>
      <c r="D2863" t="s">
        <v>234</v>
      </c>
      <c r="E2863" t="s">
        <v>159</v>
      </c>
      <c r="F2863" t="s">
        <v>15</v>
      </c>
      <c r="G2863" t="s">
        <v>36</v>
      </c>
      <c r="H2863">
        <v>47</v>
      </c>
      <c r="I2863" s="2">
        <v>93.21</v>
      </c>
      <c r="J2863" s="2">
        <v>60.78</v>
      </c>
      <c r="K2863" s="2">
        <v>4380.87</v>
      </c>
      <c r="L2863" s="2">
        <v>2856.66</v>
      </c>
      <c r="M2863" s="2">
        <v>1524.21</v>
      </c>
      <c r="N2863">
        <v>3</v>
      </c>
      <c r="P2863" t="str">
        <f>TRIM(Table1[[#This Row],[country]])</f>
        <v>New Zealand</v>
      </c>
    </row>
    <row r="2864" spans="1:16" x14ac:dyDescent="0.3">
      <c r="A2864" s="1">
        <v>38471</v>
      </c>
      <c r="B2864">
        <v>10410</v>
      </c>
      <c r="C2864">
        <v>357</v>
      </c>
      <c r="D2864" t="s">
        <v>234</v>
      </c>
      <c r="E2864" t="s">
        <v>159</v>
      </c>
      <c r="F2864" t="s">
        <v>15</v>
      </c>
      <c r="G2864" t="s">
        <v>37</v>
      </c>
      <c r="H2864">
        <v>53</v>
      </c>
      <c r="I2864" s="2">
        <v>49.97</v>
      </c>
      <c r="J2864" s="2">
        <v>34.35</v>
      </c>
      <c r="K2864" s="2">
        <v>2648.41</v>
      </c>
      <c r="L2864" s="2">
        <v>1820.55</v>
      </c>
      <c r="M2864" s="2">
        <v>827.86</v>
      </c>
      <c r="N2864">
        <v>3</v>
      </c>
      <c r="P2864" t="str">
        <f>TRIM(Table1[[#This Row],[country]])</f>
        <v>New Zealand</v>
      </c>
    </row>
    <row r="2865" spans="1:16" x14ac:dyDescent="0.3">
      <c r="A2865" s="1">
        <v>38471</v>
      </c>
      <c r="B2865">
        <v>10410</v>
      </c>
      <c r="C2865">
        <v>357</v>
      </c>
      <c r="D2865" t="s">
        <v>234</v>
      </c>
      <c r="E2865" t="s">
        <v>159</v>
      </c>
      <c r="F2865" t="s">
        <v>15</v>
      </c>
      <c r="G2865" t="s">
        <v>38</v>
      </c>
      <c r="H2865">
        <v>34</v>
      </c>
      <c r="I2865" s="2">
        <v>84.82</v>
      </c>
      <c r="J2865" s="2">
        <v>60.74</v>
      </c>
      <c r="K2865" s="2">
        <v>2883.88</v>
      </c>
      <c r="L2865" s="2">
        <v>2065.16</v>
      </c>
      <c r="M2865" s="2">
        <v>818.72</v>
      </c>
      <c r="N2865">
        <v>3</v>
      </c>
      <c r="P2865" t="str">
        <f>TRIM(Table1[[#This Row],[country]])</f>
        <v>New Zealand</v>
      </c>
    </row>
    <row r="2866" spans="1:16" x14ac:dyDescent="0.3">
      <c r="A2866" s="1">
        <v>38471</v>
      </c>
      <c r="B2866">
        <v>10410</v>
      </c>
      <c r="C2866">
        <v>357</v>
      </c>
      <c r="D2866" t="s">
        <v>234</v>
      </c>
      <c r="E2866" t="s">
        <v>159</v>
      </c>
      <c r="F2866" t="s">
        <v>15</v>
      </c>
      <c r="G2866" t="s">
        <v>39</v>
      </c>
      <c r="H2866">
        <v>44</v>
      </c>
      <c r="I2866" s="2">
        <v>81.349999999999994</v>
      </c>
      <c r="J2866" s="2">
        <v>57.54</v>
      </c>
      <c r="K2866" s="2">
        <v>3579.4</v>
      </c>
      <c r="L2866" s="2">
        <v>2531.7600000000002</v>
      </c>
      <c r="M2866" s="2">
        <v>1047.6400000000001</v>
      </c>
      <c r="N2866">
        <v>3</v>
      </c>
      <c r="P2866" t="str">
        <f>TRIM(Table1[[#This Row],[country]])</f>
        <v>New Zealand</v>
      </c>
    </row>
    <row r="2867" spans="1:16" x14ac:dyDescent="0.3">
      <c r="A2867" s="1">
        <v>38471</v>
      </c>
      <c r="B2867">
        <v>10410</v>
      </c>
      <c r="C2867">
        <v>357</v>
      </c>
      <c r="D2867" t="s">
        <v>234</v>
      </c>
      <c r="E2867" t="s">
        <v>159</v>
      </c>
      <c r="F2867" t="s">
        <v>15</v>
      </c>
      <c r="G2867" t="s">
        <v>24</v>
      </c>
      <c r="H2867">
        <v>31</v>
      </c>
      <c r="I2867" s="2">
        <v>42.56</v>
      </c>
      <c r="J2867" s="2">
        <v>20.61</v>
      </c>
      <c r="K2867" s="2">
        <v>1319.36</v>
      </c>
      <c r="L2867" s="2">
        <v>638.91</v>
      </c>
      <c r="M2867" s="2">
        <v>680.45</v>
      </c>
      <c r="N2867">
        <v>3</v>
      </c>
      <c r="P2867" t="str">
        <f>TRIM(Table1[[#This Row],[country]])</f>
        <v>New Zealand</v>
      </c>
    </row>
    <row r="2868" spans="1:16" x14ac:dyDescent="0.3">
      <c r="A2868" s="1">
        <v>38471</v>
      </c>
      <c r="B2868">
        <v>10410</v>
      </c>
      <c r="C2868">
        <v>357</v>
      </c>
      <c r="D2868" t="s">
        <v>234</v>
      </c>
      <c r="E2868" t="s">
        <v>159</v>
      </c>
      <c r="F2868" t="s">
        <v>15</v>
      </c>
      <c r="G2868" t="s">
        <v>43</v>
      </c>
      <c r="H2868">
        <v>50</v>
      </c>
      <c r="I2868" s="2">
        <v>95.44</v>
      </c>
      <c r="J2868" s="2">
        <v>57.46</v>
      </c>
      <c r="K2868" s="2">
        <v>4772</v>
      </c>
      <c r="L2868" s="2">
        <v>2873</v>
      </c>
      <c r="M2868" s="2">
        <v>1899</v>
      </c>
      <c r="N2868">
        <v>3</v>
      </c>
      <c r="P2868" t="str">
        <f>TRIM(Table1[[#This Row],[country]])</f>
        <v>New Zealand</v>
      </c>
    </row>
    <row r="2869" spans="1:16" x14ac:dyDescent="0.3">
      <c r="A2869" s="1">
        <v>38473</v>
      </c>
      <c r="B2869">
        <v>10411</v>
      </c>
      <c r="C2869">
        <v>233</v>
      </c>
      <c r="D2869" t="s">
        <v>171</v>
      </c>
      <c r="E2869" t="s">
        <v>172</v>
      </c>
      <c r="F2869" t="s">
        <v>29</v>
      </c>
      <c r="G2869" t="s">
        <v>30</v>
      </c>
      <c r="H2869">
        <v>23</v>
      </c>
      <c r="I2869" s="2">
        <v>205.73</v>
      </c>
      <c r="J2869" s="2">
        <v>98.58</v>
      </c>
      <c r="K2869" s="2">
        <v>4731.79</v>
      </c>
      <c r="L2869" s="2">
        <v>2267.34</v>
      </c>
      <c r="M2869" s="2">
        <v>2464.4499999999998</v>
      </c>
      <c r="N2869">
        <v>3</v>
      </c>
      <c r="P2869" t="str">
        <f>TRIM(Table1[[#This Row],[country]])</f>
        <v>Canada</v>
      </c>
    </row>
    <row r="2870" spans="1:16" x14ac:dyDescent="0.3">
      <c r="A2870" s="1">
        <v>38473</v>
      </c>
      <c r="B2870">
        <v>10411</v>
      </c>
      <c r="C2870">
        <v>233</v>
      </c>
      <c r="D2870" t="s">
        <v>171</v>
      </c>
      <c r="E2870" t="s">
        <v>172</v>
      </c>
      <c r="F2870" t="s">
        <v>29</v>
      </c>
      <c r="G2870" t="s">
        <v>31</v>
      </c>
      <c r="H2870">
        <v>27</v>
      </c>
      <c r="I2870" s="2">
        <v>144.79</v>
      </c>
      <c r="J2870" s="2">
        <v>103.42</v>
      </c>
      <c r="K2870" s="2">
        <v>3909.33</v>
      </c>
      <c r="L2870" s="2">
        <v>2792.34</v>
      </c>
      <c r="M2870" s="2">
        <v>1116.99</v>
      </c>
      <c r="N2870">
        <v>3</v>
      </c>
      <c r="P2870" t="str">
        <f>TRIM(Table1[[#This Row],[country]])</f>
        <v>Canada</v>
      </c>
    </row>
    <row r="2871" spans="1:16" x14ac:dyDescent="0.3">
      <c r="A2871" s="1">
        <v>38473</v>
      </c>
      <c r="B2871">
        <v>10411</v>
      </c>
      <c r="C2871">
        <v>233</v>
      </c>
      <c r="D2871" t="s">
        <v>171</v>
      </c>
      <c r="E2871" t="s">
        <v>172</v>
      </c>
      <c r="F2871" t="s">
        <v>32</v>
      </c>
      <c r="G2871" t="s">
        <v>33</v>
      </c>
      <c r="H2871">
        <v>40</v>
      </c>
      <c r="I2871" s="2">
        <v>110.7</v>
      </c>
      <c r="J2871" s="2">
        <v>77.900000000000006</v>
      </c>
      <c r="K2871" s="2">
        <v>4428</v>
      </c>
      <c r="L2871" s="2">
        <v>3116</v>
      </c>
      <c r="M2871" s="2">
        <v>1312</v>
      </c>
      <c r="N2871">
        <v>3</v>
      </c>
      <c r="P2871" t="str">
        <f>TRIM(Table1[[#This Row],[country]])</f>
        <v>Canada</v>
      </c>
    </row>
    <row r="2872" spans="1:16" x14ac:dyDescent="0.3">
      <c r="A2872" s="1">
        <v>38473</v>
      </c>
      <c r="B2872">
        <v>10411</v>
      </c>
      <c r="C2872">
        <v>233</v>
      </c>
      <c r="D2872" t="s">
        <v>171</v>
      </c>
      <c r="E2872" t="s">
        <v>172</v>
      </c>
      <c r="F2872" t="s">
        <v>32</v>
      </c>
      <c r="G2872" t="s">
        <v>34</v>
      </c>
      <c r="H2872">
        <v>27</v>
      </c>
      <c r="I2872" s="2">
        <v>109.67</v>
      </c>
      <c r="J2872" s="2">
        <v>58.33</v>
      </c>
      <c r="K2872" s="2">
        <v>2961.09</v>
      </c>
      <c r="L2872" s="2">
        <v>1574.91</v>
      </c>
      <c r="M2872" s="2">
        <v>1386.18</v>
      </c>
      <c r="N2872">
        <v>3</v>
      </c>
      <c r="P2872" t="str">
        <f>TRIM(Table1[[#This Row],[country]])</f>
        <v>Canada</v>
      </c>
    </row>
    <row r="2873" spans="1:16" x14ac:dyDescent="0.3">
      <c r="A2873" s="1">
        <v>38473</v>
      </c>
      <c r="B2873">
        <v>10411</v>
      </c>
      <c r="C2873">
        <v>233</v>
      </c>
      <c r="D2873" t="s">
        <v>171</v>
      </c>
      <c r="E2873" t="s">
        <v>172</v>
      </c>
      <c r="F2873" t="s">
        <v>32</v>
      </c>
      <c r="G2873" t="s">
        <v>40</v>
      </c>
      <c r="H2873">
        <v>46</v>
      </c>
      <c r="I2873" s="2">
        <v>106.55</v>
      </c>
      <c r="J2873" s="2">
        <v>84.76</v>
      </c>
      <c r="K2873" s="2">
        <v>4901.3</v>
      </c>
      <c r="L2873" s="2">
        <v>3898.96</v>
      </c>
      <c r="M2873" s="2">
        <v>1002.34</v>
      </c>
      <c r="N2873">
        <v>3</v>
      </c>
      <c r="P2873" t="str">
        <f>TRIM(Table1[[#This Row],[country]])</f>
        <v>Canada</v>
      </c>
    </row>
    <row r="2874" spans="1:16" x14ac:dyDescent="0.3">
      <c r="A2874" s="1">
        <v>38473</v>
      </c>
      <c r="B2874">
        <v>10411</v>
      </c>
      <c r="C2874">
        <v>233</v>
      </c>
      <c r="D2874" t="s">
        <v>171</v>
      </c>
      <c r="E2874" t="s">
        <v>172</v>
      </c>
      <c r="F2874" t="s">
        <v>15</v>
      </c>
      <c r="G2874" t="s">
        <v>41</v>
      </c>
      <c r="H2874">
        <v>35</v>
      </c>
      <c r="I2874" s="2">
        <v>41.25</v>
      </c>
      <c r="J2874" s="2">
        <v>23.14</v>
      </c>
      <c r="K2874" s="2">
        <v>1443.75</v>
      </c>
      <c r="L2874" s="2">
        <v>809.9</v>
      </c>
      <c r="M2874" s="2">
        <v>633.85</v>
      </c>
      <c r="N2874">
        <v>3</v>
      </c>
      <c r="P2874" t="str">
        <f>TRIM(Table1[[#This Row],[country]])</f>
        <v>Canada</v>
      </c>
    </row>
    <row r="2875" spans="1:16" x14ac:dyDescent="0.3">
      <c r="A2875" s="1">
        <v>38473</v>
      </c>
      <c r="B2875">
        <v>10411</v>
      </c>
      <c r="C2875">
        <v>233</v>
      </c>
      <c r="D2875" t="s">
        <v>171</v>
      </c>
      <c r="E2875" t="s">
        <v>172</v>
      </c>
      <c r="F2875" t="s">
        <v>32</v>
      </c>
      <c r="G2875" t="s">
        <v>44</v>
      </c>
      <c r="H2875">
        <v>26</v>
      </c>
      <c r="I2875" s="2">
        <v>78.010000000000005</v>
      </c>
      <c r="J2875" s="2">
        <v>53.93</v>
      </c>
      <c r="K2875" s="2">
        <v>2028.26</v>
      </c>
      <c r="L2875" s="2">
        <v>1402.18</v>
      </c>
      <c r="M2875" s="2">
        <v>626.08000000000004</v>
      </c>
      <c r="N2875">
        <v>3</v>
      </c>
      <c r="P2875" t="str">
        <f>TRIM(Table1[[#This Row],[country]])</f>
        <v>Canada</v>
      </c>
    </row>
    <row r="2876" spans="1:16" x14ac:dyDescent="0.3">
      <c r="A2876" s="1">
        <v>38473</v>
      </c>
      <c r="B2876">
        <v>10411</v>
      </c>
      <c r="C2876">
        <v>233</v>
      </c>
      <c r="D2876" t="s">
        <v>171</v>
      </c>
      <c r="E2876" t="s">
        <v>172</v>
      </c>
      <c r="F2876" t="s">
        <v>32</v>
      </c>
      <c r="G2876" t="s">
        <v>45</v>
      </c>
      <c r="H2876">
        <v>27</v>
      </c>
      <c r="I2876" s="2">
        <v>60.76</v>
      </c>
      <c r="J2876" s="2">
        <v>33.61</v>
      </c>
      <c r="K2876" s="2">
        <v>1640.52</v>
      </c>
      <c r="L2876" s="2">
        <v>907.47</v>
      </c>
      <c r="M2876" s="2">
        <v>733.05</v>
      </c>
      <c r="N2876">
        <v>3</v>
      </c>
      <c r="P2876" t="str">
        <f>TRIM(Table1[[#This Row],[country]])</f>
        <v>Canada</v>
      </c>
    </row>
    <row r="2877" spans="1:16" x14ac:dyDescent="0.3">
      <c r="A2877" s="1">
        <v>38473</v>
      </c>
      <c r="B2877">
        <v>10411</v>
      </c>
      <c r="C2877">
        <v>233</v>
      </c>
      <c r="D2877" t="s">
        <v>171</v>
      </c>
      <c r="E2877" t="s">
        <v>172</v>
      </c>
      <c r="F2877" t="s">
        <v>29</v>
      </c>
      <c r="G2877" t="s">
        <v>46</v>
      </c>
      <c r="H2877">
        <v>34</v>
      </c>
      <c r="I2877" s="2">
        <v>89.01</v>
      </c>
      <c r="J2877" s="2">
        <v>46.53</v>
      </c>
      <c r="K2877" s="2">
        <v>3026.34</v>
      </c>
      <c r="L2877" s="2">
        <v>1582.02</v>
      </c>
      <c r="M2877" s="2">
        <v>1444.32</v>
      </c>
      <c r="N2877">
        <v>3</v>
      </c>
      <c r="P2877" t="str">
        <f>TRIM(Table1[[#This Row],[country]])</f>
        <v>Canada</v>
      </c>
    </row>
    <row r="2878" spans="1:16" x14ac:dyDescent="0.3">
      <c r="A2878" s="1">
        <v>38475</v>
      </c>
      <c r="B2878">
        <v>10412</v>
      </c>
      <c r="C2878">
        <v>141</v>
      </c>
      <c r="D2878" t="s">
        <v>47</v>
      </c>
      <c r="E2878" t="s">
        <v>48</v>
      </c>
      <c r="F2878" t="s">
        <v>32</v>
      </c>
      <c r="G2878" t="s">
        <v>50</v>
      </c>
      <c r="H2878">
        <v>54</v>
      </c>
      <c r="I2878" s="2">
        <v>100.73</v>
      </c>
      <c r="J2878" s="2">
        <v>55.7</v>
      </c>
      <c r="K2878" s="2">
        <v>5439.42</v>
      </c>
      <c r="L2878" s="2">
        <v>3007.8</v>
      </c>
      <c r="M2878" s="2">
        <v>2431.62</v>
      </c>
      <c r="N2878">
        <v>23</v>
      </c>
      <c r="P2878" t="str">
        <f>TRIM(Table1[[#This Row],[country]])</f>
        <v>Spain</v>
      </c>
    </row>
    <row r="2879" spans="1:16" x14ac:dyDescent="0.3">
      <c r="A2879" s="1">
        <v>38475</v>
      </c>
      <c r="B2879">
        <v>10412</v>
      </c>
      <c r="C2879">
        <v>141</v>
      </c>
      <c r="D2879" t="s">
        <v>47</v>
      </c>
      <c r="E2879" t="s">
        <v>48</v>
      </c>
      <c r="F2879" t="s">
        <v>29</v>
      </c>
      <c r="G2879" t="s">
        <v>51</v>
      </c>
      <c r="H2879">
        <v>41</v>
      </c>
      <c r="I2879" s="2">
        <v>150.63</v>
      </c>
      <c r="J2879" s="2">
        <v>101.51</v>
      </c>
      <c r="K2879" s="2">
        <v>6175.83</v>
      </c>
      <c r="L2879" s="2">
        <v>4161.91</v>
      </c>
      <c r="M2879" s="2">
        <v>2013.92</v>
      </c>
      <c r="N2879">
        <v>23</v>
      </c>
      <c r="P2879" t="str">
        <f>TRIM(Table1[[#This Row],[country]])</f>
        <v>Spain</v>
      </c>
    </row>
    <row r="2880" spans="1:16" x14ac:dyDescent="0.3">
      <c r="A2880" s="1">
        <v>38475</v>
      </c>
      <c r="B2880">
        <v>10412</v>
      </c>
      <c r="C2880">
        <v>141</v>
      </c>
      <c r="D2880" t="s">
        <v>47</v>
      </c>
      <c r="E2880" t="s">
        <v>48</v>
      </c>
      <c r="F2880" t="s">
        <v>32</v>
      </c>
      <c r="G2880" t="s">
        <v>52</v>
      </c>
      <c r="H2880">
        <v>56</v>
      </c>
      <c r="I2880" s="2">
        <v>120.28</v>
      </c>
      <c r="J2880" s="2">
        <v>74.86</v>
      </c>
      <c r="K2880" s="2">
        <v>6735.68</v>
      </c>
      <c r="L2880" s="2">
        <v>4192.16</v>
      </c>
      <c r="M2880" s="2">
        <v>2543.52</v>
      </c>
      <c r="N2880">
        <v>23</v>
      </c>
      <c r="P2880" t="str">
        <f>TRIM(Table1[[#This Row],[country]])</f>
        <v>Spain</v>
      </c>
    </row>
    <row r="2881" spans="1:16" x14ac:dyDescent="0.3">
      <c r="A2881" s="1">
        <v>38475</v>
      </c>
      <c r="B2881">
        <v>10412</v>
      </c>
      <c r="C2881">
        <v>141</v>
      </c>
      <c r="D2881" t="s">
        <v>47</v>
      </c>
      <c r="E2881" t="s">
        <v>48</v>
      </c>
      <c r="F2881" t="s">
        <v>32</v>
      </c>
      <c r="G2881" t="s">
        <v>35</v>
      </c>
      <c r="H2881">
        <v>47</v>
      </c>
      <c r="I2881" s="2">
        <v>49.83</v>
      </c>
      <c r="J2881" s="2">
        <v>24.92</v>
      </c>
      <c r="K2881" s="2">
        <v>2342.0100000000002</v>
      </c>
      <c r="L2881" s="2">
        <v>1171.24</v>
      </c>
      <c r="M2881" s="2">
        <v>1170.77</v>
      </c>
      <c r="N2881">
        <v>23</v>
      </c>
      <c r="P2881" t="str">
        <f>TRIM(Table1[[#This Row],[country]])</f>
        <v>Spain</v>
      </c>
    </row>
    <row r="2882" spans="1:16" x14ac:dyDescent="0.3">
      <c r="A2882" s="1">
        <v>38475</v>
      </c>
      <c r="B2882">
        <v>10412</v>
      </c>
      <c r="C2882">
        <v>141</v>
      </c>
      <c r="D2882" t="s">
        <v>47</v>
      </c>
      <c r="E2882" t="s">
        <v>48</v>
      </c>
      <c r="F2882" t="s">
        <v>29</v>
      </c>
      <c r="G2882" t="s">
        <v>53</v>
      </c>
      <c r="H2882">
        <v>60</v>
      </c>
      <c r="I2882" s="2">
        <v>157.49</v>
      </c>
      <c r="J2882" s="2">
        <v>77.900000000000006</v>
      </c>
      <c r="K2882" s="2">
        <v>9449.4</v>
      </c>
      <c r="L2882" s="2">
        <v>4674</v>
      </c>
      <c r="M2882" s="2">
        <v>4775.3999999999996</v>
      </c>
      <c r="N2882">
        <v>23</v>
      </c>
      <c r="P2882" t="str">
        <f>TRIM(Table1[[#This Row],[country]])</f>
        <v>Spain</v>
      </c>
    </row>
    <row r="2883" spans="1:16" x14ac:dyDescent="0.3">
      <c r="A2883" s="1">
        <v>38475</v>
      </c>
      <c r="B2883">
        <v>10412</v>
      </c>
      <c r="C2883">
        <v>141</v>
      </c>
      <c r="D2883" t="s">
        <v>47</v>
      </c>
      <c r="E2883" t="s">
        <v>48</v>
      </c>
      <c r="F2883" t="s">
        <v>29</v>
      </c>
      <c r="G2883" t="s">
        <v>55</v>
      </c>
      <c r="H2883">
        <v>21</v>
      </c>
      <c r="I2883" s="2">
        <v>47.4</v>
      </c>
      <c r="J2883" s="2">
        <v>32.369999999999997</v>
      </c>
      <c r="K2883" s="2">
        <v>995.4</v>
      </c>
      <c r="L2883" s="2">
        <v>679.77</v>
      </c>
      <c r="M2883" s="2">
        <v>315.63</v>
      </c>
      <c r="N2883">
        <v>23</v>
      </c>
      <c r="P2883" t="str">
        <f>TRIM(Table1[[#This Row],[country]])</f>
        <v>Spain</v>
      </c>
    </row>
    <row r="2884" spans="1:16" x14ac:dyDescent="0.3">
      <c r="A2884" s="1">
        <v>38475</v>
      </c>
      <c r="B2884">
        <v>10412</v>
      </c>
      <c r="C2884">
        <v>141</v>
      </c>
      <c r="D2884" t="s">
        <v>47</v>
      </c>
      <c r="E2884" t="s">
        <v>48</v>
      </c>
      <c r="F2884" t="s">
        <v>32</v>
      </c>
      <c r="G2884" t="s">
        <v>42</v>
      </c>
      <c r="H2884">
        <v>70</v>
      </c>
      <c r="I2884" s="2">
        <v>109.9</v>
      </c>
      <c r="J2884" s="2">
        <v>61.34</v>
      </c>
      <c r="K2884" s="2">
        <v>7693</v>
      </c>
      <c r="L2884" s="2">
        <v>4293.8</v>
      </c>
      <c r="M2884" s="2">
        <v>3399.2</v>
      </c>
      <c r="N2884">
        <v>23</v>
      </c>
      <c r="P2884" t="str">
        <f>TRIM(Table1[[#This Row],[country]])</f>
        <v>Spain</v>
      </c>
    </row>
    <row r="2885" spans="1:16" x14ac:dyDescent="0.3">
      <c r="A2885" s="1">
        <v>38475</v>
      </c>
      <c r="B2885">
        <v>10412</v>
      </c>
      <c r="C2885">
        <v>141</v>
      </c>
      <c r="D2885" t="s">
        <v>47</v>
      </c>
      <c r="E2885" t="s">
        <v>48</v>
      </c>
      <c r="F2885" t="s">
        <v>29</v>
      </c>
      <c r="G2885" t="s">
        <v>56</v>
      </c>
      <c r="H2885">
        <v>30</v>
      </c>
      <c r="I2885" s="2">
        <v>32.880000000000003</v>
      </c>
      <c r="J2885" s="2">
        <v>15.91</v>
      </c>
      <c r="K2885" s="2">
        <v>986.4</v>
      </c>
      <c r="L2885" s="2">
        <v>477.3</v>
      </c>
      <c r="M2885" s="2">
        <v>509.1</v>
      </c>
      <c r="N2885">
        <v>23</v>
      </c>
      <c r="P2885" t="str">
        <f>TRIM(Table1[[#This Row],[country]])</f>
        <v>Spain</v>
      </c>
    </row>
    <row r="2886" spans="1:16" x14ac:dyDescent="0.3">
      <c r="A2886" s="1">
        <v>38475</v>
      </c>
      <c r="B2886">
        <v>10412</v>
      </c>
      <c r="C2886">
        <v>141</v>
      </c>
      <c r="D2886" t="s">
        <v>47</v>
      </c>
      <c r="E2886" t="s">
        <v>48</v>
      </c>
      <c r="F2886" t="s">
        <v>29</v>
      </c>
      <c r="G2886" t="s">
        <v>57</v>
      </c>
      <c r="H2886">
        <v>31</v>
      </c>
      <c r="I2886" s="2">
        <v>108.82</v>
      </c>
      <c r="J2886" s="2">
        <v>69.78</v>
      </c>
      <c r="K2886" s="2">
        <v>3373.42</v>
      </c>
      <c r="L2886" s="2">
        <v>2163.1799999999998</v>
      </c>
      <c r="M2886" s="2">
        <v>1210.24</v>
      </c>
      <c r="N2886">
        <v>23</v>
      </c>
      <c r="P2886" t="str">
        <f>TRIM(Table1[[#This Row],[country]])</f>
        <v>Spain</v>
      </c>
    </row>
    <row r="2887" spans="1:16" x14ac:dyDescent="0.3">
      <c r="A2887" s="1">
        <v>38475</v>
      </c>
      <c r="B2887">
        <v>10412</v>
      </c>
      <c r="C2887">
        <v>141</v>
      </c>
      <c r="D2887" t="s">
        <v>47</v>
      </c>
      <c r="E2887" t="s">
        <v>48</v>
      </c>
      <c r="F2887" t="s">
        <v>32</v>
      </c>
      <c r="G2887" t="s">
        <v>58</v>
      </c>
      <c r="H2887">
        <v>19</v>
      </c>
      <c r="I2887" s="2">
        <v>50.86</v>
      </c>
      <c r="J2887" s="2">
        <v>25.98</v>
      </c>
      <c r="K2887" s="2">
        <v>966.34</v>
      </c>
      <c r="L2887" s="2">
        <v>493.62</v>
      </c>
      <c r="M2887" s="2">
        <v>472.72</v>
      </c>
      <c r="N2887">
        <v>23</v>
      </c>
      <c r="P2887" t="str">
        <f>TRIM(Table1[[#This Row],[country]])</f>
        <v>Spain</v>
      </c>
    </row>
    <row r="2888" spans="1:16" x14ac:dyDescent="0.3">
      <c r="A2888" s="1">
        <v>38475</v>
      </c>
      <c r="B2888">
        <v>10412</v>
      </c>
      <c r="C2888">
        <v>141</v>
      </c>
      <c r="D2888" t="s">
        <v>47</v>
      </c>
      <c r="E2888" t="s">
        <v>48</v>
      </c>
      <c r="F2888" t="s">
        <v>32</v>
      </c>
      <c r="G2888" t="s">
        <v>61</v>
      </c>
      <c r="H2888">
        <v>26</v>
      </c>
      <c r="I2888" s="2">
        <v>105.33</v>
      </c>
      <c r="J2888" s="2">
        <v>68.290000000000006</v>
      </c>
      <c r="K2888" s="2">
        <v>2738.58</v>
      </c>
      <c r="L2888" s="2">
        <v>1775.54</v>
      </c>
      <c r="M2888" s="2">
        <v>963.04</v>
      </c>
      <c r="N2888">
        <v>23</v>
      </c>
      <c r="P2888" t="str">
        <f>TRIM(Table1[[#This Row],[country]])</f>
        <v>Spain</v>
      </c>
    </row>
    <row r="2889" spans="1:16" x14ac:dyDescent="0.3">
      <c r="A2889" s="1">
        <v>38477</v>
      </c>
      <c r="B2889">
        <v>10413</v>
      </c>
      <c r="C2889">
        <v>175</v>
      </c>
      <c r="D2889" t="s">
        <v>228</v>
      </c>
      <c r="E2889" t="s">
        <v>14</v>
      </c>
      <c r="F2889" t="s">
        <v>29</v>
      </c>
      <c r="G2889" t="s">
        <v>66</v>
      </c>
      <c r="H2889">
        <v>36</v>
      </c>
      <c r="I2889" s="2">
        <v>201.57</v>
      </c>
      <c r="J2889" s="2">
        <v>95.59</v>
      </c>
      <c r="K2889" s="2">
        <v>7256.52</v>
      </c>
      <c r="L2889" s="2">
        <v>3441.24</v>
      </c>
      <c r="M2889" s="2">
        <v>3815.28</v>
      </c>
      <c r="N2889">
        <v>3</v>
      </c>
      <c r="P2889" t="str">
        <f>TRIM(Table1[[#This Row],[country]])</f>
        <v>USA</v>
      </c>
    </row>
    <row r="2890" spans="1:16" x14ac:dyDescent="0.3">
      <c r="A2890" s="1">
        <v>38477</v>
      </c>
      <c r="B2890">
        <v>10413</v>
      </c>
      <c r="C2890">
        <v>175</v>
      </c>
      <c r="D2890" t="s">
        <v>228</v>
      </c>
      <c r="E2890" t="s">
        <v>14</v>
      </c>
      <c r="F2890" t="s">
        <v>29</v>
      </c>
      <c r="G2890" t="s">
        <v>49</v>
      </c>
      <c r="H2890">
        <v>47</v>
      </c>
      <c r="I2890" s="2">
        <v>145.04</v>
      </c>
      <c r="J2890" s="2">
        <v>89.14</v>
      </c>
      <c r="K2890" s="2">
        <v>6816.88</v>
      </c>
      <c r="L2890" s="2">
        <v>4189.58</v>
      </c>
      <c r="M2890" s="2">
        <v>2627.3</v>
      </c>
      <c r="N2890">
        <v>3</v>
      </c>
      <c r="P2890" t="str">
        <f>TRIM(Table1[[#This Row],[country]])</f>
        <v>USA</v>
      </c>
    </row>
    <row r="2891" spans="1:16" x14ac:dyDescent="0.3">
      <c r="A2891" s="1">
        <v>38477</v>
      </c>
      <c r="B2891">
        <v>10413</v>
      </c>
      <c r="C2891">
        <v>175</v>
      </c>
      <c r="D2891" t="s">
        <v>228</v>
      </c>
      <c r="E2891" t="s">
        <v>14</v>
      </c>
      <c r="F2891" t="s">
        <v>29</v>
      </c>
      <c r="G2891" t="s">
        <v>67</v>
      </c>
      <c r="H2891">
        <v>22</v>
      </c>
      <c r="I2891" s="2">
        <v>173.02</v>
      </c>
      <c r="J2891" s="2">
        <v>83.05</v>
      </c>
      <c r="K2891" s="2">
        <v>3806.44</v>
      </c>
      <c r="L2891" s="2">
        <v>1827.1</v>
      </c>
      <c r="M2891" s="2">
        <v>1979.34</v>
      </c>
      <c r="N2891">
        <v>3</v>
      </c>
      <c r="P2891" t="str">
        <f>TRIM(Table1[[#This Row],[country]])</f>
        <v>USA</v>
      </c>
    </row>
    <row r="2892" spans="1:16" x14ac:dyDescent="0.3">
      <c r="A2892" s="1">
        <v>38477</v>
      </c>
      <c r="B2892">
        <v>10413</v>
      </c>
      <c r="C2892">
        <v>175</v>
      </c>
      <c r="D2892" t="s">
        <v>228</v>
      </c>
      <c r="E2892" t="s">
        <v>14</v>
      </c>
      <c r="F2892" t="s">
        <v>29</v>
      </c>
      <c r="G2892" t="s">
        <v>54</v>
      </c>
      <c r="H2892">
        <v>49</v>
      </c>
      <c r="I2892" s="2">
        <v>133.57</v>
      </c>
      <c r="J2892" s="2">
        <v>91.92</v>
      </c>
      <c r="K2892" s="2">
        <v>6544.93</v>
      </c>
      <c r="L2892" s="2">
        <v>4504.08</v>
      </c>
      <c r="M2892" s="2">
        <v>2040.85</v>
      </c>
      <c r="N2892">
        <v>3</v>
      </c>
      <c r="P2892" t="str">
        <f>TRIM(Table1[[#This Row],[country]])</f>
        <v>USA</v>
      </c>
    </row>
    <row r="2893" spans="1:16" x14ac:dyDescent="0.3">
      <c r="A2893" s="1">
        <v>38477</v>
      </c>
      <c r="B2893">
        <v>10413</v>
      </c>
      <c r="C2893">
        <v>175</v>
      </c>
      <c r="D2893" t="s">
        <v>228</v>
      </c>
      <c r="E2893" t="s">
        <v>14</v>
      </c>
      <c r="F2893" t="s">
        <v>59</v>
      </c>
      <c r="G2893" t="s">
        <v>60</v>
      </c>
      <c r="H2893">
        <v>24</v>
      </c>
      <c r="I2893" s="2">
        <v>56.55</v>
      </c>
      <c r="J2893" s="2">
        <v>26.72</v>
      </c>
      <c r="K2893" s="2">
        <v>1357.2</v>
      </c>
      <c r="L2893" s="2">
        <v>641.28</v>
      </c>
      <c r="M2893" s="2">
        <v>715.92</v>
      </c>
      <c r="N2893">
        <v>3</v>
      </c>
      <c r="P2893" t="str">
        <f>TRIM(Table1[[#This Row],[country]])</f>
        <v>USA</v>
      </c>
    </row>
    <row r="2894" spans="1:16" x14ac:dyDescent="0.3">
      <c r="A2894" s="1">
        <v>38477</v>
      </c>
      <c r="B2894">
        <v>10413</v>
      </c>
      <c r="C2894">
        <v>175</v>
      </c>
      <c r="D2894" t="s">
        <v>228</v>
      </c>
      <c r="E2894" t="s">
        <v>14</v>
      </c>
      <c r="F2894" t="s">
        <v>59</v>
      </c>
      <c r="G2894" t="s">
        <v>62</v>
      </c>
      <c r="H2894">
        <v>51</v>
      </c>
      <c r="I2894" s="2">
        <v>53.31</v>
      </c>
      <c r="J2894" s="2">
        <v>37.49</v>
      </c>
      <c r="K2894" s="2">
        <v>2718.81</v>
      </c>
      <c r="L2894" s="2">
        <v>1911.99</v>
      </c>
      <c r="M2894" s="2">
        <v>806.82</v>
      </c>
      <c r="N2894">
        <v>3</v>
      </c>
      <c r="P2894" t="str">
        <f>TRIM(Table1[[#This Row],[country]])</f>
        <v>USA</v>
      </c>
    </row>
    <row r="2895" spans="1:16" x14ac:dyDescent="0.3">
      <c r="A2895" s="1">
        <v>38478</v>
      </c>
      <c r="B2895">
        <v>10414</v>
      </c>
      <c r="C2895">
        <v>362</v>
      </c>
      <c r="D2895" t="s">
        <v>244</v>
      </c>
      <c r="E2895" t="s">
        <v>14</v>
      </c>
      <c r="F2895" t="s">
        <v>29</v>
      </c>
      <c r="G2895" t="s">
        <v>65</v>
      </c>
      <c r="H2895">
        <v>49</v>
      </c>
      <c r="I2895" s="2">
        <v>114.24</v>
      </c>
      <c r="J2895" s="2">
        <v>85.68</v>
      </c>
      <c r="K2895" s="2">
        <v>5597.76</v>
      </c>
      <c r="L2895" s="2">
        <v>4198.32</v>
      </c>
      <c r="M2895" s="2">
        <v>1399.44</v>
      </c>
      <c r="N2895">
        <v>3</v>
      </c>
      <c r="P2895" t="str">
        <f>TRIM(Table1[[#This Row],[country]])</f>
        <v>USA</v>
      </c>
    </row>
    <row r="2896" spans="1:16" x14ac:dyDescent="0.3">
      <c r="A2896" s="1">
        <v>38478</v>
      </c>
      <c r="B2896">
        <v>10414</v>
      </c>
      <c r="C2896">
        <v>362</v>
      </c>
      <c r="D2896" t="s">
        <v>244</v>
      </c>
      <c r="E2896" t="s">
        <v>14</v>
      </c>
      <c r="F2896" t="s">
        <v>71</v>
      </c>
      <c r="G2896" t="s">
        <v>86</v>
      </c>
      <c r="H2896">
        <v>44</v>
      </c>
      <c r="I2896" s="2">
        <v>77.42</v>
      </c>
      <c r="J2896" s="2">
        <v>51.61</v>
      </c>
      <c r="K2896" s="2">
        <v>3406.48</v>
      </c>
      <c r="L2896" s="2">
        <v>2270.84</v>
      </c>
      <c r="M2896" s="2">
        <v>1135.6400000000001</v>
      </c>
      <c r="N2896">
        <v>3</v>
      </c>
      <c r="P2896" t="str">
        <f>TRIM(Table1[[#This Row],[country]])</f>
        <v>USA</v>
      </c>
    </row>
    <row r="2897" spans="1:16" x14ac:dyDescent="0.3">
      <c r="A2897" s="1">
        <v>38478</v>
      </c>
      <c r="B2897">
        <v>10414</v>
      </c>
      <c r="C2897">
        <v>362</v>
      </c>
      <c r="D2897" t="s">
        <v>244</v>
      </c>
      <c r="E2897" t="s">
        <v>14</v>
      </c>
      <c r="F2897" t="s">
        <v>15</v>
      </c>
      <c r="G2897" t="s">
        <v>68</v>
      </c>
      <c r="H2897">
        <v>41</v>
      </c>
      <c r="I2897" s="2">
        <v>128.38999999999999</v>
      </c>
      <c r="J2897" s="2">
        <v>68.3</v>
      </c>
      <c r="K2897" s="2">
        <v>5263.99</v>
      </c>
      <c r="L2897" s="2">
        <v>2800.3</v>
      </c>
      <c r="M2897" s="2">
        <v>2463.69</v>
      </c>
      <c r="N2897">
        <v>3</v>
      </c>
      <c r="P2897" t="str">
        <f>TRIM(Table1[[#This Row],[country]])</f>
        <v>USA</v>
      </c>
    </row>
    <row r="2898" spans="1:16" x14ac:dyDescent="0.3">
      <c r="A2898" s="1">
        <v>38478</v>
      </c>
      <c r="B2898">
        <v>10414</v>
      </c>
      <c r="C2898">
        <v>362</v>
      </c>
      <c r="D2898" t="s">
        <v>244</v>
      </c>
      <c r="E2898" t="s">
        <v>14</v>
      </c>
      <c r="F2898" t="s">
        <v>59</v>
      </c>
      <c r="G2898" t="s">
        <v>69</v>
      </c>
      <c r="H2898">
        <v>48</v>
      </c>
      <c r="I2898" s="2">
        <v>85.71</v>
      </c>
      <c r="J2898" s="2">
        <v>67.56</v>
      </c>
      <c r="K2898" s="2">
        <v>4114.08</v>
      </c>
      <c r="L2898" s="2">
        <v>3242.88</v>
      </c>
      <c r="M2898" s="2">
        <v>871.2</v>
      </c>
      <c r="N2898">
        <v>3</v>
      </c>
      <c r="P2898" t="str">
        <f>TRIM(Table1[[#This Row],[country]])</f>
        <v>USA</v>
      </c>
    </row>
    <row r="2899" spans="1:16" x14ac:dyDescent="0.3">
      <c r="A2899" s="1">
        <v>38478</v>
      </c>
      <c r="B2899">
        <v>10414</v>
      </c>
      <c r="C2899">
        <v>362</v>
      </c>
      <c r="D2899" t="s">
        <v>244</v>
      </c>
      <c r="E2899" t="s">
        <v>14</v>
      </c>
      <c r="F2899" t="s">
        <v>15</v>
      </c>
      <c r="G2899" t="s">
        <v>70</v>
      </c>
      <c r="H2899">
        <v>56</v>
      </c>
      <c r="I2899" s="2">
        <v>83.38</v>
      </c>
      <c r="J2899" s="2">
        <v>52.66</v>
      </c>
      <c r="K2899" s="2">
        <v>4669.28</v>
      </c>
      <c r="L2899" s="2">
        <v>2948.96</v>
      </c>
      <c r="M2899" s="2">
        <v>1720.32</v>
      </c>
      <c r="N2899">
        <v>3</v>
      </c>
      <c r="P2899" t="str">
        <f>TRIM(Table1[[#This Row],[country]])</f>
        <v>USA</v>
      </c>
    </row>
    <row r="2900" spans="1:16" x14ac:dyDescent="0.3">
      <c r="A2900" s="1">
        <v>38478</v>
      </c>
      <c r="B2900">
        <v>10414</v>
      </c>
      <c r="C2900">
        <v>362</v>
      </c>
      <c r="D2900" t="s">
        <v>244</v>
      </c>
      <c r="E2900" t="s">
        <v>14</v>
      </c>
      <c r="F2900" t="s">
        <v>71</v>
      </c>
      <c r="G2900" t="s">
        <v>72</v>
      </c>
      <c r="H2900">
        <v>43</v>
      </c>
      <c r="I2900" s="2">
        <v>108.14</v>
      </c>
      <c r="J2900" s="2">
        <v>82.34</v>
      </c>
      <c r="K2900" s="2">
        <v>4650.0200000000004</v>
      </c>
      <c r="L2900" s="2">
        <v>3540.62</v>
      </c>
      <c r="M2900" s="2">
        <v>1109.4000000000001</v>
      </c>
      <c r="N2900">
        <v>3</v>
      </c>
      <c r="P2900" t="str">
        <f>TRIM(Table1[[#This Row],[country]])</f>
        <v>USA</v>
      </c>
    </row>
    <row r="2901" spans="1:16" x14ac:dyDescent="0.3">
      <c r="A2901" s="1">
        <v>38478</v>
      </c>
      <c r="B2901">
        <v>10414</v>
      </c>
      <c r="C2901">
        <v>362</v>
      </c>
      <c r="D2901" t="s">
        <v>244</v>
      </c>
      <c r="E2901" t="s">
        <v>14</v>
      </c>
      <c r="F2901" t="s">
        <v>15</v>
      </c>
      <c r="G2901" t="s">
        <v>73</v>
      </c>
      <c r="H2901">
        <v>60</v>
      </c>
      <c r="I2901" s="2">
        <v>72.58</v>
      </c>
      <c r="J2901" s="2">
        <v>46.91</v>
      </c>
      <c r="K2901" s="2">
        <v>4354.8</v>
      </c>
      <c r="L2901" s="2">
        <v>2814.6</v>
      </c>
      <c r="M2901" s="2">
        <v>1540.2</v>
      </c>
      <c r="N2901">
        <v>3</v>
      </c>
      <c r="P2901" t="str">
        <f>TRIM(Table1[[#This Row],[country]])</f>
        <v>USA</v>
      </c>
    </row>
    <row r="2902" spans="1:16" x14ac:dyDescent="0.3">
      <c r="A2902" s="1">
        <v>38478</v>
      </c>
      <c r="B2902">
        <v>10414</v>
      </c>
      <c r="C2902">
        <v>362</v>
      </c>
      <c r="D2902" t="s">
        <v>244</v>
      </c>
      <c r="E2902" t="s">
        <v>14</v>
      </c>
      <c r="F2902" t="s">
        <v>15</v>
      </c>
      <c r="G2902" t="s">
        <v>74</v>
      </c>
      <c r="H2902">
        <v>51</v>
      </c>
      <c r="I2902" s="2">
        <v>72.959999999999994</v>
      </c>
      <c r="J2902" s="2">
        <v>48.64</v>
      </c>
      <c r="K2902" s="2">
        <v>3720.96</v>
      </c>
      <c r="L2902" s="2">
        <v>2480.64</v>
      </c>
      <c r="M2902" s="2">
        <v>1240.32</v>
      </c>
      <c r="N2902">
        <v>3</v>
      </c>
      <c r="P2902" t="str">
        <f>TRIM(Table1[[#This Row],[country]])</f>
        <v>USA</v>
      </c>
    </row>
    <row r="2903" spans="1:16" x14ac:dyDescent="0.3">
      <c r="A2903" s="1">
        <v>38478</v>
      </c>
      <c r="B2903">
        <v>10414</v>
      </c>
      <c r="C2903">
        <v>362</v>
      </c>
      <c r="D2903" t="s">
        <v>244</v>
      </c>
      <c r="E2903" t="s">
        <v>14</v>
      </c>
      <c r="F2903" t="s">
        <v>71</v>
      </c>
      <c r="G2903" t="s">
        <v>75</v>
      </c>
      <c r="H2903">
        <v>37</v>
      </c>
      <c r="I2903" s="2">
        <v>62</v>
      </c>
      <c r="J2903" s="2">
        <v>34</v>
      </c>
      <c r="K2903" s="2">
        <v>2294</v>
      </c>
      <c r="L2903" s="2">
        <v>1258</v>
      </c>
      <c r="M2903" s="2">
        <v>1036</v>
      </c>
      <c r="N2903">
        <v>3</v>
      </c>
      <c r="P2903" t="str">
        <f>TRIM(Table1[[#This Row],[country]])</f>
        <v>USA</v>
      </c>
    </row>
    <row r="2904" spans="1:16" x14ac:dyDescent="0.3">
      <c r="A2904" s="1">
        <v>38478</v>
      </c>
      <c r="B2904">
        <v>10414</v>
      </c>
      <c r="C2904">
        <v>362</v>
      </c>
      <c r="D2904" t="s">
        <v>244</v>
      </c>
      <c r="E2904" t="s">
        <v>14</v>
      </c>
      <c r="F2904" t="s">
        <v>71</v>
      </c>
      <c r="G2904" t="s">
        <v>76</v>
      </c>
      <c r="H2904">
        <v>34</v>
      </c>
      <c r="I2904" s="2">
        <v>74.48</v>
      </c>
      <c r="J2904" s="2">
        <v>43.3</v>
      </c>
      <c r="K2904" s="2">
        <v>2532.3200000000002</v>
      </c>
      <c r="L2904" s="2">
        <v>1472.2</v>
      </c>
      <c r="M2904" s="2">
        <v>1060.1199999999999</v>
      </c>
      <c r="N2904">
        <v>3</v>
      </c>
      <c r="P2904" t="str">
        <f>TRIM(Table1[[#This Row],[country]])</f>
        <v>USA</v>
      </c>
    </row>
    <row r="2905" spans="1:16" x14ac:dyDescent="0.3">
      <c r="A2905" s="1">
        <v>38478</v>
      </c>
      <c r="B2905">
        <v>10414</v>
      </c>
      <c r="C2905">
        <v>362</v>
      </c>
      <c r="D2905" t="s">
        <v>244</v>
      </c>
      <c r="E2905" t="s">
        <v>14</v>
      </c>
      <c r="F2905" t="s">
        <v>71</v>
      </c>
      <c r="G2905" t="s">
        <v>77</v>
      </c>
      <c r="H2905">
        <v>31</v>
      </c>
      <c r="I2905" s="2">
        <v>61.44</v>
      </c>
      <c r="J2905" s="2">
        <v>33.97</v>
      </c>
      <c r="K2905" s="2">
        <v>1904.64</v>
      </c>
      <c r="L2905" s="2">
        <v>1053.07</v>
      </c>
      <c r="M2905" s="2">
        <v>851.57</v>
      </c>
      <c r="N2905">
        <v>3</v>
      </c>
      <c r="P2905" t="str">
        <f>TRIM(Table1[[#This Row],[country]])</f>
        <v>USA</v>
      </c>
    </row>
    <row r="2906" spans="1:16" x14ac:dyDescent="0.3">
      <c r="A2906" s="1">
        <v>38478</v>
      </c>
      <c r="B2906">
        <v>10414</v>
      </c>
      <c r="C2906">
        <v>362</v>
      </c>
      <c r="D2906" t="s">
        <v>244</v>
      </c>
      <c r="E2906" t="s">
        <v>14</v>
      </c>
      <c r="F2906" t="s">
        <v>71</v>
      </c>
      <c r="G2906" t="s">
        <v>78</v>
      </c>
      <c r="H2906">
        <v>28</v>
      </c>
      <c r="I2906" s="2">
        <v>84.14</v>
      </c>
      <c r="J2906" s="2">
        <v>51.09</v>
      </c>
      <c r="K2906" s="2">
        <v>2355.92</v>
      </c>
      <c r="L2906" s="2">
        <v>1430.52</v>
      </c>
      <c r="M2906" s="2">
        <v>925.4</v>
      </c>
      <c r="N2906">
        <v>3</v>
      </c>
      <c r="P2906" t="str">
        <f>TRIM(Table1[[#This Row],[country]])</f>
        <v>USA</v>
      </c>
    </row>
    <row r="2907" spans="1:16" x14ac:dyDescent="0.3">
      <c r="A2907" s="1">
        <v>38478</v>
      </c>
      <c r="B2907">
        <v>10414</v>
      </c>
      <c r="C2907">
        <v>362</v>
      </c>
      <c r="D2907" t="s">
        <v>244</v>
      </c>
      <c r="E2907" t="s">
        <v>14</v>
      </c>
      <c r="F2907" t="s">
        <v>71</v>
      </c>
      <c r="G2907" t="s">
        <v>79</v>
      </c>
      <c r="H2907">
        <v>40</v>
      </c>
      <c r="I2907" s="2">
        <v>84.41</v>
      </c>
      <c r="J2907" s="2">
        <v>53.63</v>
      </c>
      <c r="K2907" s="2">
        <v>3376.4</v>
      </c>
      <c r="L2907" s="2">
        <v>2145.1999999999998</v>
      </c>
      <c r="M2907" s="2">
        <v>1231.2</v>
      </c>
      <c r="N2907">
        <v>3</v>
      </c>
      <c r="P2907" t="str">
        <f>TRIM(Table1[[#This Row],[country]])</f>
        <v>USA</v>
      </c>
    </row>
    <row r="2908" spans="1:16" x14ac:dyDescent="0.3">
      <c r="A2908" s="1">
        <v>38478</v>
      </c>
      <c r="B2908">
        <v>10414</v>
      </c>
      <c r="C2908">
        <v>362</v>
      </c>
      <c r="D2908" t="s">
        <v>244</v>
      </c>
      <c r="E2908" t="s">
        <v>14</v>
      </c>
      <c r="F2908" t="s">
        <v>71</v>
      </c>
      <c r="G2908" t="s">
        <v>80</v>
      </c>
      <c r="H2908">
        <v>47</v>
      </c>
      <c r="I2908" s="2">
        <v>54.6</v>
      </c>
      <c r="J2908" s="2">
        <v>33.299999999999997</v>
      </c>
      <c r="K2908" s="2">
        <v>2566.1999999999998</v>
      </c>
      <c r="L2908" s="2">
        <v>1565.1</v>
      </c>
      <c r="M2908" s="2">
        <v>1001.1</v>
      </c>
      <c r="N2908">
        <v>3</v>
      </c>
      <c r="P2908" t="str">
        <f>TRIM(Table1[[#This Row],[country]])</f>
        <v>USA</v>
      </c>
    </row>
    <row r="2909" spans="1:16" x14ac:dyDescent="0.3">
      <c r="A2909" s="1">
        <v>38481</v>
      </c>
      <c r="B2909">
        <v>10415</v>
      </c>
      <c r="C2909">
        <v>471</v>
      </c>
      <c r="D2909" t="s">
        <v>181</v>
      </c>
      <c r="E2909" t="s">
        <v>151</v>
      </c>
      <c r="F2909" t="s">
        <v>15</v>
      </c>
      <c r="G2909" t="s">
        <v>87</v>
      </c>
      <c r="H2909">
        <v>51</v>
      </c>
      <c r="I2909" s="2">
        <v>86.81</v>
      </c>
      <c r="J2909" s="2">
        <v>64.58</v>
      </c>
      <c r="K2909" s="2">
        <v>4427.3100000000004</v>
      </c>
      <c r="L2909" s="2">
        <v>3293.58</v>
      </c>
      <c r="M2909" s="2">
        <v>1133.73</v>
      </c>
      <c r="N2909">
        <v>3</v>
      </c>
      <c r="P2909" t="str">
        <f>TRIM(Table1[[#This Row],[country]])</f>
        <v>Australia</v>
      </c>
    </row>
    <row r="2910" spans="1:16" x14ac:dyDescent="0.3">
      <c r="A2910" s="1">
        <v>38481</v>
      </c>
      <c r="B2910">
        <v>10415</v>
      </c>
      <c r="C2910">
        <v>471</v>
      </c>
      <c r="D2910" t="s">
        <v>181</v>
      </c>
      <c r="E2910" t="s">
        <v>151</v>
      </c>
      <c r="F2910" t="s">
        <v>83</v>
      </c>
      <c r="G2910" t="s">
        <v>89</v>
      </c>
      <c r="H2910">
        <v>21</v>
      </c>
      <c r="I2910" s="2">
        <v>60.97</v>
      </c>
      <c r="J2910" s="2">
        <v>34.25</v>
      </c>
      <c r="K2910" s="2">
        <v>1280.3699999999999</v>
      </c>
      <c r="L2910" s="2">
        <v>719.25</v>
      </c>
      <c r="M2910" s="2">
        <v>561.12</v>
      </c>
      <c r="N2910">
        <v>3</v>
      </c>
      <c r="P2910" t="str">
        <f>TRIM(Table1[[#This Row],[country]])</f>
        <v>Australia</v>
      </c>
    </row>
    <row r="2911" spans="1:16" x14ac:dyDescent="0.3">
      <c r="A2911" s="1">
        <v>38481</v>
      </c>
      <c r="B2911">
        <v>10415</v>
      </c>
      <c r="C2911">
        <v>471</v>
      </c>
      <c r="D2911" t="s">
        <v>181</v>
      </c>
      <c r="E2911" t="s">
        <v>151</v>
      </c>
      <c r="F2911" t="s">
        <v>15</v>
      </c>
      <c r="G2911" t="s">
        <v>90</v>
      </c>
      <c r="H2911">
        <v>18</v>
      </c>
      <c r="I2911" s="2">
        <v>59.83</v>
      </c>
      <c r="J2911" s="2">
        <v>26.3</v>
      </c>
      <c r="K2911" s="2">
        <v>1076.94</v>
      </c>
      <c r="L2911" s="2">
        <v>473.4</v>
      </c>
      <c r="M2911" s="2">
        <v>603.54</v>
      </c>
      <c r="N2911">
        <v>3</v>
      </c>
      <c r="P2911" t="str">
        <f>TRIM(Table1[[#This Row],[country]])</f>
        <v>Australia</v>
      </c>
    </row>
    <row r="2912" spans="1:16" x14ac:dyDescent="0.3">
      <c r="A2912" s="1">
        <v>38481</v>
      </c>
      <c r="B2912">
        <v>10415</v>
      </c>
      <c r="C2912">
        <v>471</v>
      </c>
      <c r="D2912" t="s">
        <v>181</v>
      </c>
      <c r="E2912" t="s">
        <v>151</v>
      </c>
      <c r="F2912" t="s">
        <v>71</v>
      </c>
      <c r="G2912" t="s">
        <v>96</v>
      </c>
      <c r="H2912">
        <v>32</v>
      </c>
      <c r="I2912" s="2">
        <v>73.319999999999993</v>
      </c>
      <c r="J2912" s="2">
        <v>39.83</v>
      </c>
      <c r="K2912" s="2">
        <v>2346.2399999999998</v>
      </c>
      <c r="L2912" s="2">
        <v>1274.56</v>
      </c>
      <c r="M2912" s="2">
        <v>1071.68</v>
      </c>
      <c r="N2912">
        <v>3</v>
      </c>
      <c r="P2912" t="str">
        <f>TRIM(Table1[[#This Row],[country]])</f>
        <v>Australia</v>
      </c>
    </row>
    <row r="2913" spans="1:16" x14ac:dyDescent="0.3">
      <c r="A2913" s="1">
        <v>38481</v>
      </c>
      <c r="B2913">
        <v>10415</v>
      </c>
      <c r="C2913">
        <v>471</v>
      </c>
      <c r="D2913" t="s">
        <v>181</v>
      </c>
      <c r="E2913" t="s">
        <v>151</v>
      </c>
      <c r="F2913" t="s">
        <v>83</v>
      </c>
      <c r="G2913" t="s">
        <v>101</v>
      </c>
      <c r="H2913">
        <v>42</v>
      </c>
      <c r="I2913" s="2">
        <v>43.2</v>
      </c>
      <c r="J2913" s="2">
        <v>32.770000000000003</v>
      </c>
      <c r="K2913" s="2">
        <v>1814.4</v>
      </c>
      <c r="L2913" s="2">
        <v>1376.34</v>
      </c>
      <c r="M2913" s="2">
        <v>438.06</v>
      </c>
      <c r="N2913">
        <v>3</v>
      </c>
      <c r="P2913" t="str">
        <f>TRIM(Table1[[#This Row],[country]])</f>
        <v>Australia</v>
      </c>
    </row>
    <row r="2914" spans="1:16" x14ac:dyDescent="0.3">
      <c r="A2914" s="1">
        <v>38482</v>
      </c>
      <c r="B2914">
        <v>10416</v>
      </c>
      <c r="C2914">
        <v>386</v>
      </c>
      <c r="D2914" t="s">
        <v>173</v>
      </c>
      <c r="E2914" t="s">
        <v>82</v>
      </c>
      <c r="F2914" t="s">
        <v>83</v>
      </c>
      <c r="G2914" t="s">
        <v>84</v>
      </c>
      <c r="H2914">
        <v>24</v>
      </c>
      <c r="I2914" s="2">
        <v>129.31</v>
      </c>
      <c r="J2914" s="2">
        <v>77.27</v>
      </c>
      <c r="K2914" s="2">
        <v>3103.44</v>
      </c>
      <c r="L2914" s="2">
        <v>1854.48</v>
      </c>
      <c r="M2914" s="2">
        <v>1248.96</v>
      </c>
      <c r="N2914">
        <v>3</v>
      </c>
      <c r="P2914" t="str">
        <f>TRIM(Table1[[#This Row],[country]])</f>
        <v>Italy</v>
      </c>
    </row>
    <row r="2915" spans="1:16" x14ac:dyDescent="0.3">
      <c r="A2915" s="1">
        <v>38482</v>
      </c>
      <c r="B2915">
        <v>10416</v>
      </c>
      <c r="C2915">
        <v>386</v>
      </c>
      <c r="D2915" t="s">
        <v>173</v>
      </c>
      <c r="E2915" t="s">
        <v>82</v>
      </c>
      <c r="F2915" t="s">
        <v>83</v>
      </c>
      <c r="G2915" t="s">
        <v>85</v>
      </c>
      <c r="H2915">
        <v>15</v>
      </c>
      <c r="I2915" s="2">
        <v>70.959999999999994</v>
      </c>
      <c r="J2915" s="2">
        <v>49</v>
      </c>
      <c r="K2915" s="2">
        <v>1064.4000000000001</v>
      </c>
      <c r="L2915" s="2">
        <v>735</v>
      </c>
      <c r="M2915" s="2">
        <v>329.4</v>
      </c>
      <c r="N2915">
        <v>3</v>
      </c>
      <c r="P2915" t="str">
        <f>TRIM(Table1[[#This Row],[country]])</f>
        <v>Italy</v>
      </c>
    </row>
    <row r="2916" spans="1:16" x14ac:dyDescent="0.3">
      <c r="A2916" s="1">
        <v>38482</v>
      </c>
      <c r="B2916">
        <v>10416</v>
      </c>
      <c r="C2916">
        <v>386</v>
      </c>
      <c r="D2916" t="s">
        <v>173</v>
      </c>
      <c r="E2916" t="s">
        <v>82</v>
      </c>
      <c r="F2916" t="s">
        <v>83</v>
      </c>
      <c r="G2916" t="s">
        <v>88</v>
      </c>
      <c r="H2916">
        <v>47</v>
      </c>
      <c r="I2916" s="2">
        <v>90.82</v>
      </c>
      <c r="J2916" s="2">
        <v>66.739999999999995</v>
      </c>
      <c r="K2916" s="2">
        <v>4268.54</v>
      </c>
      <c r="L2916" s="2">
        <v>3136.78</v>
      </c>
      <c r="M2916" s="2">
        <v>1131.76</v>
      </c>
      <c r="N2916">
        <v>3</v>
      </c>
      <c r="P2916" t="str">
        <f>TRIM(Table1[[#This Row],[country]])</f>
        <v>Italy</v>
      </c>
    </row>
    <row r="2917" spans="1:16" x14ac:dyDescent="0.3">
      <c r="A2917" s="1">
        <v>38482</v>
      </c>
      <c r="B2917">
        <v>10416</v>
      </c>
      <c r="C2917">
        <v>386</v>
      </c>
      <c r="D2917" t="s">
        <v>173</v>
      </c>
      <c r="E2917" t="s">
        <v>82</v>
      </c>
      <c r="F2917" t="s">
        <v>102</v>
      </c>
      <c r="G2917" t="s">
        <v>109</v>
      </c>
      <c r="H2917">
        <v>32</v>
      </c>
      <c r="I2917" s="2">
        <v>62.46</v>
      </c>
      <c r="J2917" s="2">
        <v>37.32</v>
      </c>
      <c r="K2917" s="2">
        <v>1998.72</v>
      </c>
      <c r="L2917" s="2">
        <v>1194.24</v>
      </c>
      <c r="M2917" s="2">
        <v>804.48</v>
      </c>
      <c r="N2917">
        <v>3</v>
      </c>
      <c r="P2917" t="str">
        <f>TRIM(Table1[[#This Row],[country]])</f>
        <v>Italy</v>
      </c>
    </row>
    <row r="2918" spans="1:16" x14ac:dyDescent="0.3">
      <c r="A2918" s="1">
        <v>38482</v>
      </c>
      <c r="B2918">
        <v>10416</v>
      </c>
      <c r="C2918">
        <v>386</v>
      </c>
      <c r="D2918" t="s">
        <v>173</v>
      </c>
      <c r="E2918" t="s">
        <v>82</v>
      </c>
      <c r="F2918" t="s">
        <v>83</v>
      </c>
      <c r="G2918" t="s">
        <v>91</v>
      </c>
      <c r="H2918">
        <v>18</v>
      </c>
      <c r="I2918" s="2">
        <v>64.83</v>
      </c>
      <c r="J2918" s="2">
        <v>29.34</v>
      </c>
      <c r="K2918" s="2">
        <v>1166.94</v>
      </c>
      <c r="L2918" s="2">
        <v>528.12</v>
      </c>
      <c r="M2918" s="2">
        <v>638.82000000000005</v>
      </c>
      <c r="N2918">
        <v>3</v>
      </c>
      <c r="P2918" t="str">
        <f>TRIM(Table1[[#This Row],[country]])</f>
        <v>Italy</v>
      </c>
    </row>
    <row r="2919" spans="1:16" x14ac:dyDescent="0.3">
      <c r="A2919" s="1">
        <v>38482</v>
      </c>
      <c r="B2919">
        <v>10416</v>
      </c>
      <c r="C2919">
        <v>386</v>
      </c>
      <c r="D2919" t="s">
        <v>173</v>
      </c>
      <c r="E2919" t="s">
        <v>82</v>
      </c>
      <c r="F2919" t="s">
        <v>83</v>
      </c>
      <c r="G2919" t="s">
        <v>92</v>
      </c>
      <c r="H2919">
        <v>48</v>
      </c>
      <c r="I2919" s="2">
        <v>70.28</v>
      </c>
      <c r="J2919" s="2">
        <v>36.229999999999997</v>
      </c>
      <c r="K2919" s="2">
        <v>3373.44</v>
      </c>
      <c r="L2919" s="2">
        <v>1739.04</v>
      </c>
      <c r="M2919" s="2">
        <v>1634.4</v>
      </c>
      <c r="N2919">
        <v>3</v>
      </c>
      <c r="P2919" t="str">
        <f>TRIM(Table1[[#This Row],[country]])</f>
        <v>Italy</v>
      </c>
    </row>
    <row r="2920" spans="1:16" x14ac:dyDescent="0.3">
      <c r="A2920" s="1">
        <v>38482</v>
      </c>
      <c r="B2920">
        <v>10416</v>
      </c>
      <c r="C2920">
        <v>386</v>
      </c>
      <c r="D2920" t="s">
        <v>173</v>
      </c>
      <c r="E2920" t="s">
        <v>82</v>
      </c>
      <c r="F2920" t="s">
        <v>102</v>
      </c>
      <c r="G2920" t="s">
        <v>110</v>
      </c>
      <c r="H2920">
        <v>45</v>
      </c>
      <c r="I2920" s="2">
        <v>86.9</v>
      </c>
      <c r="J2920" s="2">
        <v>66.92</v>
      </c>
      <c r="K2920" s="2">
        <v>3910.5</v>
      </c>
      <c r="L2920" s="2">
        <v>3011.4</v>
      </c>
      <c r="M2920" s="2">
        <v>899.1</v>
      </c>
      <c r="N2920">
        <v>3</v>
      </c>
      <c r="P2920" t="str">
        <f>TRIM(Table1[[#This Row],[country]])</f>
        <v>Italy</v>
      </c>
    </row>
    <row r="2921" spans="1:16" x14ac:dyDescent="0.3">
      <c r="A2921" s="1">
        <v>38482</v>
      </c>
      <c r="B2921">
        <v>10416</v>
      </c>
      <c r="C2921">
        <v>386</v>
      </c>
      <c r="D2921" t="s">
        <v>173</v>
      </c>
      <c r="E2921" t="s">
        <v>82</v>
      </c>
      <c r="F2921" t="s">
        <v>15</v>
      </c>
      <c r="G2921" t="s">
        <v>93</v>
      </c>
      <c r="H2921">
        <v>26</v>
      </c>
      <c r="I2921" s="2">
        <v>68.099999999999994</v>
      </c>
      <c r="J2921" s="2">
        <v>33.020000000000003</v>
      </c>
      <c r="K2921" s="2">
        <v>1770.6</v>
      </c>
      <c r="L2921" s="2">
        <v>858.52</v>
      </c>
      <c r="M2921" s="2">
        <v>912.08</v>
      </c>
      <c r="N2921">
        <v>3</v>
      </c>
      <c r="P2921" t="str">
        <f>TRIM(Table1[[#This Row],[country]])</f>
        <v>Italy</v>
      </c>
    </row>
    <row r="2922" spans="1:16" x14ac:dyDescent="0.3">
      <c r="A2922" s="1">
        <v>38482</v>
      </c>
      <c r="B2922">
        <v>10416</v>
      </c>
      <c r="C2922">
        <v>386</v>
      </c>
      <c r="D2922" t="s">
        <v>173</v>
      </c>
      <c r="E2922" t="s">
        <v>82</v>
      </c>
      <c r="F2922" t="s">
        <v>15</v>
      </c>
      <c r="G2922" t="s">
        <v>94</v>
      </c>
      <c r="H2922">
        <v>37</v>
      </c>
      <c r="I2922" s="2">
        <v>39.71</v>
      </c>
      <c r="J2922" s="2">
        <v>27.06</v>
      </c>
      <c r="K2922" s="2">
        <v>1469.27</v>
      </c>
      <c r="L2922" s="2">
        <v>1001.22</v>
      </c>
      <c r="M2922" s="2">
        <v>468.05</v>
      </c>
      <c r="N2922">
        <v>3</v>
      </c>
      <c r="P2922" t="str">
        <f>TRIM(Table1[[#This Row],[country]])</f>
        <v>Italy</v>
      </c>
    </row>
    <row r="2923" spans="1:16" x14ac:dyDescent="0.3">
      <c r="A2923" s="1">
        <v>38482</v>
      </c>
      <c r="B2923">
        <v>10416</v>
      </c>
      <c r="C2923">
        <v>386</v>
      </c>
      <c r="D2923" t="s">
        <v>173</v>
      </c>
      <c r="E2923" t="s">
        <v>82</v>
      </c>
      <c r="F2923" t="s">
        <v>83</v>
      </c>
      <c r="G2923" t="s">
        <v>95</v>
      </c>
      <c r="H2923">
        <v>23</v>
      </c>
      <c r="I2923" s="2">
        <v>88.6</v>
      </c>
      <c r="J2923" s="2">
        <v>51.15</v>
      </c>
      <c r="K2923" s="2">
        <v>2037.8</v>
      </c>
      <c r="L2923" s="2">
        <v>1176.45</v>
      </c>
      <c r="M2923" s="2">
        <v>861.35</v>
      </c>
      <c r="N2923">
        <v>3</v>
      </c>
      <c r="P2923" t="str">
        <f>TRIM(Table1[[#This Row],[country]])</f>
        <v>Italy</v>
      </c>
    </row>
    <row r="2924" spans="1:16" x14ac:dyDescent="0.3">
      <c r="A2924" s="1">
        <v>38482</v>
      </c>
      <c r="B2924">
        <v>10416</v>
      </c>
      <c r="C2924">
        <v>386</v>
      </c>
      <c r="D2924" t="s">
        <v>173</v>
      </c>
      <c r="E2924" t="s">
        <v>82</v>
      </c>
      <c r="F2924" t="s">
        <v>83</v>
      </c>
      <c r="G2924" t="s">
        <v>97</v>
      </c>
      <c r="H2924">
        <v>22</v>
      </c>
      <c r="I2924" s="2">
        <v>84.76</v>
      </c>
      <c r="J2924" s="2">
        <v>68.8</v>
      </c>
      <c r="K2924" s="2">
        <v>1864.72</v>
      </c>
      <c r="L2924" s="2">
        <v>1513.6</v>
      </c>
      <c r="M2924" s="2">
        <v>351.12</v>
      </c>
      <c r="N2924">
        <v>3</v>
      </c>
      <c r="P2924" t="str">
        <f>TRIM(Table1[[#This Row],[country]])</f>
        <v>Italy</v>
      </c>
    </row>
    <row r="2925" spans="1:16" x14ac:dyDescent="0.3">
      <c r="A2925" s="1">
        <v>38482</v>
      </c>
      <c r="B2925">
        <v>10416</v>
      </c>
      <c r="C2925">
        <v>386</v>
      </c>
      <c r="D2925" t="s">
        <v>173</v>
      </c>
      <c r="E2925" t="s">
        <v>82</v>
      </c>
      <c r="F2925" t="s">
        <v>83</v>
      </c>
      <c r="G2925" t="s">
        <v>98</v>
      </c>
      <c r="H2925">
        <v>41</v>
      </c>
      <c r="I2925" s="2">
        <v>98.48</v>
      </c>
      <c r="J2925" s="2">
        <v>59.33</v>
      </c>
      <c r="K2925" s="2">
        <v>4037.68</v>
      </c>
      <c r="L2925" s="2">
        <v>2432.5300000000002</v>
      </c>
      <c r="M2925" s="2">
        <v>1605.15</v>
      </c>
      <c r="N2925">
        <v>3</v>
      </c>
      <c r="P2925" t="str">
        <f>TRIM(Table1[[#This Row],[country]])</f>
        <v>Italy</v>
      </c>
    </row>
    <row r="2926" spans="1:16" x14ac:dyDescent="0.3">
      <c r="A2926" s="1">
        <v>38482</v>
      </c>
      <c r="B2926">
        <v>10416</v>
      </c>
      <c r="C2926">
        <v>386</v>
      </c>
      <c r="D2926" t="s">
        <v>173</v>
      </c>
      <c r="E2926" t="s">
        <v>82</v>
      </c>
      <c r="F2926" t="s">
        <v>83</v>
      </c>
      <c r="G2926" t="s">
        <v>99</v>
      </c>
      <c r="H2926">
        <v>39</v>
      </c>
      <c r="I2926" s="2">
        <v>65.599999999999994</v>
      </c>
      <c r="J2926" s="2">
        <v>54.4</v>
      </c>
      <c r="K2926" s="2">
        <v>2558.4</v>
      </c>
      <c r="L2926" s="2">
        <v>2121.6</v>
      </c>
      <c r="M2926" s="2">
        <v>436.8</v>
      </c>
      <c r="N2926">
        <v>3</v>
      </c>
      <c r="P2926" t="str">
        <f>TRIM(Table1[[#This Row],[country]])</f>
        <v>Italy</v>
      </c>
    </row>
    <row r="2927" spans="1:16" x14ac:dyDescent="0.3">
      <c r="A2927" s="1">
        <v>38482</v>
      </c>
      <c r="B2927">
        <v>10416</v>
      </c>
      <c r="C2927">
        <v>386</v>
      </c>
      <c r="D2927" t="s">
        <v>173</v>
      </c>
      <c r="E2927" t="s">
        <v>82</v>
      </c>
      <c r="F2927" t="s">
        <v>83</v>
      </c>
      <c r="G2927" t="s">
        <v>100</v>
      </c>
      <c r="H2927">
        <v>43</v>
      </c>
      <c r="I2927" s="2">
        <v>63.67</v>
      </c>
      <c r="J2927" s="2">
        <v>36.270000000000003</v>
      </c>
      <c r="K2927" s="2">
        <v>2737.81</v>
      </c>
      <c r="L2927" s="2">
        <v>1559.61</v>
      </c>
      <c r="M2927" s="2">
        <v>1178.2</v>
      </c>
      <c r="N2927">
        <v>3</v>
      </c>
      <c r="P2927" t="str">
        <f>TRIM(Table1[[#This Row],[country]])</f>
        <v>Italy</v>
      </c>
    </row>
    <row r="2928" spans="1:16" x14ac:dyDescent="0.3">
      <c r="A2928" s="1">
        <v>38485</v>
      </c>
      <c r="B2928">
        <v>10417</v>
      </c>
      <c r="C2928">
        <v>141</v>
      </c>
      <c r="D2928" t="s">
        <v>47</v>
      </c>
      <c r="E2928" t="s">
        <v>48</v>
      </c>
      <c r="F2928" t="s">
        <v>102</v>
      </c>
      <c r="G2928" t="s">
        <v>103</v>
      </c>
      <c r="H2928">
        <v>66</v>
      </c>
      <c r="I2928" s="2">
        <v>79.430000000000007</v>
      </c>
      <c r="J2928" s="2">
        <v>48.81</v>
      </c>
      <c r="K2928" s="2">
        <v>5242.38</v>
      </c>
      <c r="L2928" s="2">
        <v>3221.46</v>
      </c>
      <c r="M2928" s="2">
        <v>2020.92</v>
      </c>
      <c r="N2928">
        <v>24</v>
      </c>
      <c r="P2928" t="str">
        <f>TRIM(Table1[[#This Row],[country]])</f>
        <v>Spain</v>
      </c>
    </row>
    <row r="2929" spans="1:16" x14ac:dyDescent="0.3">
      <c r="A2929" s="1">
        <v>38485</v>
      </c>
      <c r="B2929">
        <v>10417</v>
      </c>
      <c r="C2929">
        <v>141</v>
      </c>
      <c r="D2929" t="s">
        <v>47</v>
      </c>
      <c r="E2929" t="s">
        <v>48</v>
      </c>
      <c r="F2929" t="s">
        <v>102</v>
      </c>
      <c r="G2929" t="s">
        <v>104</v>
      </c>
      <c r="H2929">
        <v>45</v>
      </c>
      <c r="I2929" s="2">
        <v>116.56</v>
      </c>
      <c r="J2929" s="2">
        <v>68.989999999999995</v>
      </c>
      <c r="K2929" s="2">
        <v>5245.2</v>
      </c>
      <c r="L2929" s="2">
        <v>3104.55</v>
      </c>
      <c r="M2929" s="2">
        <v>2140.65</v>
      </c>
      <c r="N2929">
        <v>24</v>
      </c>
      <c r="P2929" t="str">
        <f>TRIM(Table1[[#This Row],[country]])</f>
        <v>Spain</v>
      </c>
    </row>
    <row r="2930" spans="1:16" x14ac:dyDescent="0.3">
      <c r="A2930" s="1">
        <v>38485</v>
      </c>
      <c r="B2930">
        <v>10417</v>
      </c>
      <c r="C2930">
        <v>141</v>
      </c>
      <c r="D2930" t="s">
        <v>47</v>
      </c>
      <c r="E2930" t="s">
        <v>48</v>
      </c>
      <c r="F2930" t="s">
        <v>102</v>
      </c>
      <c r="G2930" t="s">
        <v>105</v>
      </c>
      <c r="H2930">
        <v>56</v>
      </c>
      <c r="I2930" s="2">
        <v>162.66999999999999</v>
      </c>
      <c r="J2930" s="2">
        <v>91.02</v>
      </c>
      <c r="K2930" s="2">
        <v>9109.52</v>
      </c>
      <c r="L2930" s="2">
        <v>5097.12</v>
      </c>
      <c r="M2930" s="2">
        <v>4012.4</v>
      </c>
      <c r="N2930">
        <v>24</v>
      </c>
      <c r="P2930" t="str">
        <f>TRIM(Table1[[#This Row],[country]])</f>
        <v>Spain</v>
      </c>
    </row>
    <row r="2931" spans="1:16" x14ac:dyDescent="0.3">
      <c r="A2931" s="1">
        <v>38485</v>
      </c>
      <c r="B2931">
        <v>10417</v>
      </c>
      <c r="C2931">
        <v>141</v>
      </c>
      <c r="D2931" t="s">
        <v>47</v>
      </c>
      <c r="E2931" t="s">
        <v>48</v>
      </c>
      <c r="F2931" t="s">
        <v>102</v>
      </c>
      <c r="G2931" t="s">
        <v>106</v>
      </c>
      <c r="H2931">
        <v>21</v>
      </c>
      <c r="I2931" s="2">
        <v>144.6</v>
      </c>
      <c r="J2931" s="2">
        <v>66.27</v>
      </c>
      <c r="K2931" s="2">
        <v>3036.6</v>
      </c>
      <c r="L2931" s="2">
        <v>1391.67</v>
      </c>
      <c r="M2931" s="2">
        <v>1644.93</v>
      </c>
      <c r="N2931">
        <v>24</v>
      </c>
      <c r="P2931" t="str">
        <f>TRIM(Table1[[#This Row],[country]])</f>
        <v>Spain</v>
      </c>
    </row>
    <row r="2932" spans="1:16" x14ac:dyDescent="0.3">
      <c r="A2932" s="1">
        <v>38485</v>
      </c>
      <c r="B2932">
        <v>10417</v>
      </c>
      <c r="C2932">
        <v>141</v>
      </c>
      <c r="D2932" t="s">
        <v>47</v>
      </c>
      <c r="E2932" t="s">
        <v>48</v>
      </c>
      <c r="F2932" t="s">
        <v>102</v>
      </c>
      <c r="G2932" t="s">
        <v>107</v>
      </c>
      <c r="H2932">
        <v>36</v>
      </c>
      <c r="I2932" s="2">
        <v>58.75</v>
      </c>
      <c r="J2932" s="2">
        <v>24.23</v>
      </c>
      <c r="K2932" s="2">
        <v>2115</v>
      </c>
      <c r="L2932" s="2">
        <v>872.28</v>
      </c>
      <c r="M2932" s="2">
        <v>1242.72</v>
      </c>
      <c r="N2932">
        <v>24</v>
      </c>
      <c r="P2932" t="str">
        <f>TRIM(Table1[[#This Row],[country]])</f>
        <v>Spain</v>
      </c>
    </row>
    <row r="2933" spans="1:16" x14ac:dyDescent="0.3">
      <c r="A2933" s="1">
        <v>38485</v>
      </c>
      <c r="B2933">
        <v>10417</v>
      </c>
      <c r="C2933">
        <v>141</v>
      </c>
      <c r="D2933" t="s">
        <v>47</v>
      </c>
      <c r="E2933" t="s">
        <v>48</v>
      </c>
      <c r="F2933" t="s">
        <v>102</v>
      </c>
      <c r="G2933" t="s">
        <v>108</v>
      </c>
      <c r="H2933">
        <v>35</v>
      </c>
      <c r="I2933" s="2">
        <v>109.32</v>
      </c>
      <c r="J2933" s="2">
        <v>60.86</v>
      </c>
      <c r="K2933" s="2">
        <v>3826.2</v>
      </c>
      <c r="L2933" s="2">
        <v>2130.1</v>
      </c>
      <c r="M2933" s="2">
        <v>1696.1</v>
      </c>
      <c r="N2933">
        <v>24</v>
      </c>
      <c r="P2933" t="str">
        <f>TRIM(Table1[[#This Row],[country]])</f>
        <v>Spain</v>
      </c>
    </row>
    <row r="2934" spans="1:16" x14ac:dyDescent="0.3">
      <c r="A2934" s="1">
        <v>38488</v>
      </c>
      <c r="B2934">
        <v>10418</v>
      </c>
      <c r="C2934">
        <v>412</v>
      </c>
      <c r="D2934" t="s">
        <v>192</v>
      </c>
      <c r="E2934" t="s">
        <v>159</v>
      </c>
      <c r="F2934" t="s">
        <v>29</v>
      </c>
      <c r="G2934" t="s">
        <v>117</v>
      </c>
      <c r="H2934">
        <v>16</v>
      </c>
      <c r="I2934" s="2">
        <v>70.760000000000005</v>
      </c>
      <c r="J2934" s="2">
        <v>49.05</v>
      </c>
      <c r="K2934" s="2">
        <v>1132.1600000000001</v>
      </c>
      <c r="L2934" s="2">
        <v>784.8</v>
      </c>
      <c r="M2934" s="2">
        <v>347.36</v>
      </c>
      <c r="N2934">
        <v>3</v>
      </c>
      <c r="P2934" t="str">
        <f>TRIM(Table1[[#This Row],[country]])</f>
        <v>New Zealand</v>
      </c>
    </row>
    <row r="2935" spans="1:16" x14ac:dyDescent="0.3">
      <c r="A2935" s="1">
        <v>38488</v>
      </c>
      <c r="B2935">
        <v>10418</v>
      </c>
      <c r="C2935">
        <v>412</v>
      </c>
      <c r="D2935" t="s">
        <v>192</v>
      </c>
      <c r="E2935" t="s">
        <v>159</v>
      </c>
      <c r="F2935" t="s">
        <v>29</v>
      </c>
      <c r="G2935" t="s">
        <v>118</v>
      </c>
      <c r="H2935">
        <v>27</v>
      </c>
      <c r="I2935" s="2">
        <v>139.63999999999999</v>
      </c>
      <c r="J2935" s="2">
        <v>73.489999999999995</v>
      </c>
      <c r="K2935" s="2">
        <v>3770.28</v>
      </c>
      <c r="L2935" s="2">
        <v>1984.23</v>
      </c>
      <c r="M2935" s="2">
        <v>1786.05</v>
      </c>
      <c r="N2935">
        <v>3</v>
      </c>
      <c r="P2935" t="str">
        <f>TRIM(Table1[[#This Row],[country]])</f>
        <v>New Zealand</v>
      </c>
    </row>
    <row r="2936" spans="1:16" x14ac:dyDescent="0.3">
      <c r="A2936" s="1">
        <v>38488</v>
      </c>
      <c r="B2936">
        <v>10418</v>
      </c>
      <c r="C2936">
        <v>412</v>
      </c>
      <c r="D2936" t="s">
        <v>192</v>
      </c>
      <c r="E2936" t="s">
        <v>159</v>
      </c>
      <c r="F2936" t="s">
        <v>102</v>
      </c>
      <c r="G2936" t="s">
        <v>119</v>
      </c>
      <c r="H2936">
        <v>33</v>
      </c>
      <c r="I2936" s="2">
        <v>56.57</v>
      </c>
      <c r="J2936" s="2">
        <v>32.950000000000003</v>
      </c>
      <c r="K2936" s="2">
        <v>1866.81</v>
      </c>
      <c r="L2936" s="2">
        <v>1087.3499999999999</v>
      </c>
      <c r="M2936" s="2">
        <v>779.46</v>
      </c>
      <c r="N2936">
        <v>3</v>
      </c>
      <c r="P2936" t="str">
        <f>TRIM(Table1[[#This Row],[country]])</f>
        <v>New Zealand</v>
      </c>
    </row>
    <row r="2937" spans="1:16" x14ac:dyDescent="0.3">
      <c r="A2937" s="1">
        <v>38488</v>
      </c>
      <c r="B2937">
        <v>10418</v>
      </c>
      <c r="C2937">
        <v>412</v>
      </c>
      <c r="D2937" t="s">
        <v>192</v>
      </c>
      <c r="E2937" t="s">
        <v>159</v>
      </c>
      <c r="F2937" t="s">
        <v>29</v>
      </c>
      <c r="G2937" t="s">
        <v>120</v>
      </c>
      <c r="H2937">
        <v>28</v>
      </c>
      <c r="I2937" s="2">
        <v>120.53</v>
      </c>
      <c r="J2937" s="2">
        <v>69.930000000000007</v>
      </c>
      <c r="K2937" s="2">
        <v>3374.84</v>
      </c>
      <c r="L2937" s="2">
        <v>1958.04</v>
      </c>
      <c r="M2937" s="2">
        <v>1416.8</v>
      </c>
      <c r="N2937">
        <v>3</v>
      </c>
      <c r="P2937" t="str">
        <f>TRIM(Table1[[#This Row],[country]])</f>
        <v>New Zealand</v>
      </c>
    </row>
    <row r="2938" spans="1:16" x14ac:dyDescent="0.3">
      <c r="A2938" s="1">
        <v>38488</v>
      </c>
      <c r="B2938">
        <v>10418</v>
      </c>
      <c r="C2938">
        <v>412</v>
      </c>
      <c r="D2938" t="s">
        <v>192</v>
      </c>
      <c r="E2938" t="s">
        <v>159</v>
      </c>
      <c r="F2938" t="s">
        <v>102</v>
      </c>
      <c r="G2938" t="s">
        <v>121</v>
      </c>
      <c r="H2938">
        <v>52</v>
      </c>
      <c r="I2938" s="2">
        <v>64.41</v>
      </c>
      <c r="J2938" s="2">
        <v>47.1</v>
      </c>
      <c r="K2938" s="2">
        <v>3349.32</v>
      </c>
      <c r="L2938" s="2">
        <v>2449.1999999999998</v>
      </c>
      <c r="M2938" s="2">
        <v>900.12</v>
      </c>
      <c r="N2938">
        <v>3</v>
      </c>
      <c r="P2938" t="str">
        <f>TRIM(Table1[[#This Row],[country]])</f>
        <v>New Zealand</v>
      </c>
    </row>
    <row r="2939" spans="1:16" x14ac:dyDescent="0.3">
      <c r="A2939" s="1">
        <v>38488</v>
      </c>
      <c r="B2939">
        <v>10418</v>
      </c>
      <c r="C2939">
        <v>412</v>
      </c>
      <c r="D2939" t="s">
        <v>192</v>
      </c>
      <c r="E2939" t="s">
        <v>159</v>
      </c>
      <c r="F2939" t="s">
        <v>29</v>
      </c>
      <c r="G2939" t="s">
        <v>124</v>
      </c>
      <c r="H2939">
        <v>10</v>
      </c>
      <c r="I2939" s="2">
        <v>66.290000000000006</v>
      </c>
      <c r="J2939" s="2">
        <v>32.33</v>
      </c>
      <c r="K2939" s="2">
        <v>662.9</v>
      </c>
      <c r="L2939" s="2">
        <v>323.3</v>
      </c>
      <c r="M2939" s="2">
        <v>339.6</v>
      </c>
      <c r="N2939">
        <v>3</v>
      </c>
      <c r="P2939" t="str">
        <f>TRIM(Table1[[#This Row],[country]])</f>
        <v>New Zealand</v>
      </c>
    </row>
    <row r="2940" spans="1:16" x14ac:dyDescent="0.3">
      <c r="A2940" s="1">
        <v>38488</v>
      </c>
      <c r="B2940">
        <v>10418</v>
      </c>
      <c r="C2940">
        <v>412</v>
      </c>
      <c r="D2940" t="s">
        <v>192</v>
      </c>
      <c r="E2940" t="s">
        <v>159</v>
      </c>
      <c r="F2940" t="s">
        <v>102</v>
      </c>
      <c r="G2940" t="s">
        <v>125</v>
      </c>
      <c r="H2940">
        <v>43</v>
      </c>
      <c r="I2940" s="2">
        <v>36.61</v>
      </c>
      <c r="J2940" s="2">
        <v>24.14</v>
      </c>
      <c r="K2940" s="2">
        <v>1574.23</v>
      </c>
      <c r="L2940" s="2">
        <v>1038.02</v>
      </c>
      <c r="M2940" s="2">
        <v>536.21</v>
      </c>
      <c r="N2940">
        <v>3</v>
      </c>
      <c r="P2940" t="str">
        <f>TRIM(Table1[[#This Row],[country]])</f>
        <v>New Zealand</v>
      </c>
    </row>
    <row r="2941" spans="1:16" x14ac:dyDescent="0.3">
      <c r="A2941" s="1">
        <v>38488</v>
      </c>
      <c r="B2941">
        <v>10418</v>
      </c>
      <c r="C2941">
        <v>412</v>
      </c>
      <c r="D2941" t="s">
        <v>192</v>
      </c>
      <c r="E2941" t="s">
        <v>159</v>
      </c>
      <c r="F2941" t="s">
        <v>102</v>
      </c>
      <c r="G2941" t="s">
        <v>126</v>
      </c>
      <c r="H2941">
        <v>50</v>
      </c>
      <c r="I2941" s="2">
        <v>100.01</v>
      </c>
      <c r="J2941" s="2">
        <v>56.13</v>
      </c>
      <c r="K2941" s="2">
        <v>5000.5</v>
      </c>
      <c r="L2941" s="2">
        <v>2806.5</v>
      </c>
      <c r="M2941" s="2">
        <v>2194</v>
      </c>
      <c r="N2941">
        <v>3</v>
      </c>
      <c r="P2941" t="str">
        <f>TRIM(Table1[[#This Row],[country]])</f>
        <v>New Zealand</v>
      </c>
    </row>
    <row r="2942" spans="1:16" x14ac:dyDescent="0.3">
      <c r="A2942" s="1">
        <v>38488</v>
      </c>
      <c r="B2942">
        <v>10418</v>
      </c>
      <c r="C2942">
        <v>412</v>
      </c>
      <c r="D2942" t="s">
        <v>192</v>
      </c>
      <c r="E2942" t="s">
        <v>159</v>
      </c>
      <c r="F2942" t="s">
        <v>102</v>
      </c>
      <c r="G2942" t="s">
        <v>127</v>
      </c>
      <c r="H2942">
        <v>40</v>
      </c>
      <c r="I2942" s="2">
        <v>72.41</v>
      </c>
      <c r="J2942" s="2">
        <v>34.17</v>
      </c>
      <c r="K2942" s="2">
        <v>2896.4</v>
      </c>
      <c r="L2942" s="2">
        <v>1366.8</v>
      </c>
      <c r="M2942" s="2">
        <v>1529.6</v>
      </c>
      <c r="N2942">
        <v>3</v>
      </c>
      <c r="P2942" t="str">
        <f>TRIM(Table1[[#This Row],[country]])</f>
        <v>New Zealand</v>
      </c>
    </row>
    <row r="2943" spans="1:16" x14ac:dyDescent="0.3">
      <c r="A2943" s="1">
        <v>38489</v>
      </c>
      <c r="B2943">
        <v>10419</v>
      </c>
      <c r="C2943">
        <v>382</v>
      </c>
      <c r="D2943" t="s">
        <v>149</v>
      </c>
      <c r="E2943" t="s">
        <v>150</v>
      </c>
      <c r="F2943" t="s">
        <v>29</v>
      </c>
      <c r="G2943" t="s">
        <v>112</v>
      </c>
      <c r="H2943">
        <v>12</v>
      </c>
      <c r="I2943" s="2">
        <v>182.9</v>
      </c>
      <c r="J2943" s="2">
        <v>95.34</v>
      </c>
      <c r="K2943" s="2">
        <v>2194.8000000000002</v>
      </c>
      <c r="L2943" s="2">
        <v>1144.08</v>
      </c>
      <c r="M2943" s="2">
        <v>1050.72</v>
      </c>
      <c r="N2943">
        <v>4</v>
      </c>
      <c r="P2943" t="str">
        <f>TRIM(Table1[[#This Row],[country]])</f>
        <v>Austria</v>
      </c>
    </row>
    <row r="2944" spans="1:16" x14ac:dyDescent="0.3">
      <c r="A2944" s="1">
        <v>38489</v>
      </c>
      <c r="B2944">
        <v>10419</v>
      </c>
      <c r="C2944">
        <v>382</v>
      </c>
      <c r="D2944" t="s">
        <v>149</v>
      </c>
      <c r="E2944" t="s">
        <v>150</v>
      </c>
      <c r="F2944" t="s">
        <v>29</v>
      </c>
      <c r="G2944" t="s">
        <v>113</v>
      </c>
      <c r="H2944">
        <v>10</v>
      </c>
      <c r="I2944" s="2">
        <v>111.57</v>
      </c>
      <c r="J2944" s="2">
        <v>75.16</v>
      </c>
      <c r="K2944" s="2">
        <v>1115.7</v>
      </c>
      <c r="L2944" s="2">
        <v>751.6</v>
      </c>
      <c r="M2944" s="2">
        <v>364.1</v>
      </c>
      <c r="N2944">
        <v>4</v>
      </c>
      <c r="P2944" t="str">
        <f>TRIM(Table1[[#This Row],[country]])</f>
        <v>Austria</v>
      </c>
    </row>
    <row r="2945" spans="1:16" x14ac:dyDescent="0.3">
      <c r="A2945" s="1">
        <v>38489</v>
      </c>
      <c r="B2945">
        <v>10419</v>
      </c>
      <c r="C2945">
        <v>382</v>
      </c>
      <c r="D2945" t="s">
        <v>149</v>
      </c>
      <c r="E2945" t="s">
        <v>150</v>
      </c>
      <c r="F2945" t="s">
        <v>29</v>
      </c>
      <c r="G2945" t="s">
        <v>114</v>
      </c>
      <c r="H2945">
        <v>34</v>
      </c>
      <c r="I2945" s="2">
        <v>64.64</v>
      </c>
      <c r="J2945" s="2">
        <v>31.92</v>
      </c>
      <c r="K2945" s="2">
        <v>2197.7600000000002</v>
      </c>
      <c r="L2945" s="2">
        <v>1085.28</v>
      </c>
      <c r="M2945" s="2">
        <v>1112.48</v>
      </c>
      <c r="N2945">
        <v>4</v>
      </c>
      <c r="P2945" t="str">
        <f>TRIM(Table1[[#This Row],[country]])</f>
        <v>Austria</v>
      </c>
    </row>
    <row r="2946" spans="1:16" x14ac:dyDescent="0.3">
      <c r="A2946" s="1">
        <v>38489</v>
      </c>
      <c r="B2946">
        <v>10419</v>
      </c>
      <c r="C2946">
        <v>382</v>
      </c>
      <c r="D2946" t="s">
        <v>149</v>
      </c>
      <c r="E2946" t="s">
        <v>150</v>
      </c>
      <c r="F2946" t="s">
        <v>29</v>
      </c>
      <c r="G2946" t="s">
        <v>115</v>
      </c>
      <c r="H2946">
        <v>32</v>
      </c>
      <c r="I2946" s="2">
        <v>99.04</v>
      </c>
      <c r="J2946" s="2">
        <v>58.73</v>
      </c>
      <c r="K2946" s="2">
        <v>3169.28</v>
      </c>
      <c r="L2946" s="2">
        <v>1879.36</v>
      </c>
      <c r="M2946" s="2">
        <v>1289.92</v>
      </c>
      <c r="N2946">
        <v>4</v>
      </c>
      <c r="P2946" t="str">
        <f>TRIM(Table1[[#This Row],[country]])</f>
        <v>Austria</v>
      </c>
    </row>
    <row r="2947" spans="1:16" x14ac:dyDescent="0.3">
      <c r="A2947" s="1">
        <v>38489</v>
      </c>
      <c r="B2947">
        <v>10419</v>
      </c>
      <c r="C2947">
        <v>382</v>
      </c>
      <c r="D2947" t="s">
        <v>149</v>
      </c>
      <c r="E2947" t="s">
        <v>150</v>
      </c>
      <c r="F2947" t="s">
        <v>29</v>
      </c>
      <c r="G2947" t="s">
        <v>128</v>
      </c>
      <c r="H2947">
        <v>38</v>
      </c>
      <c r="I2947" s="2">
        <v>117.48</v>
      </c>
      <c r="J2947" s="2">
        <v>83.51</v>
      </c>
      <c r="K2947" s="2">
        <v>4464.24</v>
      </c>
      <c r="L2947" s="2">
        <v>3173.38</v>
      </c>
      <c r="M2947" s="2">
        <v>1290.8599999999999</v>
      </c>
      <c r="N2947">
        <v>4</v>
      </c>
      <c r="P2947" t="str">
        <f>TRIM(Table1[[#This Row],[country]])</f>
        <v>Austria</v>
      </c>
    </row>
    <row r="2948" spans="1:16" x14ac:dyDescent="0.3">
      <c r="A2948" s="1">
        <v>38489</v>
      </c>
      <c r="B2948">
        <v>10419</v>
      </c>
      <c r="C2948">
        <v>382</v>
      </c>
      <c r="D2948" t="s">
        <v>149</v>
      </c>
      <c r="E2948" t="s">
        <v>150</v>
      </c>
      <c r="F2948" t="s">
        <v>29</v>
      </c>
      <c r="G2948" t="s">
        <v>134</v>
      </c>
      <c r="H2948">
        <v>37</v>
      </c>
      <c r="I2948" s="2">
        <v>100.8</v>
      </c>
      <c r="J2948" s="2">
        <v>65.959999999999994</v>
      </c>
      <c r="K2948" s="2">
        <v>3729.6</v>
      </c>
      <c r="L2948" s="2">
        <v>2440.52</v>
      </c>
      <c r="M2948" s="2">
        <v>1289.08</v>
      </c>
      <c r="N2948">
        <v>4</v>
      </c>
      <c r="P2948" t="str">
        <f>TRIM(Table1[[#This Row],[country]])</f>
        <v>Austria</v>
      </c>
    </row>
    <row r="2949" spans="1:16" x14ac:dyDescent="0.3">
      <c r="A2949" s="1">
        <v>38489</v>
      </c>
      <c r="B2949">
        <v>10419</v>
      </c>
      <c r="C2949">
        <v>382</v>
      </c>
      <c r="D2949" t="s">
        <v>149</v>
      </c>
      <c r="E2949" t="s">
        <v>150</v>
      </c>
      <c r="F2949" t="s">
        <v>29</v>
      </c>
      <c r="G2949" t="s">
        <v>116</v>
      </c>
      <c r="H2949">
        <v>39</v>
      </c>
      <c r="I2949" s="2">
        <v>67.760000000000005</v>
      </c>
      <c r="J2949" s="2">
        <v>53.9</v>
      </c>
      <c r="K2949" s="2">
        <v>2642.64</v>
      </c>
      <c r="L2949" s="2">
        <v>2102.1</v>
      </c>
      <c r="M2949" s="2">
        <v>540.54</v>
      </c>
      <c r="N2949">
        <v>4</v>
      </c>
      <c r="P2949" t="str">
        <f>TRIM(Table1[[#This Row],[country]])</f>
        <v>Austria</v>
      </c>
    </row>
    <row r="2950" spans="1:16" x14ac:dyDescent="0.3">
      <c r="A2950" s="1">
        <v>38489</v>
      </c>
      <c r="B2950">
        <v>10419</v>
      </c>
      <c r="C2950">
        <v>382</v>
      </c>
      <c r="D2950" t="s">
        <v>149</v>
      </c>
      <c r="E2950" t="s">
        <v>150</v>
      </c>
      <c r="F2950" t="s">
        <v>29</v>
      </c>
      <c r="G2950" t="s">
        <v>129</v>
      </c>
      <c r="H2950">
        <v>34</v>
      </c>
      <c r="I2950" s="2">
        <v>133.72</v>
      </c>
      <c r="J2950" s="2">
        <v>93.89</v>
      </c>
      <c r="K2950" s="2">
        <v>4546.4799999999996</v>
      </c>
      <c r="L2950" s="2">
        <v>3192.26</v>
      </c>
      <c r="M2950" s="2">
        <v>1354.22</v>
      </c>
      <c r="N2950">
        <v>4</v>
      </c>
      <c r="P2950" t="str">
        <f>TRIM(Table1[[#This Row],[country]])</f>
        <v>Austria</v>
      </c>
    </row>
    <row r="2951" spans="1:16" x14ac:dyDescent="0.3">
      <c r="A2951" s="1">
        <v>38489</v>
      </c>
      <c r="B2951">
        <v>10419</v>
      </c>
      <c r="C2951">
        <v>382</v>
      </c>
      <c r="D2951" t="s">
        <v>149</v>
      </c>
      <c r="E2951" t="s">
        <v>150</v>
      </c>
      <c r="F2951" t="s">
        <v>29</v>
      </c>
      <c r="G2951" t="s">
        <v>130</v>
      </c>
      <c r="H2951">
        <v>55</v>
      </c>
      <c r="I2951" s="2">
        <v>116.16</v>
      </c>
      <c r="J2951" s="2">
        <v>56.76</v>
      </c>
      <c r="K2951" s="2">
        <v>6388.8</v>
      </c>
      <c r="L2951" s="2">
        <v>3121.8</v>
      </c>
      <c r="M2951" s="2">
        <v>3267</v>
      </c>
      <c r="N2951">
        <v>4</v>
      </c>
      <c r="P2951" t="str">
        <f>TRIM(Table1[[#This Row],[country]])</f>
        <v>Austria</v>
      </c>
    </row>
    <row r="2952" spans="1:16" x14ac:dyDescent="0.3">
      <c r="A2952" s="1">
        <v>38489</v>
      </c>
      <c r="B2952">
        <v>10419</v>
      </c>
      <c r="C2952">
        <v>382</v>
      </c>
      <c r="D2952" t="s">
        <v>149</v>
      </c>
      <c r="E2952" t="s">
        <v>150</v>
      </c>
      <c r="F2952" t="s">
        <v>29</v>
      </c>
      <c r="G2952" t="s">
        <v>53</v>
      </c>
      <c r="H2952">
        <v>35</v>
      </c>
      <c r="I2952" s="2">
        <v>165.95</v>
      </c>
      <c r="J2952" s="2">
        <v>77.900000000000006</v>
      </c>
      <c r="K2952" s="2">
        <v>5808.25</v>
      </c>
      <c r="L2952" s="2">
        <v>2726.5</v>
      </c>
      <c r="M2952" s="2">
        <v>3081.75</v>
      </c>
      <c r="N2952">
        <v>4</v>
      </c>
      <c r="P2952" t="str">
        <f>TRIM(Table1[[#This Row],[country]])</f>
        <v>Austria</v>
      </c>
    </row>
    <row r="2953" spans="1:16" x14ac:dyDescent="0.3">
      <c r="A2953" s="1">
        <v>38489</v>
      </c>
      <c r="B2953">
        <v>10419</v>
      </c>
      <c r="C2953">
        <v>382</v>
      </c>
      <c r="D2953" t="s">
        <v>149</v>
      </c>
      <c r="E2953" t="s">
        <v>150</v>
      </c>
      <c r="F2953" t="s">
        <v>29</v>
      </c>
      <c r="G2953" t="s">
        <v>131</v>
      </c>
      <c r="H2953">
        <v>43</v>
      </c>
      <c r="I2953" s="2">
        <v>114.44</v>
      </c>
      <c r="J2953" s="2">
        <v>62.16</v>
      </c>
      <c r="K2953" s="2">
        <v>4920.92</v>
      </c>
      <c r="L2953" s="2">
        <v>2672.88</v>
      </c>
      <c r="M2953" s="2">
        <v>2248.04</v>
      </c>
      <c r="N2953">
        <v>4</v>
      </c>
      <c r="P2953" t="str">
        <f>TRIM(Table1[[#This Row],[country]])</f>
        <v>Austria</v>
      </c>
    </row>
    <row r="2954" spans="1:16" x14ac:dyDescent="0.3">
      <c r="A2954" s="1">
        <v>38489</v>
      </c>
      <c r="B2954">
        <v>10419</v>
      </c>
      <c r="C2954">
        <v>382</v>
      </c>
      <c r="D2954" t="s">
        <v>149</v>
      </c>
      <c r="E2954" t="s">
        <v>150</v>
      </c>
      <c r="F2954" t="s">
        <v>29</v>
      </c>
      <c r="G2954" t="s">
        <v>132</v>
      </c>
      <c r="H2954">
        <v>15</v>
      </c>
      <c r="I2954" s="2">
        <v>32.1</v>
      </c>
      <c r="J2954" s="2">
        <v>16.239999999999998</v>
      </c>
      <c r="K2954" s="2">
        <v>481.5</v>
      </c>
      <c r="L2954" s="2">
        <v>243.6</v>
      </c>
      <c r="M2954" s="2">
        <v>237.9</v>
      </c>
      <c r="N2954">
        <v>4</v>
      </c>
      <c r="P2954" t="str">
        <f>TRIM(Table1[[#This Row],[country]])</f>
        <v>Austria</v>
      </c>
    </row>
    <row r="2955" spans="1:16" x14ac:dyDescent="0.3">
      <c r="A2955" s="1">
        <v>38489</v>
      </c>
      <c r="B2955">
        <v>10419</v>
      </c>
      <c r="C2955">
        <v>382</v>
      </c>
      <c r="D2955" t="s">
        <v>149</v>
      </c>
      <c r="E2955" t="s">
        <v>150</v>
      </c>
      <c r="F2955" t="s">
        <v>29</v>
      </c>
      <c r="G2955" t="s">
        <v>122</v>
      </c>
      <c r="H2955">
        <v>55</v>
      </c>
      <c r="I2955" s="2">
        <v>52.66</v>
      </c>
      <c r="J2955" s="2">
        <v>38.58</v>
      </c>
      <c r="K2955" s="2">
        <v>2896.3</v>
      </c>
      <c r="L2955" s="2">
        <v>2121.9</v>
      </c>
      <c r="M2955" s="2">
        <v>774.4</v>
      </c>
      <c r="N2955">
        <v>4</v>
      </c>
      <c r="P2955" t="str">
        <f>TRIM(Table1[[#This Row],[country]])</f>
        <v>Austria</v>
      </c>
    </row>
    <row r="2956" spans="1:16" x14ac:dyDescent="0.3">
      <c r="A2956" s="1">
        <v>38489</v>
      </c>
      <c r="B2956">
        <v>10419</v>
      </c>
      <c r="C2956">
        <v>382</v>
      </c>
      <c r="D2956" t="s">
        <v>149</v>
      </c>
      <c r="E2956" t="s">
        <v>150</v>
      </c>
      <c r="F2956" t="s">
        <v>29</v>
      </c>
      <c r="G2956" t="s">
        <v>123</v>
      </c>
      <c r="H2956">
        <v>70</v>
      </c>
      <c r="I2956" s="2">
        <v>112.34</v>
      </c>
      <c r="J2956" s="2">
        <v>98.3</v>
      </c>
      <c r="K2956" s="2">
        <v>7863.8</v>
      </c>
      <c r="L2956" s="2">
        <v>6881</v>
      </c>
      <c r="M2956" s="2">
        <v>982.8</v>
      </c>
      <c r="N2956">
        <v>4</v>
      </c>
      <c r="P2956" t="str">
        <f>TRIM(Table1[[#This Row],[country]])</f>
        <v>Austria</v>
      </c>
    </row>
    <row r="2957" spans="1:16" x14ac:dyDescent="0.3">
      <c r="A2957" s="1">
        <v>38501</v>
      </c>
      <c r="B2957">
        <v>10420</v>
      </c>
      <c r="C2957">
        <v>282</v>
      </c>
      <c r="D2957" t="s">
        <v>214</v>
      </c>
      <c r="E2957" t="s">
        <v>151</v>
      </c>
      <c r="F2957" t="s">
        <v>15</v>
      </c>
      <c r="G2957" t="s">
        <v>16</v>
      </c>
      <c r="H2957">
        <v>37</v>
      </c>
      <c r="I2957" s="2">
        <v>153</v>
      </c>
      <c r="J2957" s="2">
        <v>86.7</v>
      </c>
      <c r="K2957" s="2">
        <v>5661</v>
      </c>
      <c r="L2957" s="2">
        <v>3207.9</v>
      </c>
      <c r="M2957" s="2">
        <v>2453.1</v>
      </c>
      <c r="N2957">
        <v>4</v>
      </c>
      <c r="P2957" t="str">
        <f>TRIM(Table1[[#This Row],[country]])</f>
        <v>Australia</v>
      </c>
    </row>
    <row r="2958" spans="1:16" x14ac:dyDescent="0.3">
      <c r="A2958" s="1">
        <v>38501</v>
      </c>
      <c r="B2958">
        <v>10420</v>
      </c>
      <c r="C2958">
        <v>282</v>
      </c>
      <c r="D2958" t="s">
        <v>214</v>
      </c>
      <c r="E2958" t="s">
        <v>151</v>
      </c>
      <c r="F2958" t="s">
        <v>15</v>
      </c>
      <c r="G2958" t="s">
        <v>17</v>
      </c>
      <c r="H2958">
        <v>36</v>
      </c>
      <c r="I2958" s="2">
        <v>52.06</v>
      </c>
      <c r="J2958" s="2">
        <v>33.299999999999997</v>
      </c>
      <c r="K2958" s="2">
        <v>1874.16</v>
      </c>
      <c r="L2958" s="2">
        <v>1198.8</v>
      </c>
      <c r="M2958" s="2">
        <v>675.36</v>
      </c>
      <c r="N2958">
        <v>4</v>
      </c>
      <c r="P2958" t="str">
        <f>TRIM(Table1[[#This Row],[country]])</f>
        <v>Australia</v>
      </c>
    </row>
    <row r="2959" spans="1:16" x14ac:dyDescent="0.3">
      <c r="A2959" s="1">
        <v>38501</v>
      </c>
      <c r="B2959">
        <v>10420</v>
      </c>
      <c r="C2959">
        <v>282</v>
      </c>
      <c r="D2959" t="s">
        <v>214</v>
      </c>
      <c r="E2959" t="s">
        <v>151</v>
      </c>
      <c r="F2959" t="s">
        <v>15</v>
      </c>
      <c r="G2959" t="s">
        <v>21</v>
      </c>
      <c r="H2959">
        <v>45</v>
      </c>
      <c r="I2959" s="2">
        <v>116.96</v>
      </c>
      <c r="J2959" s="2">
        <v>58.48</v>
      </c>
      <c r="K2959" s="2">
        <v>5263.2</v>
      </c>
      <c r="L2959" s="2">
        <v>2631.6</v>
      </c>
      <c r="M2959" s="2">
        <v>2631.6</v>
      </c>
      <c r="N2959">
        <v>4</v>
      </c>
      <c r="P2959" t="str">
        <f>TRIM(Table1[[#This Row],[country]])</f>
        <v>Australia</v>
      </c>
    </row>
    <row r="2960" spans="1:16" x14ac:dyDescent="0.3">
      <c r="A2960" s="1">
        <v>38501</v>
      </c>
      <c r="B2960">
        <v>10420</v>
      </c>
      <c r="C2960">
        <v>282</v>
      </c>
      <c r="D2960" t="s">
        <v>214</v>
      </c>
      <c r="E2960" t="s">
        <v>151</v>
      </c>
      <c r="F2960" t="s">
        <v>15</v>
      </c>
      <c r="G2960" t="s">
        <v>18</v>
      </c>
      <c r="H2960">
        <v>66</v>
      </c>
      <c r="I2960" s="2">
        <v>73.62</v>
      </c>
      <c r="J2960" s="2">
        <v>43.26</v>
      </c>
      <c r="K2960" s="2">
        <v>4858.92</v>
      </c>
      <c r="L2960" s="2">
        <v>2855.16</v>
      </c>
      <c r="M2960" s="2">
        <v>2003.76</v>
      </c>
      <c r="N2960">
        <v>4</v>
      </c>
      <c r="P2960" t="str">
        <f>TRIM(Table1[[#This Row],[country]])</f>
        <v>Australia</v>
      </c>
    </row>
    <row r="2961" spans="1:16" x14ac:dyDescent="0.3">
      <c r="A2961" s="1">
        <v>38501</v>
      </c>
      <c r="B2961">
        <v>10420</v>
      </c>
      <c r="C2961">
        <v>282</v>
      </c>
      <c r="D2961" t="s">
        <v>214</v>
      </c>
      <c r="E2961" t="s">
        <v>151</v>
      </c>
      <c r="F2961" t="s">
        <v>29</v>
      </c>
      <c r="G2961" t="s">
        <v>135</v>
      </c>
      <c r="H2961">
        <v>36</v>
      </c>
      <c r="I2961" s="2">
        <v>68.42</v>
      </c>
      <c r="J2961" s="2">
        <v>34.21</v>
      </c>
      <c r="K2961" s="2">
        <v>2463.12</v>
      </c>
      <c r="L2961" s="2">
        <v>1231.56</v>
      </c>
      <c r="M2961" s="2">
        <v>1231.56</v>
      </c>
      <c r="N2961">
        <v>4</v>
      </c>
      <c r="P2961" t="str">
        <f>TRIM(Table1[[#This Row],[country]])</f>
        <v>Australia</v>
      </c>
    </row>
    <row r="2962" spans="1:16" x14ac:dyDescent="0.3">
      <c r="A2962" s="1">
        <v>38501</v>
      </c>
      <c r="B2962">
        <v>10420</v>
      </c>
      <c r="C2962">
        <v>282</v>
      </c>
      <c r="D2962" t="s">
        <v>214</v>
      </c>
      <c r="E2962" t="s">
        <v>151</v>
      </c>
      <c r="F2962" t="s">
        <v>29</v>
      </c>
      <c r="G2962" t="s">
        <v>136</v>
      </c>
      <c r="H2962">
        <v>60</v>
      </c>
      <c r="I2962" s="2">
        <v>60.26</v>
      </c>
      <c r="J2962" s="2">
        <v>49.24</v>
      </c>
      <c r="K2962" s="2">
        <v>3615.6</v>
      </c>
      <c r="L2962" s="2">
        <v>2954.4</v>
      </c>
      <c r="M2962" s="2">
        <v>661.2</v>
      </c>
      <c r="N2962">
        <v>4</v>
      </c>
      <c r="P2962" t="str">
        <f>TRIM(Table1[[#This Row],[country]])</f>
        <v>Australia</v>
      </c>
    </row>
    <row r="2963" spans="1:16" x14ac:dyDescent="0.3">
      <c r="A2963" s="1">
        <v>38501</v>
      </c>
      <c r="B2963">
        <v>10420</v>
      </c>
      <c r="C2963">
        <v>282</v>
      </c>
      <c r="D2963" t="s">
        <v>214</v>
      </c>
      <c r="E2963" t="s">
        <v>151</v>
      </c>
      <c r="F2963" t="s">
        <v>29</v>
      </c>
      <c r="G2963" t="s">
        <v>137</v>
      </c>
      <c r="H2963">
        <v>37</v>
      </c>
      <c r="I2963" s="2">
        <v>48.8</v>
      </c>
      <c r="J2963" s="2">
        <v>29.18</v>
      </c>
      <c r="K2963" s="2">
        <v>1805.6</v>
      </c>
      <c r="L2963" s="2">
        <v>1079.6600000000001</v>
      </c>
      <c r="M2963" s="2">
        <v>725.94</v>
      </c>
      <c r="N2963">
        <v>4</v>
      </c>
      <c r="P2963" t="str">
        <f>TRIM(Table1[[#This Row],[country]])</f>
        <v>Australia</v>
      </c>
    </row>
    <row r="2964" spans="1:16" x14ac:dyDescent="0.3">
      <c r="A2964" s="1">
        <v>38501</v>
      </c>
      <c r="B2964">
        <v>10420</v>
      </c>
      <c r="C2964">
        <v>282</v>
      </c>
      <c r="D2964" t="s">
        <v>214</v>
      </c>
      <c r="E2964" t="s">
        <v>151</v>
      </c>
      <c r="F2964" t="s">
        <v>15</v>
      </c>
      <c r="G2964" t="s">
        <v>23</v>
      </c>
      <c r="H2964">
        <v>45</v>
      </c>
      <c r="I2964" s="2">
        <v>32.19</v>
      </c>
      <c r="J2964" s="2">
        <v>22.57</v>
      </c>
      <c r="K2964" s="2">
        <v>1448.55</v>
      </c>
      <c r="L2964" s="2">
        <v>1015.65</v>
      </c>
      <c r="M2964" s="2">
        <v>432.9</v>
      </c>
      <c r="N2964">
        <v>4</v>
      </c>
      <c r="P2964" t="str">
        <f>TRIM(Table1[[#This Row],[country]])</f>
        <v>Australia</v>
      </c>
    </row>
    <row r="2965" spans="1:16" x14ac:dyDescent="0.3">
      <c r="A2965" s="1">
        <v>38501</v>
      </c>
      <c r="B2965">
        <v>10420</v>
      </c>
      <c r="C2965">
        <v>282</v>
      </c>
      <c r="D2965" t="s">
        <v>214</v>
      </c>
      <c r="E2965" t="s">
        <v>151</v>
      </c>
      <c r="F2965" t="s">
        <v>29</v>
      </c>
      <c r="G2965" t="s">
        <v>138</v>
      </c>
      <c r="H2965">
        <v>39</v>
      </c>
      <c r="I2965" s="2">
        <v>76.33</v>
      </c>
      <c r="J2965" s="2">
        <v>47.25</v>
      </c>
      <c r="K2965" s="2">
        <v>2976.87</v>
      </c>
      <c r="L2965" s="2">
        <v>1842.75</v>
      </c>
      <c r="M2965" s="2">
        <v>1134.1199999999999</v>
      </c>
      <c r="N2965">
        <v>4</v>
      </c>
      <c r="P2965" t="str">
        <f>TRIM(Table1[[#This Row],[country]])</f>
        <v>Australia</v>
      </c>
    </row>
    <row r="2966" spans="1:16" x14ac:dyDescent="0.3">
      <c r="A2966" s="1">
        <v>38501</v>
      </c>
      <c r="B2966">
        <v>10420</v>
      </c>
      <c r="C2966">
        <v>282</v>
      </c>
      <c r="D2966" t="s">
        <v>214</v>
      </c>
      <c r="E2966" t="s">
        <v>151</v>
      </c>
      <c r="F2966" t="s">
        <v>29</v>
      </c>
      <c r="G2966" t="s">
        <v>139</v>
      </c>
      <c r="H2966">
        <v>55</v>
      </c>
      <c r="I2966" s="2">
        <v>115.09</v>
      </c>
      <c r="J2966" s="2">
        <v>72.819999999999993</v>
      </c>
      <c r="K2966" s="2">
        <v>6329.95</v>
      </c>
      <c r="L2966" s="2">
        <v>4005.1</v>
      </c>
      <c r="M2966" s="2">
        <v>2324.85</v>
      </c>
      <c r="N2966">
        <v>4</v>
      </c>
      <c r="P2966" t="str">
        <f>TRIM(Table1[[#This Row],[country]])</f>
        <v>Australia</v>
      </c>
    </row>
    <row r="2967" spans="1:16" x14ac:dyDescent="0.3">
      <c r="A2967" s="1">
        <v>38501</v>
      </c>
      <c r="B2967">
        <v>10420</v>
      </c>
      <c r="C2967">
        <v>282</v>
      </c>
      <c r="D2967" t="s">
        <v>214</v>
      </c>
      <c r="E2967" t="s">
        <v>151</v>
      </c>
      <c r="F2967" t="s">
        <v>29</v>
      </c>
      <c r="G2967" t="s">
        <v>140</v>
      </c>
      <c r="H2967">
        <v>35</v>
      </c>
      <c r="I2967" s="2">
        <v>77.05</v>
      </c>
      <c r="J2967" s="2">
        <v>50.51</v>
      </c>
      <c r="K2967" s="2">
        <v>2696.75</v>
      </c>
      <c r="L2967" s="2">
        <v>1767.85</v>
      </c>
      <c r="M2967" s="2">
        <v>928.9</v>
      </c>
      <c r="N2967">
        <v>4</v>
      </c>
      <c r="P2967" t="str">
        <f>TRIM(Table1[[#This Row],[country]])</f>
        <v>Australia</v>
      </c>
    </row>
    <row r="2968" spans="1:16" x14ac:dyDescent="0.3">
      <c r="A2968" s="1">
        <v>38501</v>
      </c>
      <c r="B2968">
        <v>10420</v>
      </c>
      <c r="C2968">
        <v>282</v>
      </c>
      <c r="D2968" t="s">
        <v>214</v>
      </c>
      <c r="E2968" t="s">
        <v>151</v>
      </c>
      <c r="F2968" t="s">
        <v>29</v>
      </c>
      <c r="G2968" t="s">
        <v>141</v>
      </c>
      <c r="H2968">
        <v>26</v>
      </c>
      <c r="I2968" s="2">
        <v>104.94</v>
      </c>
      <c r="J2968" s="2">
        <v>62.11</v>
      </c>
      <c r="K2968" s="2">
        <v>2728.44</v>
      </c>
      <c r="L2968" s="2">
        <v>1614.86</v>
      </c>
      <c r="M2968" s="2">
        <v>1113.58</v>
      </c>
      <c r="N2968">
        <v>4</v>
      </c>
      <c r="P2968" t="str">
        <f>TRIM(Table1[[#This Row],[country]])</f>
        <v>Australia</v>
      </c>
    </row>
    <row r="2969" spans="1:16" x14ac:dyDescent="0.3">
      <c r="A2969" s="1">
        <v>38501</v>
      </c>
      <c r="B2969">
        <v>10420</v>
      </c>
      <c r="C2969">
        <v>282</v>
      </c>
      <c r="D2969" t="s">
        <v>214</v>
      </c>
      <c r="E2969" t="s">
        <v>151</v>
      </c>
      <c r="F2969" t="s">
        <v>15</v>
      </c>
      <c r="G2969" t="s">
        <v>19</v>
      </c>
      <c r="H2969">
        <v>15</v>
      </c>
      <c r="I2969" s="2">
        <v>35.29</v>
      </c>
      <c r="J2969" s="2">
        <v>21.75</v>
      </c>
      <c r="K2969" s="2">
        <v>529.35</v>
      </c>
      <c r="L2969" s="2">
        <v>326.25</v>
      </c>
      <c r="M2969" s="2">
        <v>203.1</v>
      </c>
      <c r="N2969">
        <v>4</v>
      </c>
      <c r="P2969" t="str">
        <f>TRIM(Table1[[#This Row],[country]])</f>
        <v>Australia</v>
      </c>
    </row>
    <row r="2970" spans="1:16" x14ac:dyDescent="0.3">
      <c r="A2970" s="1">
        <v>38501</v>
      </c>
      <c r="B2970">
        <v>10421</v>
      </c>
      <c r="C2970">
        <v>124</v>
      </c>
      <c r="D2970" t="s">
        <v>206</v>
      </c>
      <c r="E2970" t="s">
        <v>14</v>
      </c>
      <c r="F2970" t="s">
        <v>15</v>
      </c>
      <c r="G2970" t="s">
        <v>22</v>
      </c>
      <c r="H2970">
        <v>35</v>
      </c>
      <c r="I2970" s="2">
        <v>167.06</v>
      </c>
      <c r="J2970" s="2">
        <v>72.56</v>
      </c>
      <c r="K2970" s="2">
        <v>5847.1</v>
      </c>
      <c r="L2970" s="2">
        <v>2539.6</v>
      </c>
      <c r="M2970" s="2">
        <v>3307.5</v>
      </c>
      <c r="N2970">
        <v>17</v>
      </c>
      <c r="P2970" t="str">
        <f>TRIM(Table1[[#This Row],[country]])</f>
        <v>USA</v>
      </c>
    </row>
    <row r="2971" spans="1:16" x14ac:dyDescent="0.3">
      <c r="A2971" s="1">
        <v>38501</v>
      </c>
      <c r="B2971">
        <v>10421</v>
      </c>
      <c r="C2971">
        <v>124</v>
      </c>
      <c r="D2971" t="s">
        <v>206</v>
      </c>
      <c r="E2971" t="s">
        <v>14</v>
      </c>
      <c r="F2971" t="s">
        <v>15</v>
      </c>
      <c r="G2971" t="s">
        <v>24</v>
      </c>
      <c r="H2971">
        <v>40</v>
      </c>
      <c r="I2971" s="2">
        <v>44.8</v>
      </c>
      <c r="J2971" s="2">
        <v>20.61</v>
      </c>
      <c r="K2971" s="2">
        <v>1792</v>
      </c>
      <c r="L2971" s="2">
        <v>824.4</v>
      </c>
      <c r="M2971" s="2">
        <v>967.6</v>
      </c>
      <c r="N2971">
        <v>17</v>
      </c>
      <c r="P2971" t="str">
        <f>TRIM(Table1[[#This Row],[country]])</f>
        <v>USA</v>
      </c>
    </row>
    <row r="2972" spans="1:16" x14ac:dyDescent="0.3">
      <c r="A2972" s="1">
        <v>38502</v>
      </c>
      <c r="B2972">
        <v>10422</v>
      </c>
      <c r="C2972">
        <v>157</v>
      </c>
      <c r="D2972" t="s">
        <v>245</v>
      </c>
      <c r="E2972" t="s">
        <v>14</v>
      </c>
      <c r="F2972" t="s">
        <v>15</v>
      </c>
      <c r="G2972" t="s">
        <v>25</v>
      </c>
      <c r="H2972">
        <v>51</v>
      </c>
      <c r="I2972" s="2">
        <v>91.44</v>
      </c>
      <c r="J2972" s="2">
        <v>60.62</v>
      </c>
      <c r="K2972" s="2">
        <v>4663.4399999999996</v>
      </c>
      <c r="L2972" s="2">
        <v>3091.62</v>
      </c>
      <c r="M2972" s="2">
        <v>1571.82</v>
      </c>
      <c r="N2972">
        <v>4</v>
      </c>
      <c r="P2972" t="str">
        <f>TRIM(Table1[[#This Row],[country]])</f>
        <v>USA</v>
      </c>
    </row>
    <row r="2973" spans="1:16" x14ac:dyDescent="0.3">
      <c r="A2973" s="1">
        <v>38502</v>
      </c>
      <c r="B2973">
        <v>10422</v>
      </c>
      <c r="C2973">
        <v>157</v>
      </c>
      <c r="D2973" t="s">
        <v>245</v>
      </c>
      <c r="E2973" t="s">
        <v>14</v>
      </c>
      <c r="F2973" t="s">
        <v>15</v>
      </c>
      <c r="G2973" t="s">
        <v>26</v>
      </c>
      <c r="H2973">
        <v>25</v>
      </c>
      <c r="I2973" s="2">
        <v>47.44</v>
      </c>
      <c r="J2973" s="2">
        <v>24.26</v>
      </c>
      <c r="K2973" s="2">
        <v>1186</v>
      </c>
      <c r="L2973" s="2">
        <v>606.5</v>
      </c>
      <c r="M2973" s="2">
        <v>579.5</v>
      </c>
      <c r="N2973">
        <v>4</v>
      </c>
      <c r="P2973" t="str">
        <f>TRIM(Table1[[#This Row],[country]])</f>
        <v>USA</v>
      </c>
    </row>
    <row r="2974" spans="1:16" x14ac:dyDescent="0.3">
      <c r="A2974" s="1">
        <v>38502</v>
      </c>
      <c r="B2974">
        <v>10423</v>
      </c>
      <c r="C2974">
        <v>314</v>
      </c>
      <c r="D2974" t="s">
        <v>189</v>
      </c>
      <c r="E2974" t="s">
        <v>146</v>
      </c>
      <c r="F2974" t="s">
        <v>15</v>
      </c>
      <c r="G2974" t="s">
        <v>36</v>
      </c>
      <c r="H2974">
        <v>10</v>
      </c>
      <c r="I2974" s="2">
        <v>89.15</v>
      </c>
      <c r="J2974" s="2">
        <v>60.78</v>
      </c>
      <c r="K2974" s="2">
        <v>891.5</v>
      </c>
      <c r="L2974" s="2">
        <v>607.79999999999995</v>
      </c>
      <c r="M2974" s="2">
        <v>283.7</v>
      </c>
      <c r="N2974">
        <v>3</v>
      </c>
      <c r="P2974" t="str">
        <f>TRIM(Table1[[#This Row],[country]])</f>
        <v>Belgium</v>
      </c>
    </row>
    <row r="2975" spans="1:16" x14ac:dyDescent="0.3">
      <c r="A2975" s="1">
        <v>38502</v>
      </c>
      <c r="B2975">
        <v>10423</v>
      </c>
      <c r="C2975">
        <v>314</v>
      </c>
      <c r="D2975" t="s">
        <v>189</v>
      </c>
      <c r="E2975" t="s">
        <v>146</v>
      </c>
      <c r="F2975" t="s">
        <v>15</v>
      </c>
      <c r="G2975" t="s">
        <v>37</v>
      </c>
      <c r="H2975">
        <v>31</v>
      </c>
      <c r="I2975" s="2">
        <v>56.21</v>
      </c>
      <c r="J2975" s="2">
        <v>34.35</v>
      </c>
      <c r="K2975" s="2">
        <v>1742.51</v>
      </c>
      <c r="L2975" s="2">
        <v>1064.8499999999999</v>
      </c>
      <c r="M2975" s="2">
        <v>677.66</v>
      </c>
      <c r="N2975">
        <v>3</v>
      </c>
      <c r="P2975" t="str">
        <f>TRIM(Table1[[#This Row],[country]])</f>
        <v>Belgium</v>
      </c>
    </row>
    <row r="2976" spans="1:16" x14ac:dyDescent="0.3">
      <c r="A2976" s="1">
        <v>38502</v>
      </c>
      <c r="B2976">
        <v>10423</v>
      </c>
      <c r="C2976">
        <v>314</v>
      </c>
      <c r="D2976" t="s">
        <v>189</v>
      </c>
      <c r="E2976" t="s">
        <v>146</v>
      </c>
      <c r="F2976" t="s">
        <v>15</v>
      </c>
      <c r="G2976" t="s">
        <v>38</v>
      </c>
      <c r="H2976">
        <v>21</v>
      </c>
      <c r="I2976" s="2">
        <v>98.44</v>
      </c>
      <c r="J2976" s="2">
        <v>60.74</v>
      </c>
      <c r="K2976" s="2">
        <v>2067.2399999999998</v>
      </c>
      <c r="L2976" s="2">
        <v>1275.54</v>
      </c>
      <c r="M2976" s="2">
        <v>791.7</v>
      </c>
      <c r="N2976">
        <v>3</v>
      </c>
      <c r="P2976" t="str">
        <f>TRIM(Table1[[#This Row],[country]])</f>
        <v>Belgium</v>
      </c>
    </row>
    <row r="2977" spans="1:16" x14ac:dyDescent="0.3">
      <c r="A2977" s="1">
        <v>38502</v>
      </c>
      <c r="B2977">
        <v>10423</v>
      </c>
      <c r="C2977">
        <v>314</v>
      </c>
      <c r="D2977" t="s">
        <v>189</v>
      </c>
      <c r="E2977" t="s">
        <v>146</v>
      </c>
      <c r="F2977" t="s">
        <v>15</v>
      </c>
      <c r="G2977" t="s">
        <v>39</v>
      </c>
      <c r="H2977">
        <v>21</v>
      </c>
      <c r="I2977" s="2">
        <v>80.36</v>
      </c>
      <c r="J2977" s="2">
        <v>57.54</v>
      </c>
      <c r="K2977" s="2">
        <v>1687.56</v>
      </c>
      <c r="L2977" s="2">
        <v>1208.3399999999999</v>
      </c>
      <c r="M2977" s="2">
        <v>479.22</v>
      </c>
      <c r="N2977">
        <v>3</v>
      </c>
      <c r="P2977" t="str">
        <f>TRIM(Table1[[#This Row],[country]])</f>
        <v>Belgium</v>
      </c>
    </row>
    <row r="2978" spans="1:16" x14ac:dyDescent="0.3">
      <c r="A2978" s="1">
        <v>38502</v>
      </c>
      <c r="B2978">
        <v>10423</v>
      </c>
      <c r="C2978">
        <v>314</v>
      </c>
      <c r="D2978" t="s">
        <v>189</v>
      </c>
      <c r="E2978" t="s">
        <v>146</v>
      </c>
      <c r="F2978" t="s">
        <v>15</v>
      </c>
      <c r="G2978" t="s">
        <v>43</v>
      </c>
      <c r="H2978">
        <v>28</v>
      </c>
      <c r="I2978" s="2">
        <v>78.89</v>
      </c>
      <c r="J2978" s="2">
        <v>57.46</v>
      </c>
      <c r="K2978" s="2">
        <v>2208.92</v>
      </c>
      <c r="L2978" s="2">
        <v>1608.88</v>
      </c>
      <c r="M2978" s="2">
        <v>600.04</v>
      </c>
      <c r="N2978">
        <v>3</v>
      </c>
      <c r="P2978" t="str">
        <f>TRIM(Table1[[#This Row],[country]])</f>
        <v>Belgium</v>
      </c>
    </row>
    <row r="2979" spans="1:16" x14ac:dyDescent="0.3">
      <c r="A2979" s="1">
        <v>38503</v>
      </c>
      <c r="B2979">
        <v>10425</v>
      </c>
      <c r="C2979">
        <v>119</v>
      </c>
      <c r="D2979" t="s">
        <v>196</v>
      </c>
      <c r="E2979" t="s">
        <v>144</v>
      </c>
      <c r="F2979" t="s">
        <v>29</v>
      </c>
      <c r="G2979" t="s">
        <v>31</v>
      </c>
      <c r="H2979">
        <v>38</v>
      </c>
      <c r="I2979" s="2">
        <v>131.49</v>
      </c>
      <c r="J2979" s="2">
        <v>103.42</v>
      </c>
      <c r="K2979" s="2">
        <v>4996.62</v>
      </c>
      <c r="L2979" s="2">
        <v>3929.96</v>
      </c>
      <c r="M2979" s="2">
        <v>1066.6600000000001</v>
      </c>
      <c r="N2979">
        <v>4</v>
      </c>
      <c r="P2979" t="str">
        <f>TRIM(Table1[[#This Row],[country]])</f>
        <v>France</v>
      </c>
    </row>
    <row r="2980" spans="1:16" x14ac:dyDescent="0.3">
      <c r="A2980" s="1">
        <v>38503</v>
      </c>
      <c r="B2980">
        <v>10425</v>
      </c>
      <c r="C2980">
        <v>119</v>
      </c>
      <c r="D2980" t="s">
        <v>196</v>
      </c>
      <c r="E2980" t="s">
        <v>144</v>
      </c>
      <c r="F2980" t="s">
        <v>32</v>
      </c>
      <c r="G2980" t="s">
        <v>50</v>
      </c>
      <c r="H2980">
        <v>33</v>
      </c>
      <c r="I2980" s="2">
        <v>95.99</v>
      </c>
      <c r="J2980" s="2">
        <v>55.7</v>
      </c>
      <c r="K2980" s="2">
        <v>3167.67</v>
      </c>
      <c r="L2980" s="2">
        <v>1838.1</v>
      </c>
      <c r="M2980" s="2">
        <v>1329.57</v>
      </c>
      <c r="N2980">
        <v>4</v>
      </c>
      <c r="P2980" t="str">
        <f>TRIM(Table1[[#This Row],[country]])</f>
        <v>France</v>
      </c>
    </row>
    <row r="2981" spans="1:16" x14ac:dyDescent="0.3">
      <c r="A2981" s="1">
        <v>38503</v>
      </c>
      <c r="B2981">
        <v>10425</v>
      </c>
      <c r="C2981">
        <v>119</v>
      </c>
      <c r="D2981" t="s">
        <v>196</v>
      </c>
      <c r="E2981" t="s">
        <v>144</v>
      </c>
      <c r="F2981" t="s">
        <v>29</v>
      </c>
      <c r="G2981" t="s">
        <v>51</v>
      </c>
      <c r="H2981">
        <v>28</v>
      </c>
      <c r="I2981" s="2">
        <v>147.36000000000001</v>
      </c>
      <c r="J2981" s="2">
        <v>101.51</v>
      </c>
      <c r="K2981" s="2">
        <v>4126.08</v>
      </c>
      <c r="L2981" s="2">
        <v>2842.28</v>
      </c>
      <c r="M2981" s="2">
        <v>1283.8</v>
      </c>
      <c r="N2981">
        <v>4</v>
      </c>
      <c r="P2981" t="str">
        <f>TRIM(Table1[[#This Row],[country]])</f>
        <v>France</v>
      </c>
    </row>
    <row r="2982" spans="1:16" x14ac:dyDescent="0.3">
      <c r="A2982" s="1">
        <v>38503</v>
      </c>
      <c r="B2982">
        <v>10425</v>
      </c>
      <c r="C2982">
        <v>119</v>
      </c>
      <c r="D2982" t="s">
        <v>196</v>
      </c>
      <c r="E2982" t="s">
        <v>144</v>
      </c>
      <c r="F2982" t="s">
        <v>32</v>
      </c>
      <c r="G2982" t="s">
        <v>52</v>
      </c>
      <c r="H2982">
        <v>38</v>
      </c>
      <c r="I2982" s="2">
        <v>117.82</v>
      </c>
      <c r="J2982" s="2">
        <v>74.86</v>
      </c>
      <c r="K2982" s="2">
        <v>4477.16</v>
      </c>
      <c r="L2982" s="2">
        <v>2844.68</v>
      </c>
      <c r="M2982" s="2">
        <v>1632.48</v>
      </c>
      <c r="N2982">
        <v>4</v>
      </c>
      <c r="P2982" t="str">
        <f>TRIM(Table1[[#This Row],[country]])</f>
        <v>France</v>
      </c>
    </row>
    <row r="2983" spans="1:16" x14ac:dyDescent="0.3">
      <c r="A2983" s="1">
        <v>38503</v>
      </c>
      <c r="B2983">
        <v>10425</v>
      </c>
      <c r="C2983">
        <v>119</v>
      </c>
      <c r="D2983" t="s">
        <v>196</v>
      </c>
      <c r="E2983" t="s">
        <v>144</v>
      </c>
      <c r="F2983" t="s">
        <v>32</v>
      </c>
      <c r="G2983" t="s">
        <v>35</v>
      </c>
      <c r="H2983">
        <v>19</v>
      </c>
      <c r="I2983" s="2">
        <v>48.62</v>
      </c>
      <c r="J2983" s="2">
        <v>24.92</v>
      </c>
      <c r="K2983" s="2">
        <v>923.78</v>
      </c>
      <c r="L2983" s="2">
        <v>473.48</v>
      </c>
      <c r="M2983" s="2">
        <v>450.3</v>
      </c>
      <c r="N2983">
        <v>4</v>
      </c>
      <c r="P2983" t="str">
        <f>TRIM(Table1[[#This Row],[country]])</f>
        <v>France</v>
      </c>
    </row>
    <row r="2984" spans="1:16" x14ac:dyDescent="0.3">
      <c r="A2984" s="1">
        <v>38503</v>
      </c>
      <c r="B2984">
        <v>10425</v>
      </c>
      <c r="C2984">
        <v>119</v>
      </c>
      <c r="D2984" t="s">
        <v>196</v>
      </c>
      <c r="E2984" t="s">
        <v>144</v>
      </c>
      <c r="F2984" t="s">
        <v>29</v>
      </c>
      <c r="G2984" t="s">
        <v>53</v>
      </c>
      <c r="H2984">
        <v>28</v>
      </c>
      <c r="I2984" s="2">
        <v>140.55000000000001</v>
      </c>
      <c r="J2984" s="2">
        <v>77.900000000000006</v>
      </c>
      <c r="K2984" s="2">
        <v>3935.4</v>
      </c>
      <c r="L2984" s="2">
        <v>2181.1999999999998</v>
      </c>
      <c r="M2984" s="2">
        <v>1754.2</v>
      </c>
      <c r="N2984">
        <v>4</v>
      </c>
      <c r="P2984" t="str">
        <f>TRIM(Table1[[#This Row],[country]])</f>
        <v>France</v>
      </c>
    </row>
    <row r="2985" spans="1:16" x14ac:dyDescent="0.3">
      <c r="A2985" s="1">
        <v>38503</v>
      </c>
      <c r="B2985">
        <v>10425</v>
      </c>
      <c r="C2985">
        <v>119</v>
      </c>
      <c r="D2985" t="s">
        <v>196</v>
      </c>
      <c r="E2985" t="s">
        <v>144</v>
      </c>
      <c r="F2985" t="s">
        <v>32</v>
      </c>
      <c r="G2985" t="s">
        <v>40</v>
      </c>
      <c r="H2985">
        <v>38</v>
      </c>
      <c r="I2985" s="2">
        <v>107.76</v>
      </c>
      <c r="J2985" s="2">
        <v>84.76</v>
      </c>
      <c r="K2985" s="2">
        <v>4094.88</v>
      </c>
      <c r="L2985" s="2">
        <v>3220.88</v>
      </c>
      <c r="M2985" s="2">
        <v>874</v>
      </c>
      <c r="N2985">
        <v>4</v>
      </c>
      <c r="P2985" t="str">
        <f>TRIM(Table1[[#This Row],[country]])</f>
        <v>France</v>
      </c>
    </row>
    <row r="2986" spans="1:16" x14ac:dyDescent="0.3">
      <c r="A2986" s="1">
        <v>38503</v>
      </c>
      <c r="B2986">
        <v>10425</v>
      </c>
      <c r="C2986">
        <v>119</v>
      </c>
      <c r="D2986" t="s">
        <v>196</v>
      </c>
      <c r="E2986" t="s">
        <v>144</v>
      </c>
      <c r="F2986" t="s">
        <v>29</v>
      </c>
      <c r="G2986" t="s">
        <v>55</v>
      </c>
      <c r="H2986">
        <v>55</v>
      </c>
      <c r="I2986" s="2">
        <v>53.75</v>
      </c>
      <c r="J2986" s="2">
        <v>32.369999999999997</v>
      </c>
      <c r="K2986" s="2">
        <v>2956.25</v>
      </c>
      <c r="L2986" s="2">
        <v>1780.35</v>
      </c>
      <c r="M2986" s="2">
        <v>1175.9000000000001</v>
      </c>
      <c r="N2986">
        <v>4</v>
      </c>
      <c r="P2986" t="str">
        <f>TRIM(Table1[[#This Row],[country]])</f>
        <v>France</v>
      </c>
    </row>
    <row r="2987" spans="1:16" x14ac:dyDescent="0.3">
      <c r="A2987" s="1">
        <v>38503</v>
      </c>
      <c r="B2987">
        <v>10425</v>
      </c>
      <c r="C2987">
        <v>119</v>
      </c>
      <c r="D2987" t="s">
        <v>196</v>
      </c>
      <c r="E2987" t="s">
        <v>144</v>
      </c>
      <c r="F2987" t="s">
        <v>32</v>
      </c>
      <c r="G2987" t="s">
        <v>42</v>
      </c>
      <c r="H2987">
        <v>49</v>
      </c>
      <c r="I2987" s="2">
        <v>127.79</v>
      </c>
      <c r="J2987" s="2">
        <v>61.34</v>
      </c>
      <c r="K2987" s="2">
        <v>6261.71</v>
      </c>
      <c r="L2987" s="2">
        <v>3005.66</v>
      </c>
      <c r="M2987" s="2">
        <v>3256.05</v>
      </c>
      <c r="N2987">
        <v>4</v>
      </c>
      <c r="P2987" t="str">
        <f>TRIM(Table1[[#This Row],[country]])</f>
        <v>France</v>
      </c>
    </row>
    <row r="2988" spans="1:16" x14ac:dyDescent="0.3">
      <c r="A2988" s="1">
        <v>38503</v>
      </c>
      <c r="B2988">
        <v>10425</v>
      </c>
      <c r="C2988">
        <v>119</v>
      </c>
      <c r="D2988" t="s">
        <v>196</v>
      </c>
      <c r="E2988" t="s">
        <v>144</v>
      </c>
      <c r="F2988" t="s">
        <v>29</v>
      </c>
      <c r="G2988" t="s">
        <v>56</v>
      </c>
      <c r="H2988">
        <v>31</v>
      </c>
      <c r="I2988" s="2">
        <v>31.82</v>
      </c>
      <c r="J2988" s="2">
        <v>15.91</v>
      </c>
      <c r="K2988" s="2">
        <v>986.42</v>
      </c>
      <c r="L2988" s="2">
        <v>493.21</v>
      </c>
      <c r="M2988" s="2">
        <v>493.21</v>
      </c>
      <c r="N2988">
        <v>4</v>
      </c>
      <c r="P2988" t="str">
        <f>TRIM(Table1[[#This Row],[country]])</f>
        <v>France</v>
      </c>
    </row>
    <row r="2989" spans="1:16" x14ac:dyDescent="0.3">
      <c r="A2989" s="1">
        <v>38503</v>
      </c>
      <c r="B2989">
        <v>10425</v>
      </c>
      <c r="C2989">
        <v>119</v>
      </c>
      <c r="D2989" t="s">
        <v>196</v>
      </c>
      <c r="E2989" t="s">
        <v>144</v>
      </c>
      <c r="F2989" t="s">
        <v>32</v>
      </c>
      <c r="G2989" t="s">
        <v>44</v>
      </c>
      <c r="H2989">
        <v>41</v>
      </c>
      <c r="I2989" s="2">
        <v>83.79</v>
      </c>
      <c r="J2989" s="2">
        <v>53.93</v>
      </c>
      <c r="K2989" s="2">
        <v>3435.39</v>
      </c>
      <c r="L2989" s="2">
        <v>2211.13</v>
      </c>
      <c r="M2989" s="2">
        <v>1224.26</v>
      </c>
      <c r="N2989">
        <v>4</v>
      </c>
      <c r="P2989" t="str">
        <f>TRIM(Table1[[#This Row],[country]])</f>
        <v>France</v>
      </c>
    </row>
    <row r="2990" spans="1:16" x14ac:dyDescent="0.3">
      <c r="A2990" s="1">
        <v>38503</v>
      </c>
      <c r="B2990">
        <v>10425</v>
      </c>
      <c r="C2990">
        <v>119</v>
      </c>
      <c r="D2990" t="s">
        <v>196</v>
      </c>
      <c r="E2990" t="s">
        <v>144</v>
      </c>
      <c r="F2990" t="s">
        <v>32</v>
      </c>
      <c r="G2990" t="s">
        <v>58</v>
      </c>
      <c r="H2990">
        <v>11</v>
      </c>
      <c r="I2990" s="2">
        <v>50.32</v>
      </c>
      <c r="J2990" s="2">
        <v>25.98</v>
      </c>
      <c r="K2990" s="2">
        <v>553.52</v>
      </c>
      <c r="L2990" s="2">
        <v>285.77999999999997</v>
      </c>
      <c r="M2990" s="2">
        <v>267.74</v>
      </c>
      <c r="N2990">
        <v>4</v>
      </c>
      <c r="P2990" t="str">
        <f>TRIM(Table1[[#This Row],[country]])</f>
        <v>France</v>
      </c>
    </row>
    <row r="2991" spans="1:16" x14ac:dyDescent="0.3">
      <c r="A2991" s="1">
        <v>38503</v>
      </c>
      <c r="B2991">
        <v>10425</v>
      </c>
      <c r="C2991">
        <v>119</v>
      </c>
      <c r="D2991" t="s">
        <v>196</v>
      </c>
      <c r="E2991" t="s">
        <v>144</v>
      </c>
      <c r="F2991" t="s">
        <v>32</v>
      </c>
      <c r="G2991" t="s">
        <v>61</v>
      </c>
      <c r="H2991">
        <v>18</v>
      </c>
      <c r="I2991" s="2">
        <v>94.92</v>
      </c>
      <c r="J2991" s="2">
        <v>68.290000000000006</v>
      </c>
      <c r="K2991" s="2">
        <v>1708.56</v>
      </c>
      <c r="L2991" s="2">
        <v>1229.22</v>
      </c>
      <c r="M2991" s="2">
        <v>479.34</v>
      </c>
      <c r="N2991">
        <v>4</v>
      </c>
      <c r="P2991" t="str">
        <f>TRIM(Table1[[#This Row],[country]])</f>
        <v>France</v>
      </c>
    </row>
    <row r="2992" spans="1:16" x14ac:dyDescent="0.3">
      <c r="A2992" s="1">
        <v>38503</v>
      </c>
      <c r="B2992">
        <v>10424</v>
      </c>
      <c r="C2992">
        <v>141</v>
      </c>
      <c r="D2992" t="s">
        <v>47</v>
      </c>
      <c r="E2992" t="s">
        <v>48</v>
      </c>
      <c r="F2992" t="s">
        <v>29</v>
      </c>
      <c r="G2992" t="s">
        <v>30</v>
      </c>
      <c r="H2992">
        <v>50</v>
      </c>
      <c r="I2992" s="2">
        <v>201.44</v>
      </c>
      <c r="J2992" s="2">
        <v>98.58</v>
      </c>
      <c r="K2992" s="2">
        <v>10072</v>
      </c>
      <c r="L2992" s="2">
        <v>4929</v>
      </c>
      <c r="M2992" s="2">
        <v>5143</v>
      </c>
      <c r="N2992">
        <v>25</v>
      </c>
      <c r="P2992" t="str">
        <f>TRIM(Table1[[#This Row],[country]])</f>
        <v>Spain</v>
      </c>
    </row>
    <row r="2993" spans="1:16" x14ac:dyDescent="0.3">
      <c r="A2993" s="1">
        <v>38503</v>
      </c>
      <c r="B2993">
        <v>10424</v>
      </c>
      <c r="C2993">
        <v>141</v>
      </c>
      <c r="D2993" t="s">
        <v>47</v>
      </c>
      <c r="E2993" t="s">
        <v>48</v>
      </c>
      <c r="F2993" t="s">
        <v>32</v>
      </c>
      <c r="G2993" t="s">
        <v>33</v>
      </c>
      <c r="H2993">
        <v>49</v>
      </c>
      <c r="I2993" s="2">
        <v>121.64</v>
      </c>
      <c r="J2993" s="2">
        <v>77.900000000000006</v>
      </c>
      <c r="K2993" s="2">
        <v>5960.36</v>
      </c>
      <c r="L2993" s="2">
        <v>3817.1</v>
      </c>
      <c r="M2993" s="2">
        <v>2143.2600000000002</v>
      </c>
      <c r="N2993">
        <v>25</v>
      </c>
      <c r="P2993" t="str">
        <f>TRIM(Table1[[#This Row],[country]])</f>
        <v>Spain</v>
      </c>
    </row>
    <row r="2994" spans="1:16" x14ac:dyDescent="0.3">
      <c r="A2994" s="1">
        <v>38503</v>
      </c>
      <c r="B2994">
        <v>10424</v>
      </c>
      <c r="C2994">
        <v>141</v>
      </c>
      <c r="D2994" t="s">
        <v>47</v>
      </c>
      <c r="E2994" t="s">
        <v>48</v>
      </c>
      <c r="F2994" t="s">
        <v>32</v>
      </c>
      <c r="G2994" t="s">
        <v>34</v>
      </c>
      <c r="H2994">
        <v>54</v>
      </c>
      <c r="I2994" s="2">
        <v>108.5</v>
      </c>
      <c r="J2994" s="2">
        <v>58.33</v>
      </c>
      <c r="K2994" s="2">
        <v>5859</v>
      </c>
      <c r="L2994" s="2">
        <v>3149.82</v>
      </c>
      <c r="M2994" s="2">
        <v>2709.18</v>
      </c>
      <c r="N2994">
        <v>25</v>
      </c>
      <c r="P2994" t="str">
        <f>TRIM(Table1[[#This Row],[country]])</f>
        <v>Spain</v>
      </c>
    </row>
    <row r="2995" spans="1:16" x14ac:dyDescent="0.3">
      <c r="A2995" s="1">
        <v>38503</v>
      </c>
      <c r="B2995">
        <v>10424</v>
      </c>
      <c r="C2995">
        <v>141</v>
      </c>
      <c r="D2995" t="s">
        <v>47</v>
      </c>
      <c r="E2995" t="s">
        <v>48</v>
      </c>
      <c r="F2995" t="s">
        <v>15</v>
      </c>
      <c r="G2995" t="s">
        <v>41</v>
      </c>
      <c r="H2995">
        <v>26</v>
      </c>
      <c r="I2995" s="2">
        <v>40.25</v>
      </c>
      <c r="J2995" s="2">
        <v>23.14</v>
      </c>
      <c r="K2995" s="2">
        <v>1046.5</v>
      </c>
      <c r="L2995" s="2">
        <v>601.64</v>
      </c>
      <c r="M2995" s="2">
        <v>444.86</v>
      </c>
      <c r="N2995">
        <v>25</v>
      </c>
      <c r="P2995" t="str">
        <f>TRIM(Table1[[#This Row],[country]])</f>
        <v>Spain</v>
      </c>
    </row>
    <row r="2996" spans="1:16" x14ac:dyDescent="0.3">
      <c r="A2996" s="1">
        <v>38503</v>
      </c>
      <c r="B2996">
        <v>10424</v>
      </c>
      <c r="C2996">
        <v>141</v>
      </c>
      <c r="D2996" t="s">
        <v>47</v>
      </c>
      <c r="E2996" t="s">
        <v>48</v>
      </c>
      <c r="F2996" t="s">
        <v>32</v>
      </c>
      <c r="G2996" t="s">
        <v>45</v>
      </c>
      <c r="H2996">
        <v>44</v>
      </c>
      <c r="I2996" s="2">
        <v>54.94</v>
      </c>
      <c r="J2996" s="2">
        <v>33.61</v>
      </c>
      <c r="K2996" s="2">
        <v>2417.36</v>
      </c>
      <c r="L2996" s="2">
        <v>1478.84</v>
      </c>
      <c r="M2996" s="2">
        <v>938.52</v>
      </c>
      <c r="N2996">
        <v>25</v>
      </c>
      <c r="P2996" t="str">
        <f>TRIM(Table1[[#This Row],[country]])</f>
        <v>Spain</v>
      </c>
    </row>
    <row r="2997" spans="1:16" x14ac:dyDescent="0.3">
      <c r="A2997" s="1">
        <v>38503</v>
      </c>
      <c r="B2997">
        <v>10424</v>
      </c>
      <c r="C2997">
        <v>141</v>
      </c>
      <c r="D2997" t="s">
        <v>47</v>
      </c>
      <c r="E2997" t="s">
        <v>48</v>
      </c>
      <c r="F2997" t="s">
        <v>29</v>
      </c>
      <c r="G2997" t="s">
        <v>46</v>
      </c>
      <c r="H2997">
        <v>46</v>
      </c>
      <c r="I2997" s="2">
        <v>85.98</v>
      </c>
      <c r="J2997" s="2">
        <v>46.53</v>
      </c>
      <c r="K2997" s="2">
        <v>3955.08</v>
      </c>
      <c r="L2997" s="2">
        <v>2140.38</v>
      </c>
      <c r="M2997" s="2">
        <v>1814.7</v>
      </c>
      <c r="N2997">
        <v>25</v>
      </c>
      <c r="P2997" t="str">
        <f>TRIM(Table1[[#This Row],[country]])</f>
        <v>Spain</v>
      </c>
    </row>
  </sheetData>
  <conditionalFormatting sqref="D2:F2997">
    <cfRule type="expression" dxfId="0" priority="1">
      <formula>D2&lt;&gt;TRIM(D2)</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Dashboard</vt:lpstr>
      <vt:lpstr>Project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ACER</dc:creator>
  <cp:lastModifiedBy>Taufik Willy</cp:lastModifiedBy>
  <dcterms:created xsi:type="dcterms:W3CDTF">2026-08-24T23:09:05Z</dcterms:created>
  <dcterms:modified xsi:type="dcterms:W3CDTF">2026-08-27T13:56:54Z</dcterms:modified>
</cp:coreProperties>
</file>